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s/Documents/MSZ/MSZ_FX/_EA_RRM_Backtest/"/>
    </mc:Choice>
  </mc:AlternateContent>
  <xr:revisionPtr revIDLastSave="0" documentId="13_ncr:1_{EA2FAA87-CDE9-2A4C-B255-30820BBE120E}" xr6:coauthVersionLast="47" xr6:coauthVersionMax="47" xr10:uidLastSave="{00000000-0000-0000-0000-000000000000}"/>
  <bookViews>
    <workbookView xWindow="1280" yWindow="880" windowWidth="22100" windowHeight="19580" xr2:uid="{113696E4-D068-2D47-948E-FC25178D8AC7}"/>
  </bookViews>
  <sheets>
    <sheet name="Test02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16" i="18" l="1"/>
  <c r="CW16" i="18"/>
  <c r="CR16" i="18"/>
  <c r="CT16" i="18" s="1"/>
  <c r="CU16" i="18" s="1"/>
  <c r="CP16" i="18"/>
  <c r="CY16" i="18" s="1"/>
  <c r="CO16" i="18"/>
  <c r="CF16" i="18"/>
  <c r="CB16" i="18"/>
  <c r="CA16" i="18"/>
  <c r="BX16" i="18"/>
  <c r="BZ16" i="18" s="1"/>
  <c r="BT16" i="18"/>
  <c r="BS16" i="18"/>
  <c r="BR16" i="18"/>
  <c r="CX15" i="18"/>
  <c r="CW15" i="18"/>
  <c r="CR15" i="18"/>
  <c r="CT15" i="18" s="1"/>
  <c r="CU15" i="18" s="1"/>
  <c r="CP15" i="18"/>
  <c r="CY15" i="18" s="1"/>
  <c r="CO15" i="18"/>
  <c r="CF15" i="18"/>
  <c r="CB15" i="18"/>
  <c r="CA15" i="18"/>
  <c r="BX15" i="18"/>
  <c r="BZ15" i="18" s="1"/>
  <c r="BT15" i="18"/>
  <c r="BS15" i="18"/>
  <c r="BR15" i="18"/>
  <c r="CX14" i="18"/>
  <c r="CW14" i="18"/>
  <c r="CR14" i="18"/>
  <c r="CS14" i="18" s="1"/>
  <c r="CP14" i="18"/>
  <c r="CY14" i="18" s="1"/>
  <c r="CO14" i="18"/>
  <c r="CF14" i="18"/>
  <c r="CB14" i="18"/>
  <c r="CA14" i="18"/>
  <c r="BX14" i="18"/>
  <c r="BZ14" i="18" s="1"/>
  <c r="BT14" i="18"/>
  <c r="BS14" i="18"/>
  <c r="BR14" i="18"/>
  <c r="CX13" i="18"/>
  <c r="CW13" i="18"/>
  <c r="CR13" i="18"/>
  <c r="CT13" i="18" s="1"/>
  <c r="CU13" i="18" s="1"/>
  <c r="CP13" i="18"/>
  <c r="CY13" i="18" s="1"/>
  <c r="CO13" i="18"/>
  <c r="CF13" i="18"/>
  <c r="CB13" i="18"/>
  <c r="CA13" i="18"/>
  <c r="BX13" i="18"/>
  <c r="BZ13" i="18" s="1"/>
  <c r="BT13" i="18"/>
  <c r="BS13" i="18"/>
  <c r="BR13" i="18"/>
  <c r="CX12" i="18"/>
  <c r="CW12" i="18"/>
  <c r="CR12" i="18"/>
  <c r="CT12" i="18" s="1"/>
  <c r="CU12" i="18" s="1"/>
  <c r="CP12" i="18"/>
  <c r="CY12" i="18" s="1"/>
  <c r="CO12" i="18"/>
  <c r="CF12" i="18"/>
  <c r="CB12" i="18"/>
  <c r="CA12" i="18"/>
  <c r="BX12" i="18"/>
  <c r="BZ12" i="18" s="1"/>
  <c r="BT12" i="18"/>
  <c r="BS12" i="18"/>
  <c r="BR12" i="18"/>
  <c r="CX93" i="18"/>
  <c r="CW93" i="18"/>
  <c r="CR93" i="18"/>
  <c r="CT93" i="18" s="1"/>
  <c r="CU93" i="18" s="1"/>
  <c r="CP93" i="18"/>
  <c r="CY93" i="18" s="1"/>
  <c r="CO93" i="18"/>
  <c r="CF93" i="18"/>
  <c r="CB93" i="18"/>
  <c r="CA93" i="18"/>
  <c r="BX93" i="18"/>
  <c r="BZ93" i="18" s="1"/>
  <c r="BT93" i="18"/>
  <c r="BS93" i="18"/>
  <c r="BR93" i="18"/>
  <c r="CX100" i="18"/>
  <c r="CW100" i="18"/>
  <c r="CR100" i="18"/>
  <c r="CT100" i="18" s="1"/>
  <c r="CU100" i="18" s="1"/>
  <c r="CP100" i="18"/>
  <c r="CY100" i="18" s="1"/>
  <c r="CO100" i="18"/>
  <c r="CF100" i="18"/>
  <c r="CB100" i="18"/>
  <c r="CA100" i="18"/>
  <c r="BX100" i="18"/>
  <c r="BZ100" i="18" s="1"/>
  <c r="BT100" i="18"/>
  <c r="BS100" i="18"/>
  <c r="BR100" i="18"/>
  <c r="CX99" i="18"/>
  <c r="CW99" i="18"/>
  <c r="CR99" i="18"/>
  <c r="CT99" i="18" s="1"/>
  <c r="CU99" i="18" s="1"/>
  <c r="CP99" i="18"/>
  <c r="CY99" i="18" s="1"/>
  <c r="CO99" i="18"/>
  <c r="CF99" i="18"/>
  <c r="CB99" i="18"/>
  <c r="CA99" i="18"/>
  <c r="BX99" i="18"/>
  <c r="BZ99" i="18" s="1"/>
  <c r="BT99" i="18"/>
  <c r="BS99" i="18"/>
  <c r="BR99" i="18"/>
  <c r="CX98" i="18"/>
  <c r="CW98" i="18"/>
  <c r="CR98" i="18"/>
  <c r="CT98" i="18" s="1"/>
  <c r="CU98" i="18" s="1"/>
  <c r="CP98" i="18"/>
  <c r="CY98" i="18" s="1"/>
  <c r="CO98" i="18"/>
  <c r="CF98" i="18"/>
  <c r="CB98" i="18"/>
  <c r="CA98" i="18"/>
  <c r="BX98" i="18"/>
  <c r="BZ98" i="18" s="1"/>
  <c r="BT98" i="18"/>
  <c r="BS98" i="18"/>
  <c r="BR98" i="18"/>
  <c r="CX97" i="18"/>
  <c r="CW97" i="18"/>
  <c r="CR97" i="18"/>
  <c r="CS97" i="18" s="1"/>
  <c r="CP97" i="18"/>
  <c r="CY97" i="18" s="1"/>
  <c r="CO97" i="18"/>
  <c r="CF97" i="18"/>
  <c r="CB97" i="18"/>
  <c r="CA97" i="18"/>
  <c r="BX97" i="18"/>
  <c r="BZ97" i="18" s="1"/>
  <c r="BT97" i="18"/>
  <c r="BS97" i="18"/>
  <c r="BR97" i="18"/>
  <c r="CX96" i="18"/>
  <c r="CW96" i="18"/>
  <c r="CR96" i="18"/>
  <c r="CT96" i="18" s="1"/>
  <c r="CU96" i="18" s="1"/>
  <c r="CP96" i="18"/>
  <c r="CY96" i="18" s="1"/>
  <c r="CO96" i="18"/>
  <c r="CF96" i="18"/>
  <c r="CB96" i="18"/>
  <c r="CA96" i="18"/>
  <c r="BX96" i="18"/>
  <c r="BZ96" i="18" s="1"/>
  <c r="BT96" i="18"/>
  <c r="BS96" i="18"/>
  <c r="BR96" i="18"/>
  <c r="CX95" i="18"/>
  <c r="CW95" i="18"/>
  <c r="CR95" i="18"/>
  <c r="CS95" i="18" s="1"/>
  <c r="CP95" i="18"/>
  <c r="CY95" i="18" s="1"/>
  <c r="CO95" i="18"/>
  <c r="CF95" i="18"/>
  <c r="CB95" i="18"/>
  <c r="CA95" i="18"/>
  <c r="BX95" i="18"/>
  <c r="BZ95" i="18" s="1"/>
  <c r="BT95" i="18"/>
  <c r="BS95" i="18"/>
  <c r="BR95" i="18"/>
  <c r="CX94" i="18"/>
  <c r="CW94" i="18"/>
  <c r="CR94" i="18"/>
  <c r="CT94" i="18" s="1"/>
  <c r="CU94" i="18" s="1"/>
  <c r="CP94" i="18"/>
  <c r="CY94" i="18" s="1"/>
  <c r="CO94" i="18"/>
  <c r="CF94" i="18"/>
  <c r="CB94" i="18"/>
  <c r="CA94" i="18"/>
  <c r="BX94" i="18"/>
  <c r="BZ94" i="18" s="1"/>
  <c r="BT94" i="18"/>
  <c r="BS94" i="18"/>
  <c r="BR94" i="18"/>
  <c r="CX37" i="18"/>
  <c r="CW37" i="18"/>
  <c r="CR37" i="18"/>
  <c r="CT37" i="18" s="1"/>
  <c r="CU37" i="18" s="1"/>
  <c r="CP37" i="18"/>
  <c r="CY37" i="18" s="1"/>
  <c r="CO37" i="18"/>
  <c r="CF37" i="18"/>
  <c r="CB37" i="18"/>
  <c r="CA37" i="18"/>
  <c r="BX37" i="18"/>
  <c r="BZ37" i="18" s="1"/>
  <c r="BT37" i="18"/>
  <c r="BS37" i="18"/>
  <c r="BR37" i="18"/>
  <c r="CX36" i="18"/>
  <c r="CW36" i="18"/>
  <c r="CR36" i="18"/>
  <c r="CT36" i="18" s="1"/>
  <c r="CU36" i="18" s="1"/>
  <c r="CP36" i="18"/>
  <c r="CY36" i="18" s="1"/>
  <c r="CO36" i="18"/>
  <c r="CF36" i="18"/>
  <c r="CB36" i="18"/>
  <c r="CA36" i="18"/>
  <c r="BX36" i="18"/>
  <c r="BZ36" i="18" s="1"/>
  <c r="BT36" i="18"/>
  <c r="BS36" i="18"/>
  <c r="BR36" i="18"/>
  <c r="CX35" i="18"/>
  <c r="CW35" i="18"/>
  <c r="CR35" i="18"/>
  <c r="CT35" i="18" s="1"/>
  <c r="CU35" i="18" s="1"/>
  <c r="CP35" i="18"/>
  <c r="CY35" i="18" s="1"/>
  <c r="CO35" i="18"/>
  <c r="CF35" i="18"/>
  <c r="CB35" i="18"/>
  <c r="CA35" i="18"/>
  <c r="BX35" i="18"/>
  <c r="BZ35" i="18" s="1"/>
  <c r="BT35" i="18"/>
  <c r="BS35" i="18"/>
  <c r="BR35" i="18"/>
  <c r="CX34" i="18"/>
  <c r="CW34" i="18"/>
  <c r="CR34" i="18"/>
  <c r="CS34" i="18" s="1"/>
  <c r="CP34" i="18"/>
  <c r="CY34" i="18" s="1"/>
  <c r="CO34" i="18"/>
  <c r="CF34" i="18"/>
  <c r="CB34" i="18"/>
  <c r="CA34" i="18"/>
  <c r="BX34" i="18"/>
  <c r="BZ34" i="18" s="1"/>
  <c r="BT34" i="18"/>
  <c r="BS34" i="18"/>
  <c r="BR34" i="18"/>
  <c r="CX33" i="18"/>
  <c r="CW33" i="18"/>
  <c r="CR33" i="18"/>
  <c r="CS33" i="18" s="1"/>
  <c r="CP33" i="18"/>
  <c r="CY33" i="18" s="1"/>
  <c r="CO33" i="18"/>
  <c r="CF33" i="18"/>
  <c r="CB33" i="18"/>
  <c r="CA33" i="18"/>
  <c r="BX33" i="18"/>
  <c r="BZ33" i="18" s="1"/>
  <c r="BT33" i="18"/>
  <c r="BS33" i="18"/>
  <c r="BR33" i="18"/>
  <c r="CX32" i="18"/>
  <c r="CW32" i="18"/>
  <c r="CR32" i="18"/>
  <c r="CS32" i="18" s="1"/>
  <c r="CP32" i="18"/>
  <c r="CY32" i="18" s="1"/>
  <c r="CO32" i="18"/>
  <c r="CF32" i="18"/>
  <c r="CB32" i="18"/>
  <c r="CA32" i="18"/>
  <c r="BX32" i="18"/>
  <c r="BZ32" i="18" s="1"/>
  <c r="BT32" i="18"/>
  <c r="BS32" i="18"/>
  <c r="BR32" i="18"/>
  <c r="CX31" i="18"/>
  <c r="CW31" i="18"/>
  <c r="CR31" i="18"/>
  <c r="CT31" i="18" s="1"/>
  <c r="CU31" i="18" s="1"/>
  <c r="CP31" i="18"/>
  <c r="CY31" i="18" s="1"/>
  <c r="CO31" i="18"/>
  <c r="CF31" i="18"/>
  <c r="CB31" i="18"/>
  <c r="CA31" i="18"/>
  <c r="BX31" i="18"/>
  <c r="BZ31" i="18" s="1"/>
  <c r="BT31" i="18"/>
  <c r="BS31" i="18"/>
  <c r="BR31" i="18"/>
  <c r="CX30" i="18"/>
  <c r="CW30" i="18"/>
  <c r="CR30" i="18"/>
  <c r="CS30" i="18" s="1"/>
  <c r="CP30" i="18"/>
  <c r="CY30" i="18" s="1"/>
  <c r="CO30" i="18"/>
  <c r="CF30" i="18"/>
  <c r="CB30" i="18"/>
  <c r="CA30" i="18"/>
  <c r="BX30" i="18"/>
  <c r="BZ30" i="18" s="1"/>
  <c r="BT30" i="18"/>
  <c r="BS30" i="18"/>
  <c r="BR30" i="18"/>
  <c r="CA76" i="18"/>
  <c r="CA77" i="18"/>
  <c r="CA78" i="18"/>
  <c r="CA79" i="18"/>
  <c r="CA80" i="18"/>
  <c r="CA81" i="18"/>
  <c r="CA82" i="18"/>
  <c r="CA67" i="18"/>
  <c r="CA68" i="18"/>
  <c r="CA69" i="18"/>
  <c r="CA70" i="18"/>
  <c r="CA71" i="18"/>
  <c r="CA72" i="18"/>
  <c r="CA73" i="18"/>
  <c r="CA60" i="18"/>
  <c r="CA61" i="18"/>
  <c r="CA62" i="18"/>
  <c r="CA63" i="18"/>
  <c r="CA64" i="18"/>
  <c r="CX77" i="18"/>
  <c r="CW77" i="18"/>
  <c r="CR77" i="18"/>
  <c r="CS77" i="18" s="1"/>
  <c r="CP77" i="18"/>
  <c r="CY77" i="18" s="1"/>
  <c r="CO77" i="18"/>
  <c r="CF77" i="18"/>
  <c r="CB77" i="18"/>
  <c r="BX77" i="18"/>
  <c r="BZ77" i="18" s="1"/>
  <c r="BT77" i="18"/>
  <c r="BS77" i="18"/>
  <c r="BR77" i="18"/>
  <c r="CX68" i="18"/>
  <c r="CW68" i="18"/>
  <c r="CR68" i="18"/>
  <c r="CT68" i="18" s="1"/>
  <c r="CU68" i="18" s="1"/>
  <c r="CP68" i="18"/>
  <c r="CY68" i="18" s="1"/>
  <c r="CO68" i="18"/>
  <c r="CF68" i="18"/>
  <c r="CB68" i="18"/>
  <c r="BX68" i="18"/>
  <c r="BZ68" i="18" s="1"/>
  <c r="BT68" i="18"/>
  <c r="BS68" i="18"/>
  <c r="BR68" i="18"/>
  <c r="CX59" i="18"/>
  <c r="CW59" i="18"/>
  <c r="CR59" i="18"/>
  <c r="CT59" i="18" s="1"/>
  <c r="CU59" i="18" s="1"/>
  <c r="CP59" i="18"/>
  <c r="CY59" i="18" s="1"/>
  <c r="CO59" i="18"/>
  <c r="CF59" i="18"/>
  <c r="CB59" i="18"/>
  <c r="CA59" i="18"/>
  <c r="BX59" i="18"/>
  <c r="BZ59" i="18" s="1"/>
  <c r="BT59" i="18"/>
  <c r="BS59" i="18"/>
  <c r="BR59" i="18"/>
  <c r="CB57" i="18"/>
  <c r="CA57" i="18"/>
  <c r="CB55" i="18"/>
  <c r="CA55" i="18"/>
  <c r="CB54" i="18"/>
  <c r="CA54" i="18"/>
  <c r="CB53" i="18"/>
  <c r="CA53" i="18"/>
  <c r="CB52" i="18"/>
  <c r="CA52" i="18"/>
  <c r="CB51" i="18"/>
  <c r="CA51" i="18"/>
  <c r="CB50" i="18"/>
  <c r="CA50" i="18"/>
  <c r="CB49" i="18"/>
  <c r="CA49" i="18"/>
  <c r="CB48" i="18"/>
  <c r="CA48" i="18"/>
  <c r="CB46" i="18"/>
  <c r="CA46" i="18"/>
  <c r="CB45" i="18"/>
  <c r="CA45" i="18"/>
  <c r="CB44" i="18"/>
  <c r="CA44" i="18"/>
  <c r="CB43" i="18"/>
  <c r="CA43" i="18"/>
  <c r="CB42" i="18"/>
  <c r="CA42" i="18"/>
  <c r="CB41" i="18"/>
  <c r="CA41" i="18"/>
  <c r="CB40" i="18"/>
  <c r="CA40" i="18"/>
  <c r="CB39" i="18"/>
  <c r="CA39" i="18"/>
  <c r="CA85" i="18"/>
  <c r="CB85" i="18"/>
  <c r="CA86" i="18"/>
  <c r="CB86" i="18"/>
  <c r="CA87" i="18"/>
  <c r="CB87" i="18"/>
  <c r="CA88" i="18"/>
  <c r="CB88" i="18"/>
  <c r="CA89" i="18"/>
  <c r="CB89" i="18"/>
  <c r="CA90" i="18"/>
  <c r="CB90" i="18"/>
  <c r="CA91" i="18"/>
  <c r="CB91" i="18"/>
  <c r="CA25" i="18"/>
  <c r="CB25" i="18"/>
  <c r="CA26" i="18"/>
  <c r="CB26" i="18"/>
  <c r="CA27" i="18"/>
  <c r="CB27" i="18"/>
  <c r="CA28" i="18"/>
  <c r="CB28" i="18"/>
  <c r="CA19" i="18"/>
  <c r="CB19" i="18"/>
  <c r="CA20" i="18"/>
  <c r="CB20" i="18"/>
  <c r="CA21" i="18"/>
  <c r="CB21" i="18"/>
  <c r="CA22" i="18"/>
  <c r="CB22" i="18"/>
  <c r="CA7" i="18"/>
  <c r="CB7" i="18"/>
  <c r="CA8" i="18"/>
  <c r="CB8" i="18"/>
  <c r="CA9" i="18"/>
  <c r="CB9" i="18"/>
  <c r="CA10" i="18"/>
  <c r="CB10" i="18"/>
  <c r="CB84" i="18"/>
  <c r="CA84" i="18"/>
  <c r="CB24" i="18"/>
  <c r="CA24" i="18"/>
  <c r="CB18" i="18"/>
  <c r="CA18" i="18"/>
  <c r="CB6" i="18"/>
  <c r="CA6" i="18"/>
  <c r="CA75" i="18"/>
  <c r="CA66" i="18"/>
  <c r="CA58" i="18"/>
  <c r="CX50" i="18"/>
  <c r="CW50" i="18"/>
  <c r="CR50" i="18"/>
  <c r="CT50" i="18" s="1"/>
  <c r="CU50" i="18" s="1"/>
  <c r="CP50" i="18"/>
  <c r="CY50" i="18" s="1"/>
  <c r="CO50" i="18"/>
  <c r="CF50" i="18"/>
  <c r="BX50" i="18"/>
  <c r="BZ50" i="18" s="1"/>
  <c r="BT50" i="18"/>
  <c r="BS50" i="18"/>
  <c r="BR50" i="18"/>
  <c r="CX41" i="18"/>
  <c r="CW41" i="18"/>
  <c r="CR41" i="18"/>
  <c r="CT41" i="18" s="1"/>
  <c r="CU41" i="18" s="1"/>
  <c r="CP41" i="18"/>
  <c r="CY41" i="18" s="1"/>
  <c r="CO41" i="18"/>
  <c r="CF41" i="18"/>
  <c r="BX41" i="18"/>
  <c r="BZ41" i="18" s="1"/>
  <c r="BT41" i="18"/>
  <c r="BS41" i="18"/>
  <c r="BR41" i="18"/>
  <c r="CX86" i="18"/>
  <c r="CW86" i="18"/>
  <c r="CR86" i="18"/>
  <c r="CT86" i="18" s="1"/>
  <c r="CU86" i="18" s="1"/>
  <c r="CP86" i="18"/>
  <c r="CY86" i="18" s="1"/>
  <c r="CO86" i="18"/>
  <c r="CF86" i="18"/>
  <c r="BX86" i="18"/>
  <c r="BZ86" i="18" s="1"/>
  <c r="BT86" i="18"/>
  <c r="BS86" i="18"/>
  <c r="BR86" i="18"/>
  <c r="CB82" i="18"/>
  <c r="CB81" i="18"/>
  <c r="CB80" i="18"/>
  <c r="CB79" i="18"/>
  <c r="CB78" i="18"/>
  <c r="CB76" i="18"/>
  <c r="CB75" i="18"/>
  <c r="CB73" i="18"/>
  <c r="CB72" i="18"/>
  <c r="CB71" i="18"/>
  <c r="CB70" i="18"/>
  <c r="CB69" i="18"/>
  <c r="CB67" i="18"/>
  <c r="CB66" i="18"/>
  <c r="CB64" i="18"/>
  <c r="CB63" i="18"/>
  <c r="CB62" i="18"/>
  <c r="CB61" i="18"/>
  <c r="CB60" i="18"/>
  <c r="CB58" i="18"/>
  <c r="CX82" i="18"/>
  <c r="CW82" i="18"/>
  <c r="CR82" i="18"/>
  <c r="CT82" i="18" s="1"/>
  <c r="CU82" i="18" s="1"/>
  <c r="CP82" i="18"/>
  <c r="CY82" i="18" s="1"/>
  <c r="CO82" i="18"/>
  <c r="CF82" i="18"/>
  <c r="BX82" i="18"/>
  <c r="BZ82" i="18" s="1"/>
  <c r="BT82" i="18"/>
  <c r="BS82" i="18"/>
  <c r="BR82" i="18"/>
  <c r="CX81" i="18"/>
  <c r="CW81" i="18"/>
  <c r="CR81" i="18"/>
  <c r="CS81" i="18" s="1"/>
  <c r="CP81" i="18"/>
  <c r="CY81" i="18" s="1"/>
  <c r="CO81" i="18"/>
  <c r="CF81" i="18"/>
  <c r="BX81" i="18"/>
  <c r="BZ81" i="18" s="1"/>
  <c r="BT81" i="18"/>
  <c r="BS81" i="18"/>
  <c r="BR81" i="18"/>
  <c r="CX80" i="18"/>
  <c r="CW80" i="18"/>
  <c r="CR80" i="18"/>
  <c r="CT80" i="18" s="1"/>
  <c r="CU80" i="18" s="1"/>
  <c r="CP80" i="18"/>
  <c r="CY80" i="18" s="1"/>
  <c r="CO80" i="18"/>
  <c r="CF80" i="18"/>
  <c r="BX80" i="18"/>
  <c r="BZ80" i="18" s="1"/>
  <c r="BT80" i="18"/>
  <c r="BS80" i="18"/>
  <c r="BR80" i="18"/>
  <c r="CX79" i="18"/>
  <c r="CW79" i="18"/>
  <c r="CR79" i="18"/>
  <c r="CS79" i="18" s="1"/>
  <c r="CP79" i="18"/>
  <c r="CY79" i="18" s="1"/>
  <c r="CO79" i="18"/>
  <c r="CF79" i="18"/>
  <c r="BX79" i="18"/>
  <c r="BZ79" i="18" s="1"/>
  <c r="BT79" i="18"/>
  <c r="BS79" i="18"/>
  <c r="BR79" i="18"/>
  <c r="CX78" i="18"/>
  <c r="CW78" i="18"/>
  <c r="CR78" i="18"/>
  <c r="CT78" i="18" s="1"/>
  <c r="CU78" i="18" s="1"/>
  <c r="CP78" i="18"/>
  <c r="CY78" i="18" s="1"/>
  <c r="CO78" i="18"/>
  <c r="CF78" i="18"/>
  <c r="BX78" i="18"/>
  <c r="BZ78" i="18" s="1"/>
  <c r="BT78" i="18"/>
  <c r="BS78" i="18"/>
  <c r="BR78" i="18"/>
  <c r="CX76" i="18"/>
  <c r="CW76" i="18"/>
  <c r="CR76" i="18"/>
  <c r="CS76" i="18" s="1"/>
  <c r="CP76" i="18"/>
  <c r="CY76" i="18" s="1"/>
  <c r="CO76" i="18"/>
  <c r="CF76" i="18"/>
  <c r="BX76" i="18"/>
  <c r="BZ76" i="18" s="1"/>
  <c r="BT76" i="18"/>
  <c r="BS76" i="18"/>
  <c r="BR76" i="18"/>
  <c r="CX73" i="18"/>
  <c r="CW73" i="18"/>
  <c r="CR73" i="18"/>
  <c r="CT73" i="18" s="1"/>
  <c r="CU73" i="18" s="1"/>
  <c r="CP73" i="18"/>
  <c r="CY73" i="18" s="1"/>
  <c r="CO73" i="18"/>
  <c r="CF73" i="18"/>
  <c r="BX73" i="18"/>
  <c r="BZ73" i="18" s="1"/>
  <c r="BT73" i="18"/>
  <c r="BS73" i="18"/>
  <c r="BR73" i="18"/>
  <c r="CX72" i="18"/>
  <c r="CW72" i="18"/>
  <c r="CR72" i="18"/>
  <c r="CS72" i="18" s="1"/>
  <c r="CP72" i="18"/>
  <c r="CY72" i="18" s="1"/>
  <c r="CO72" i="18"/>
  <c r="CF72" i="18"/>
  <c r="BX72" i="18"/>
  <c r="BZ72" i="18" s="1"/>
  <c r="BT72" i="18"/>
  <c r="BS72" i="18"/>
  <c r="BR72" i="18"/>
  <c r="CX71" i="18"/>
  <c r="CW71" i="18"/>
  <c r="CR71" i="18"/>
  <c r="CT71" i="18" s="1"/>
  <c r="CU71" i="18" s="1"/>
  <c r="CP71" i="18"/>
  <c r="CY71" i="18" s="1"/>
  <c r="CO71" i="18"/>
  <c r="CF71" i="18"/>
  <c r="BX71" i="18"/>
  <c r="BZ71" i="18" s="1"/>
  <c r="BT71" i="18"/>
  <c r="BS71" i="18"/>
  <c r="BR71" i="18"/>
  <c r="CX70" i="18"/>
  <c r="CW70" i="18"/>
  <c r="CR70" i="18"/>
  <c r="CS70" i="18" s="1"/>
  <c r="CP70" i="18"/>
  <c r="CY70" i="18" s="1"/>
  <c r="CO70" i="18"/>
  <c r="CF70" i="18"/>
  <c r="BX70" i="18"/>
  <c r="BZ70" i="18" s="1"/>
  <c r="BT70" i="18"/>
  <c r="BS70" i="18"/>
  <c r="BR70" i="18"/>
  <c r="CX69" i="18"/>
  <c r="CW69" i="18"/>
  <c r="CR69" i="18"/>
  <c r="CT69" i="18" s="1"/>
  <c r="CU69" i="18" s="1"/>
  <c r="CP69" i="18"/>
  <c r="CY69" i="18" s="1"/>
  <c r="CO69" i="18"/>
  <c r="CF69" i="18"/>
  <c r="BX69" i="18"/>
  <c r="BZ69" i="18" s="1"/>
  <c r="BT69" i="18"/>
  <c r="BS69" i="18"/>
  <c r="BR69" i="18"/>
  <c r="CX67" i="18"/>
  <c r="CW67" i="18"/>
  <c r="CR67" i="18"/>
  <c r="CS67" i="18" s="1"/>
  <c r="CP67" i="18"/>
  <c r="CY67" i="18" s="1"/>
  <c r="CO67" i="18"/>
  <c r="CF67" i="18"/>
  <c r="BX67" i="18"/>
  <c r="BZ67" i="18" s="1"/>
  <c r="BT67" i="18"/>
  <c r="BS67" i="18"/>
  <c r="BR67" i="18"/>
  <c r="CX55" i="18"/>
  <c r="CW55" i="18"/>
  <c r="CR55" i="18"/>
  <c r="CT55" i="18" s="1"/>
  <c r="CU55" i="18" s="1"/>
  <c r="CP55" i="18"/>
  <c r="CY55" i="18" s="1"/>
  <c r="CO55" i="18"/>
  <c r="CF55" i="18"/>
  <c r="BX55" i="18"/>
  <c r="BZ55" i="18" s="1"/>
  <c r="BT55" i="18"/>
  <c r="BS55" i="18"/>
  <c r="BR55" i="18"/>
  <c r="CX54" i="18"/>
  <c r="CW54" i="18"/>
  <c r="CR54" i="18"/>
  <c r="CS54" i="18" s="1"/>
  <c r="CP54" i="18"/>
  <c r="CY54" i="18" s="1"/>
  <c r="CO54" i="18"/>
  <c r="CF54" i="18"/>
  <c r="BX54" i="18"/>
  <c r="BZ54" i="18" s="1"/>
  <c r="BT54" i="18"/>
  <c r="BS54" i="18"/>
  <c r="BR54" i="18"/>
  <c r="CX53" i="18"/>
  <c r="CW53" i="18"/>
  <c r="CR53" i="18"/>
  <c r="CS53" i="18" s="1"/>
  <c r="CP53" i="18"/>
  <c r="CY53" i="18" s="1"/>
  <c r="CO53" i="18"/>
  <c r="CF53" i="18"/>
  <c r="BX53" i="18"/>
  <c r="BZ53" i="18" s="1"/>
  <c r="BT53" i="18"/>
  <c r="BS53" i="18"/>
  <c r="BR53" i="18"/>
  <c r="CX52" i="18"/>
  <c r="CW52" i="18"/>
  <c r="CR52" i="18"/>
  <c r="CS52" i="18" s="1"/>
  <c r="CP52" i="18"/>
  <c r="CY52" i="18" s="1"/>
  <c r="CO52" i="18"/>
  <c r="CF52" i="18"/>
  <c r="BX52" i="18"/>
  <c r="BZ52" i="18" s="1"/>
  <c r="BT52" i="18"/>
  <c r="BS52" i="18"/>
  <c r="BR52" i="18"/>
  <c r="CX51" i="18"/>
  <c r="CW51" i="18"/>
  <c r="CR51" i="18"/>
  <c r="CT51" i="18" s="1"/>
  <c r="CU51" i="18" s="1"/>
  <c r="CP51" i="18"/>
  <c r="CY51" i="18" s="1"/>
  <c r="CO51" i="18"/>
  <c r="CF51" i="18"/>
  <c r="BX51" i="18"/>
  <c r="BZ51" i="18" s="1"/>
  <c r="BT51" i="18"/>
  <c r="BS51" i="18"/>
  <c r="BR51" i="18"/>
  <c r="CX49" i="18"/>
  <c r="CW49" i="18"/>
  <c r="CR49" i="18"/>
  <c r="CS49" i="18" s="1"/>
  <c r="CP49" i="18"/>
  <c r="CY49" i="18" s="1"/>
  <c r="CO49" i="18"/>
  <c r="CF49" i="18"/>
  <c r="BX49" i="18"/>
  <c r="BZ49" i="18" s="1"/>
  <c r="BT49" i="18"/>
  <c r="BS49" i="18"/>
  <c r="BR49" i="18"/>
  <c r="CX48" i="18"/>
  <c r="CW48" i="18"/>
  <c r="CR48" i="18"/>
  <c r="CT48" i="18" s="1"/>
  <c r="CU48" i="18" s="1"/>
  <c r="CP48" i="18"/>
  <c r="CY48" i="18" s="1"/>
  <c r="CO48" i="18"/>
  <c r="CF48" i="18"/>
  <c r="BX48" i="18"/>
  <c r="BZ48" i="18" s="1"/>
  <c r="BT48" i="18"/>
  <c r="BS48" i="18"/>
  <c r="BR48" i="18"/>
  <c r="CX75" i="18"/>
  <c r="CW75" i="18"/>
  <c r="CR75" i="18"/>
  <c r="CT75" i="18" s="1"/>
  <c r="CU75" i="18" s="1"/>
  <c r="CP75" i="18"/>
  <c r="CY75" i="18" s="1"/>
  <c r="CO75" i="18"/>
  <c r="CF75" i="18"/>
  <c r="BX75" i="18"/>
  <c r="BZ75" i="18" s="1"/>
  <c r="BT75" i="18"/>
  <c r="BS75" i="18"/>
  <c r="BR75" i="18"/>
  <c r="CX66" i="18"/>
  <c r="CW66" i="18"/>
  <c r="CR66" i="18"/>
  <c r="CS66" i="18" s="1"/>
  <c r="CP66" i="18"/>
  <c r="CY66" i="18" s="1"/>
  <c r="CO66" i="18"/>
  <c r="CF66" i="18"/>
  <c r="BX66" i="18"/>
  <c r="BZ66" i="18" s="1"/>
  <c r="BT66" i="18"/>
  <c r="BS66" i="18"/>
  <c r="BR66" i="18"/>
  <c r="CX64" i="18"/>
  <c r="CW64" i="18"/>
  <c r="CR64" i="18"/>
  <c r="CT64" i="18" s="1"/>
  <c r="CU64" i="18" s="1"/>
  <c r="CP64" i="18"/>
  <c r="CY64" i="18" s="1"/>
  <c r="CO64" i="18"/>
  <c r="CF64" i="18"/>
  <c r="BX64" i="18"/>
  <c r="BZ64" i="18" s="1"/>
  <c r="BT64" i="18"/>
  <c r="BS64" i="18"/>
  <c r="BR64" i="18"/>
  <c r="CX63" i="18"/>
  <c r="CW63" i="18"/>
  <c r="CR63" i="18"/>
  <c r="CS63" i="18" s="1"/>
  <c r="CP63" i="18"/>
  <c r="CY63" i="18" s="1"/>
  <c r="CO63" i="18"/>
  <c r="CF63" i="18"/>
  <c r="BX63" i="18"/>
  <c r="BZ63" i="18" s="1"/>
  <c r="BT63" i="18"/>
  <c r="BS63" i="18"/>
  <c r="BR63" i="18"/>
  <c r="CX62" i="18"/>
  <c r="CW62" i="18"/>
  <c r="CR62" i="18"/>
  <c r="CT62" i="18" s="1"/>
  <c r="CU62" i="18" s="1"/>
  <c r="CP62" i="18"/>
  <c r="CY62" i="18" s="1"/>
  <c r="CO62" i="18"/>
  <c r="CF62" i="18"/>
  <c r="BX62" i="18"/>
  <c r="BZ62" i="18" s="1"/>
  <c r="BT62" i="18"/>
  <c r="BS62" i="18"/>
  <c r="BR62" i="18"/>
  <c r="CX61" i="18"/>
  <c r="CW61" i="18"/>
  <c r="CR61" i="18"/>
  <c r="CS61" i="18" s="1"/>
  <c r="CP61" i="18"/>
  <c r="CY61" i="18" s="1"/>
  <c r="CO61" i="18"/>
  <c r="CF61" i="18"/>
  <c r="BX61" i="18"/>
  <c r="BZ61" i="18" s="1"/>
  <c r="BT61" i="18"/>
  <c r="BS61" i="18"/>
  <c r="BR61" i="18"/>
  <c r="CX60" i="18"/>
  <c r="CW60" i="18"/>
  <c r="CR60" i="18"/>
  <c r="CT60" i="18" s="1"/>
  <c r="CU60" i="18" s="1"/>
  <c r="CP60" i="18"/>
  <c r="CY60" i="18" s="1"/>
  <c r="CO60" i="18"/>
  <c r="CF60" i="18"/>
  <c r="BX60" i="18"/>
  <c r="BZ60" i="18" s="1"/>
  <c r="BT60" i="18"/>
  <c r="BS60" i="18"/>
  <c r="BR60" i="18"/>
  <c r="CX58" i="18"/>
  <c r="CW58" i="18"/>
  <c r="CR58" i="18"/>
  <c r="CS58" i="18" s="1"/>
  <c r="CP58" i="18"/>
  <c r="CY58" i="18" s="1"/>
  <c r="CO58" i="18"/>
  <c r="CF58" i="18"/>
  <c r="BX58" i="18"/>
  <c r="BZ58" i="18" s="1"/>
  <c r="BT58" i="18"/>
  <c r="BS58" i="18"/>
  <c r="BR58" i="18"/>
  <c r="CX57" i="18"/>
  <c r="CW57" i="18"/>
  <c r="CR57" i="18"/>
  <c r="CT57" i="18" s="1"/>
  <c r="CU57" i="18" s="1"/>
  <c r="CP57" i="18"/>
  <c r="CY57" i="18" s="1"/>
  <c r="CO57" i="18"/>
  <c r="CF57" i="18"/>
  <c r="BX57" i="18"/>
  <c r="BZ57" i="18" s="1"/>
  <c r="BT57" i="18"/>
  <c r="BS57" i="18"/>
  <c r="BR57" i="18"/>
  <c r="CX46" i="18"/>
  <c r="CW46" i="18"/>
  <c r="CR46" i="18"/>
  <c r="CT46" i="18" s="1"/>
  <c r="CU46" i="18" s="1"/>
  <c r="CP46" i="18"/>
  <c r="CY46" i="18" s="1"/>
  <c r="CO46" i="18"/>
  <c r="CF46" i="18"/>
  <c r="BX46" i="18"/>
  <c r="BZ46" i="18" s="1"/>
  <c r="BT46" i="18"/>
  <c r="BS46" i="18"/>
  <c r="BR46" i="18"/>
  <c r="CX45" i="18"/>
  <c r="CW45" i="18"/>
  <c r="CR45" i="18"/>
  <c r="CS45" i="18" s="1"/>
  <c r="CP45" i="18"/>
  <c r="CY45" i="18" s="1"/>
  <c r="CO45" i="18"/>
  <c r="CF45" i="18"/>
  <c r="BX45" i="18"/>
  <c r="BZ45" i="18" s="1"/>
  <c r="BT45" i="18"/>
  <c r="BS45" i="18"/>
  <c r="BR45" i="18"/>
  <c r="CX44" i="18"/>
  <c r="CW44" i="18"/>
  <c r="CR44" i="18"/>
  <c r="CT44" i="18" s="1"/>
  <c r="CU44" i="18" s="1"/>
  <c r="CP44" i="18"/>
  <c r="CY44" i="18" s="1"/>
  <c r="CO44" i="18"/>
  <c r="CF44" i="18"/>
  <c r="BX44" i="18"/>
  <c r="BZ44" i="18" s="1"/>
  <c r="BT44" i="18"/>
  <c r="BS44" i="18"/>
  <c r="BR44" i="18"/>
  <c r="CX43" i="18"/>
  <c r="CW43" i="18"/>
  <c r="CR43" i="18"/>
  <c r="CS43" i="18" s="1"/>
  <c r="CP43" i="18"/>
  <c r="CY43" i="18" s="1"/>
  <c r="CO43" i="18"/>
  <c r="CF43" i="18"/>
  <c r="BX43" i="18"/>
  <c r="BZ43" i="18" s="1"/>
  <c r="BT43" i="18"/>
  <c r="BS43" i="18"/>
  <c r="BR43" i="18"/>
  <c r="CX42" i="18"/>
  <c r="CW42" i="18"/>
  <c r="CR42" i="18"/>
  <c r="CT42" i="18" s="1"/>
  <c r="CU42" i="18" s="1"/>
  <c r="CP42" i="18"/>
  <c r="CY42" i="18" s="1"/>
  <c r="CO42" i="18"/>
  <c r="CF42" i="18"/>
  <c r="BX42" i="18"/>
  <c r="BZ42" i="18" s="1"/>
  <c r="BT42" i="18"/>
  <c r="BS42" i="18"/>
  <c r="BR42" i="18"/>
  <c r="CX40" i="18"/>
  <c r="CW40" i="18"/>
  <c r="CR40" i="18"/>
  <c r="CT40" i="18" s="1"/>
  <c r="CU40" i="18" s="1"/>
  <c r="CP40" i="18"/>
  <c r="CY40" i="18" s="1"/>
  <c r="CO40" i="18"/>
  <c r="CF40" i="18"/>
  <c r="BX40" i="18"/>
  <c r="BZ40" i="18" s="1"/>
  <c r="BT40" i="18"/>
  <c r="BS40" i="18"/>
  <c r="BR40" i="18"/>
  <c r="CX39" i="18"/>
  <c r="CW39" i="18"/>
  <c r="CR39" i="18"/>
  <c r="CT39" i="18" s="1"/>
  <c r="CU39" i="18" s="1"/>
  <c r="CP39" i="18"/>
  <c r="CY39" i="18" s="1"/>
  <c r="CO39" i="18"/>
  <c r="CF39" i="18"/>
  <c r="BX39" i="18"/>
  <c r="BZ39" i="18" s="1"/>
  <c r="BT39" i="18"/>
  <c r="BS39" i="18"/>
  <c r="BR39" i="18"/>
  <c r="CX91" i="18"/>
  <c r="CW91" i="18"/>
  <c r="CR91" i="18"/>
  <c r="CT91" i="18" s="1"/>
  <c r="CU91" i="18" s="1"/>
  <c r="CP91" i="18"/>
  <c r="CY91" i="18" s="1"/>
  <c r="CO91" i="18"/>
  <c r="CF91" i="18"/>
  <c r="BX91" i="18"/>
  <c r="BZ91" i="18" s="1"/>
  <c r="BT91" i="18"/>
  <c r="BS91" i="18"/>
  <c r="BR91" i="18"/>
  <c r="CX90" i="18"/>
  <c r="CW90" i="18"/>
  <c r="CR90" i="18"/>
  <c r="CT90" i="18" s="1"/>
  <c r="CU90" i="18" s="1"/>
  <c r="CP90" i="18"/>
  <c r="CY90" i="18" s="1"/>
  <c r="CO90" i="18"/>
  <c r="CF90" i="18"/>
  <c r="BX90" i="18"/>
  <c r="BZ90" i="18" s="1"/>
  <c r="BT90" i="18"/>
  <c r="BS90" i="18"/>
  <c r="BR90" i="18"/>
  <c r="CX89" i="18"/>
  <c r="CW89" i="18"/>
  <c r="CR89" i="18"/>
  <c r="CT89" i="18" s="1"/>
  <c r="CU89" i="18" s="1"/>
  <c r="CP89" i="18"/>
  <c r="CY89" i="18" s="1"/>
  <c r="CO89" i="18"/>
  <c r="CF89" i="18"/>
  <c r="BX89" i="18"/>
  <c r="BZ89" i="18" s="1"/>
  <c r="BT89" i="18"/>
  <c r="BS89" i="18"/>
  <c r="BR89" i="18"/>
  <c r="CX88" i="18"/>
  <c r="CW88" i="18"/>
  <c r="CR88" i="18"/>
  <c r="CT88" i="18" s="1"/>
  <c r="CU88" i="18" s="1"/>
  <c r="CP88" i="18"/>
  <c r="CY88" i="18" s="1"/>
  <c r="CO88" i="18"/>
  <c r="CF88" i="18"/>
  <c r="BX88" i="18"/>
  <c r="BZ88" i="18" s="1"/>
  <c r="BT88" i="18"/>
  <c r="BS88" i="18"/>
  <c r="BR88" i="18"/>
  <c r="CX84" i="18"/>
  <c r="CW84" i="18"/>
  <c r="CR84" i="18"/>
  <c r="CT84" i="18" s="1"/>
  <c r="CU84" i="18" s="1"/>
  <c r="CP84" i="18"/>
  <c r="CY84" i="18" s="1"/>
  <c r="CO84" i="18"/>
  <c r="CF84" i="18"/>
  <c r="BX84" i="18"/>
  <c r="BZ84" i="18" s="1"/>
  <c r="BT84" i="18"/>
  <c r="BS84" i="18"/>
  <c r="BR84" i="18"/>
  <c r="CX87" i="18"/>
  <c r="CW87" i="18"/>
  <c r="CR87" i="18"/>
  <c r="CT87" i="18" s="1"/>
  <c r="CU87" i="18" s="1"/>
  <c r="CP87" i="18"/>
  <c r="CY87" i="18" s="1"/>
  <c r="CO87" i="18"/>
  <c r="CF87" i="18"/>
  <c r="BX87" i="18"/>
  <c r="BZ87" i="18" s="1"/>
  <c r="BT87" i="18"/>
  <c r="BS87" i="18"/>
  <c r="BR87" i="18"/>
  <c r="CX85" i="18"/>
  <c r="CW85" i="18"/>
  <c r="CR85" i="18"/>
  <c r="CT85" i="18" s="1"/>
  <c r="CU85" i="18" s="1"/>
  <c r="CP85" i="18"/>
  <c r="CY85" i="18" s="1"/>
  <c r="CO85" i="18"/>
  <c r="CF85" i="18"/>
  <c r="BX85" i="18"/>
  <c r="BZ85" i="18" s="1"/>
  <c r="BT85" i="18"/>
  <c r="BS85" i="18"/>
  <c r="BR85" i="18"/>
  <c r="CX28" i="18"/>
  <c r="CW28" i="18"/>
  <c r="CX27" i="18"/>
  <c r="CW27" i="18"/>
  <c r="CX26" i="18"/>
  <c r="CW26" i="18"/>
  <c r="CX25" i="18"/>
  <c r="CW25" i="18"/>
  <c r="CX24" i="18"/>
  <c r="CW24" i="18"/>
  <c r="CR28" i="18"/>
  <c r="CT28" i="18" s="1"/>
  <c r="CU28" i="18" s="1"/>
  <c r="CR27" i="18"/>
  <c r="CT27" i="18" s="1"/>
  <c r="CU27" i="18" s="1"/>
  <c r="CR26" i="18"/>
  <c r="CS26" i="18" s="1"/>
  <c r="CR25" i="18"/>
  <c r="CT25" i="18" s="1"/>
  <c r="CU25" i="18" s="1"/>
  <c r="CR24" i="18"/>
  <c r="CT24" i="18" s="1"/>
  <c r="CU24" i="18" s="1"/>
  <c r="CW19" i="18"/>
  <c r="CX19" i="18"/>
  <c r="CW20" i="18"/>
  <c r="CX20" i="18"/>
  <c r="CW21" i="18"/>
  <c r="CX21" i="18"/>
  <c r="CW22" i="18"/>
  <c r="CX22" i="18"/>
  <c r="CX18" i="18"/>
  <c r="CW18" i="18"/>
  <c r="CS7" i="18"/>
  <c r="CT7" i="18"/>
  <c r="CS8" i="18"/>
  <c r="CT8" i="18"/>
  <c r="CS9" i="18"/>
  <c r="CT9" i="18"/>
  <c r="CS10" i="18"/>
  <c r="CT10" i="18"/>
  <c r="CT6" i="18"/>
  <c r="CS6" i="18"/>
  <c r="CR22" i="18"/>
  <c r="CS22" i="18" s="1"/>
  <c r="CR21" i="18"/>
  <c r="CS21" i="18" s="1"/>
  <c r="CR20" i="18"/>
  <c r="CT20" i="18" s="1"/>
  <c r="CU20" i="18" s="1"/>
  <c r="CR19" i="18"/>
  <c r="CS19" i="18" s="1"/>
  <c r="CR18" i="18"/>
  <c r="CS18" i="18" s="1"/>
  <c r="CP28" i="18"/>
  <c r="CY28" i="18" s="1"/>
  <c r="CO28" i="18"/>
  <c r="CF28" i="18"/>
  <c r="BX28" i="18"/>
  <c r="BZ28" i="18" s="1"/>
  <c r="BT28" i="18"/>
  <c r="BS28" i="18"/>
  <c r="BR28" i="18"/>
  <c r="CP27" i="18"/>
  <c r="CY27" i="18" s="1"/>
  <c r="CO27" i="18"/>
  <c r="CF27" i="18"/>
  <c r="BX27" i="18"/>
  <c r="BZ27" i="18" s="1"/>
  <c r="BT27" i="18"/>
  <c r="BS27" i="18"/>
  <c r="BR27" i="18"/>
  <c r="CP26" i="18"/>
  <c r="CY26" i="18" s="1"/>
  <c r="CO26" i="18"/>
  <c r="CF26" i="18"/>
  <c r="BX26" i="18"/>
  <c r="BZ26" i="18" s="1"/>
  <c r="BT26" i="18"/>
  <c r="BS26" i="18"/>
  <c r="BR26" i="18"/>
  <c r="CV7" i="18"/>
  <c r="CX7" i="18" s="1"/>
  <c r="CY7" i="18" s="1"/>
  <c r="CV8" i="18"/>
  <c r="CX8" i="18" s="1"/>
  <c r="CY8" i="18" s="1"/>
  <c r="CV9" i="18"/>
  <c r="CX9" i="18" s="1"/>
  <c r="CY9" i="18" s="1"/>
  <c r="CV10" i="18"/>
  <c r="CX10" i="18" s="1"/>
  <c r="CY10" i="18" s="1"/>
  <c r="CV6" i="18"/>
  <c r="CW6" i="18" s="1"/>
  <c r="BR25" i="18"/>
  <c r="BR19" i="18"/>
  <c r="BR20" i="18"/>
  <c r="BR21" i="18"/>
  <c r="BR22" i="18"/>
  <c r="BR7" i="18"/>
  <c r="BR8" i="18"/>
  <c r="BR9" i="18"/>
  <c r="BR10" i="18"/>
  <c r="CP25" i="18"/>
  <c r="CY25" i="18" s="1"/>
  <c r="CO25" i="18"/>
  <c r="CF25" i="18"/>
  <c r="BX25" i="18"/>
  <c r="BZ25" i="18" s="1"/>
  <c r="BT25" i="18"/>
  <c r="BS25" i="18"/>
  <c r="BR24" i="18"/>
  <c r="BR18" i="18"/>
  <c r="BR6" i="18"/>
  <c r="CP24" i="18"/>
  <c r="CY24" i="18" s="1"/>
  <c r="CO24" i="18"/>
  <c r="CF24" i="18"/>
  <c r="BX24" i="18"/>
  <c r="BZ24" i="18" s="1"/>
  <c r="BT24" i="18"/>
  <c r="BS24" i="18"/>
  <c r="CP7" i="18"/>
  <c r="CU7" i="18" s="1"/>
  <c r="CO7" i="18"/>
  <c r="CF7" i="18"/>
  <c r="BX7" i="18"/>
  <c r="BZ7" i="18" s="1"/>
  <c r="BT7" i="18"/>
  <c r="BS7" i="18"/>
  <c r="CP19" i="18"/>
  <c r="CY19" i="18" s="1"/>
  <c r="CO19" i="18"/>
  <c r="CF19" i="18"/>
  <c r="BX19" i="18"/>
  <c r="BZ19" i="18" s="1"/>
  <c r="BT19" i="18"/>
  <c r="BS19" i="18"/>
  <c r="CP10" i="18"/>
  <c r="CU10" i="18" s="1"/>
  <c r="CO10" i="18"/>
  <c r="CF10" i="18"/>
  <c r="BX10" i="18"/>
  <c r="BZ10" i="18" s="1"/>
  <c r="BT10" i="18"/>
  <c r="BS10" i="18"/>
  <c r="CP9" i="18"/>
  <c r="CU9" i="18" s="1"/>
  <c r="CO9" i="18"/>
  <c r="CF9" i="18"/>
  <c r="BX9" i="18"/>
  <c r="BZ9" i="18" s="1"/>
  <c r="BT9" i="18"/>
  <c r="BS9" i="18"/>
  <c r="CP8" i="18"/>
  <c r="CU8" i="18" s="1"/>
  <c r="CO8" i="18"/>
  <c r="CF8" i="18"/>
  <c r="BX8" i="18"/>
  <c r="BZ8" i="18" s="1"/>
  <c r="BT8" i="18"/>
  <c r="BS8" i="18"/>
  <c r="CP6" i="18"/>
  <c r="CU6" i="18" s="1"/>
  <c r="CO6" i="18"/>
  <c r="CF6" i="18"/>
  <c r="BX6" i="18"/>
  <c r="BZ6" i="18" s="1"/>
  <c r="BT6" i="18"/>
  <c r="BS6" i="18"/>
  <c r="CP22" i="18"/>
  <c r="CY22" i="18" s="1"/>
  <c r="CO22" i="18"/>
  <c r="CF22" i="18"/>
  <c r="BX22" i="18"/>
  <c r="BZ22" i="18" s="1"/>
  <c r="BT22" i="18"/>
  <c r="BS22" i="18"/>
  <c r="CP21" i="18"/>
  <c r="CY21" i="18" s="1"/>
  <c r="CO21" i="18"/>
  <c r="CF21" i="18"/>
  <c r="BX21" i="18"/>
  <c r="BZ21" i="18" s="1"/>
  <c r="BT21" i="18"/>
  <c r="BS21" i="18"/>
  <c r="CP20" i="18"/>
  <c r="CY20" i="18" s="1"/>
  <c r="CO20" i="18"/>
  <c r="CF20" i="18"/>
  <c r="BX20" i="18"/>
  <c r="BZ20" i="18" s="1"/>
  <c r="BT20" i="18"/>
  <c r="BS20" i="18"/>
  <c r="CP18" i="18"/>
  <c r="CY18" i="18" s="1"/>
  <c r="CO18" i="18"/>
  <c r="CF18" i="18"/>
  <c r="BX18" i="18"/>
  <c r="BZ18" i="18" s="1"/>
  <c r="BT18" i="18"/>
  <c r="BS18" i="18"/>
  <c r="CT14" i="18" l="1"/>
  <c r="CU14" i="18" s="1"/>
  <c r="CS13" i="18"/>
  <c r="CS16" i="18"/>
  <c r="CS12" i="18"/>
  <c r="CS15" i="18"/>
  <c r="CS35" i="18"/>
  <c r="CS98" i="18"/>
  <c r="CT95" i="18"/>
  <c r="CU95" i="18" s="1"/>
  <c r="CT32" i="18"/>
  <c r="CU32" i="18" s="1"/>
  <c r="CS93" i="18"/>
  <c r="CS94" i="18"/>
  <c r="CS100" i="18"/>
  <c r="CT97" i="18"/>
  <c r="CU97" i="18" s="1"/>
  <c r="CS96" i="18"/>
  <c r="CS99" i="18"/>
  <c r="CT34" i="18"/>
  <c r="CU34" i="18" s="1"/>
  <c r="CS37" i="18"/>
  <c r="CT33" i="18"/>
  <c r="CU33" i="18" s="1"/>
  <c r="CS36" i="18"/>
  <c r="CT30" i="18"/>
  <c r="CU30" i="18" s="1"/>
  <c r="CS31" i="18"/>
  <c r="CT77" i="18"/>
  <c r="CU77" i="18" s="1"/>
  <c r="CS68" i="18"/>
  <c r="CS59" i="18"/>
  <c r="CS50" i="18"/>
  <c r="CS41" i="18"/>
  <c r="CT72" i="18"/>
  <c r="CU72" i="18" s="1"/>
  <c r="CS86" i="18"/>
  <c r="CT76" i="18"/>
  <c r="CU76" i="18" s="1"/>
  <c r="CT49" i="18"/>
  <c r="CU49" i="18" s="1"/>
  <c r="CT52" i="18"/>
  <c r="CU52" i="18" s="1"/>
  <c r="CT54" i="18"/>
  <c r="CU54" i="18" s="1"/>
  <c r="CT67" i="18"/>
  <c r="CU67" i="18" s="1"/>
  <c r="CT70" i="18"/>
  <c r="CU70" i="18" s="1"/>
  <c r="CT79" i="18"/>
  <c r="CU79" i="18" s="1"/>
  <c r="CT81" i="18"/>
  <c r="CU81" i="18" s="1"/>
  <c r="CS78" i="18"/>
  <c r="CS80" i="18"/>
  <c r="CS82" i="18"/>
  <c r="CS69" i="18"/>
  <c r="CS71" i="18"/>
  <c r="CS73" i="18"/>
  <c r="CS51" i="18"/>
  <c r="CT53" i="18"/>
  <c r="CU53" i="18" s="1"/>
  <c r="CS55" i="18"/>
  <c r="CS48" i="18"/>
  <c r="CT43" i="18"/>
  <c r="CU43" i="18" s="1"/>
  <c r="CT45" i="18"/>
  <c r="CU45" i="18" s="1"/>
  <c r="CT63" i="18"/>
  <c r="CU63" i="18" s="1"/>
  <c r="CT61" i="18"/>
  <c r="CU61" i="18" s="1"/>
  <c r="CT58" i="18"/>
  <c r="CU58" i="18" s="1"/>
  <c r="CS75" i="18"/>
  <c r="CT66" i="18"/>
  <c r="CU66" i="18" s="1"/>
  <c r="CS60" i="18"/>
  <c r="CS62" i="18"/>
  <c r="CS64" i="18"/>
  <c r="CS57" i="18"/>
  <c r="CS44" i="18"/>
  <c r="CS46" i="18"/>
  <c r="CS42" i="18"/>
  <c r="CS40" i="18"/>
  <c r="CS39" i="18"/>
  <c r="CS91" i="18"/>
  <c r="CS90" i="18"/>
  <c r="CS89" i="18"/>
  <c r="CS88" i="18"/>
  <c r="CS84" i="18"/>
  <c r="CT18" i="18"/>
  <c r="CU18" i="18" s="1"/>
  <c r="CT21" i="18"/>
  <c r="CU21" i="18" s="1"/>
  <c r="CS87" i="18"/>
  <c r="CS85" i="18"/>
  <c r="CS20" i="18"/>
  <c r="CW7" i="18"/>
  <c r="CT19" i="18"/>
  <c r="CU19" i="18" s="1"/>
  <c r="CW8" i="18"/>
  <c r="CT22" i="18"/>
  <c r="CU22" i="18" s="1"/>
  <c r="CT26" i="18"/>
  <c r="CU26" i="18" s="1"/>
  <c r="CW10" i="18"/>
  <c r="CW9" i="18"/>
  <c r="CX6" i="18"/>
  <c r="CY6" i="18" s="1"/>
  <c r="CS24" i="18"/>
  <c r="CS25" i="18"/>
  <c r="CS27" i="18"/>
  <c r="CS28" i="18"/>
</calcChain>
</file>

<file path=xl/sharedStrings.xml><?xml version="1.0" encoding="utf-8"?>
<sst xmlns="http://schemas.openxmlformats.org/spreadsheetml/2006/main" count="1718" uniqueCount="132">
  <si>
    <t>MACD</t>
  </si>
  <si>
    <t>CCI</t>
  </si>
  <si>
    <t>PSAR</t>
  </si>
  <si>
    <t>RSI</t>
  </si>
  <si>
    <t>*</t>
  </si>
  <si>
    <t>_manual</t>
  </si>
  <si>
    <t>_tsm_psar_begin</t>
  </si>
  <si>
    <t>Profit Factor</t>
  </si>
  <si>
    <t>Expectancy</t>
  </si>
  <si>
    <t>Sharpe</t>
  </si>
  <si>
    <t>Timeframe</t>
  </si>
  <si>
    <t>Test</t>
  </si>
  <si>
    <t>Wins</t>
  </si>
  <si>
    <t>Win Rate</t>
  </si>
  <si>
    <t>Loss Rate</t>
  </si>
  <si>
    <t>psar_continue</t>
  </si>
  <si>
    <t>Pair</t>
  </si>
  <si>
    <t>USDJPY</t>
  </si>
  <si>
    <t>Period</t>
  </si>
  <si>
    <t>2024: 01-12</t>
  </si>
  <si>
    <t>Trades</t>
  </si>
  <si>
    <t>Net Profit</t>
  </si>
  <si>
    <t>PF</t>
  </si>
  <si>
    <t>M15</t>
  </si>
  <si>
    <t>2024: 01</t>
  </si>
  <si>
    <t>LDN,NY,TKY</t>
  </si>
  <si>
    <t>Loss</t>
  </si>
  <si>
    <t>BE</t>
  </si>
  <si>
    <t>RR</t>
  </si>
  <si>
    <t>ROE (%)</t>
  </si>
  <si>
    <t>Max DD (%)</t>
  </si>
  <si>
    <t>Trail Wins</t>
  </si>
  <si>
    <t>TP Wins</t>
  </si>
  <si>
    <t>Equity</t>
  </si>
  <si>
    <t>crossover</t>
  </si>
  <si>
    <t>Capital</t>
  </si>
  <si>
    <t>EMA</t>
  </si>
  <si>
    <t>indicators</t>
  </si>
  <si>
    <t>hhll_distance</t>
  </si>
  <si>
    <t>lookback</t>
  </si>
  <si>
    <t>period</t>
  </si>
  <si>
    <t>threshold.upper</t>
  </si>
  <si>
    <t>threshold.lower</t>
  </si>
  <si>
    <t>imt_settings</t>
  </si>
  <si>
    <t>body_count</t>
  </si>
  <si>
    <t>limit_factor</t>
  </si>
  <si>
    <t>limit_candles</t>
  </si>
  <si>
    <t>tm_settings</t>
  </si>
  <si>
    <t>_sessions</t>
  </si>
  <si>
    <t>ist_settings</t>
  </si>
  <si>
    <t>manual_its</t>
  </si>
  <si>
    <t>selected_profile</t>
  </si>
  <si>
    <t>near_extreme_zone</t>
  </si>
  <si>
    <t>threshold</t>
  </si>
  <si>
    <t>Tested</t>
  </si>
  <si>
    <t>No.</t>
  </si>
  <si>
    <t>factor</t>
  </si>
  <si>
    <t>fast</t>
  </si>
  <si>
    <t>slow</t>
  </si>
  <si>
    <t>signal</t>
  </si>
  <si>
    <t>step</t>
  </si>
  <si>
    <t>max_step</t>
  </si>
  <si>
    <t>TSV_MACD_MODE</t>
  </si>
  <si>
    <t>TSV_MACD_SLOPE_MIN</t>
  </si>
  <si>
    <t>TOGGLE</t>
  </si>
  <si>
    <t>ATR</t>
  </si>
  <si>
    <t>DPB</t>
  </si>
  <si>
    <t>ENTRY</t>
  </si>
  <si>
    <t>OC</t>
  </si>
  <si>
    <t>MODE</t>
  </si>
  <si>
    <t>FLIP_COUNT_LOOKBACK</t>
  </si>
  <si>
    <t>all</t>
  </si>
  <si>
    <t>RESULTS</t>
  </si>
  <si>
    <t>or</t>
  </si>
  <si>
    <t>WINDOW</t>
  </si>
  <si>
    <t>FACTOR</t>
  </si>
  <si>
    <t>THRESHOLD</t>
  </si>
  <si>
    <t>EURJPY</t>
  </si>
  <si>
    <t>EURUSD</t>
  </si>
  <si>
    <t>GBPUSD</t>
  </si>
  <si>
    <t>AUDUSD</t>
  </si>
  <si>
    <t>TSV_MACD_HIST_MIN</t>
  </si>
  <si>
    <t>TSV_PSAR_FLIP_COUNT_LOOKBACK</t>
  </si>
  <si>
    <t>TSV_TRADE_SETUP_TOGGLE</t>
  </si>
  <si>
    <t>TSV_TRADE_SETUP_MODE</t>
  </si>
  <si>
    <t>TRADE</t>
  </si>
  <si>
    <t>TSV_TRSDE_SETUP_EMS_TOLLERANCE</t>
  </si>
  <si>
    <t>enabled</t>
  </si>
  <si>
    <t>constant</t>
  </si>
  <si>
    <t>mid_zone</t>
  </si>
  <si>
    <t>flat_epsilon</t>
  </si>
  <si>
    <t>removed</t>
  </si>
  <si>
    <t>loopback</t>
  </si>
  <si>
    <t>SLOPE_FILTER</t>
  </si>
  <si>
    <t>EMA1</t>
  </si>
  <si>
    <t>EMA2</t>
  </si>
  <si>
    <t>EMA3</t>
  </si>
  <si>
    <t>EMA4</t>
  </si>
  <si>
    <t>classic</t>
  </si>
  <si>
    <t>PROFILE</t>
  </si>
  <si>
    <t>TP_SL</t>
  </si>
  <si>
    <t>ENABLED</t>
  </si>
  <si>
    <t>TRAIL</t>
  </si>
  <si>
    <t>L_P_RUN</t>
  </si>
  <si>
    <t>ACTIVATION</t>
  </si>
  <si>
    <t>LOCK</t>
  </si>
  <si>
    <t>Net</t>
  </si>
  <si>
    <t>Avg</t>
  </si>
  <si>
    <t>Median</t>
  </si>
  <si>
    <t>Pip</t>
  </si>
  <si>
    <t>Init</t>
  </si>
  <si>
    <t>M5</t>
  </si>
  <si>
    <t>04.2.1</t>
  </si>
  <si>
    <t>H1</t>
  </si>
  <si>
    <t>EMAs</t>
  </si>
  <si>
    <t>F</t>
  </si>
  <si>
    <t>Y</t>
  </si>
  <si>
    <t>04.3.1</t>
  </si>
  <si>
    <t>/</t>
  </si>
  <si>
    <t>M</t>
  </si>
  <si>
    <t>Net Pip</t>
  </si>
  <si>
    <t>04.4.1</t>
  </si>
  <si>
    <t>04.5.1</t>
  </si>
  <si>
    <t>04.6.1</t>
  </si>
  <si>
    <t>04.7.1</t>
  </si>
  <si>
    <t>04.8.1</t>
  </si>
  <si>
    <t>04.9.1</t>
  </si>
  <si>
    <t>4..23</t>
  </si>
  <si>
    <t>04.10.1</t>
  </si>
  <si>
    <t>04.11.1</t>
  </si>
  <si>
    <t>04.1.1.1</t>
  </si>
  <si>
    <t>04.1.1.2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</si>
</sst>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7.5"/>
      <color theme="1"/>
      <name val="Aptos Narrow"/>
      <family val="2"/>
      <scheme val="minor"/>
    </font>
    <font>
      <sz val="12"/>
      <color rgb="FF0070C0"/>
      <name val="Calibri"/>
      <family val="2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Calibri"/>
      <family val="2"/>
    </font>
    <font>
      <b/>
      <sz val="12"/>
      <color theme="1"/>
      <name val="Aptos Narrow"/>
      <scheme val="minor"/>
    </font>
    <font>
      <b/>
      <sz val="12"/>
      <color rgb="FF0070C0"/>
      <name val="Aptos Narrow"/>
      <scheme val="minor"/>
    </font>
    <font>
      <sz val="12"/>
      <color theme="0" tint="-0.499984740745262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b/>
      <sz val="12"/>
      <color theme="0" tint="-0.499984740745262"/>
      <name val="Aptos Narrow"/>
      <family val="2"/>
      <scheme val="minor"/>
    </font>
    <font>
      <sz val="12"/>
      <color theme="0" tint="-0.499984740745262"/>
      <name val="Aptos Narrow"/>
      <scheme val="minor"/>
    </font>
    <font>
      <b/>
      <sz val="12"/>
      <color theme="0" tint="-0.499984740745262"/>
      <name val="Aptos Narrow"/>
      <scheme val="minor"/>
    </font>
    <font>
      <b/>
      <sz val="12"/>
      <color theme="0" tint="-0.34998626667073579"/>
      <name val="Aptos Narrow"/>
      <family val="2"/>
      <scheme val="minor"/>
    </font>
    <font>
      <sz val="12"/>
      <color theme="8"/>
      <name val="Aptos Narrow"/>
      <family val="2"/>
      <scheme val="minor"/>
    </font>
    <font>
      <b/>
      <sz val="12"/>
      <color theme="8"/>
      <name val="Aptos Narrow"/>
      <family val="2"/>
      <scheme val="minor"/>
    </font>
    <font>
      <sz val="12"/>
      <color theme="8"/>
      <name val="Calibri"/>
      <family val="2"/>
    </font>
    <font>
      <sz val="12"/>
      <color rgb="FF0070C0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theme="0"/>
      <name val="Calibri"/>
      <family val="2"/>
    </font>
    <font>
      <sz val="12"/>
      <color theme="4"/>
      <name val="Aptos Narrow"/>
      <scheme val="minor"/>
    </font>
    <font>
      <sz val="12"/>
      <name val="Aptos Narrow"/>
      <scheme val="minor"/>
    </font>
    <font>
      <sz val="12"/>
      <color theme="0" tint="-0.499984740745262"/>
      <name val="Calibri"/>
      <family val="2"/>
    </font>
    <font>
      <sz val="12"/>
      <color theme="8"/>
      <name val="Aptos Narrow"/>
      <scheme val="minor"/>
    </font>
    <font>
      <b/>
      <sz val="12"/>
      <color theme="8"/>
      <name val="Aptos Narrow"/>
      <scheme val="minor"/>
    </font>
    <font>
      <b/>
      <sz val="12"/>
      <color theme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3" fillId="0" borderId="0" xfId="0" quotePrefix="1" applyNumberFormat="1" applyFont="1"/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8" fillId="0" borderId="0" xfId="0" quotePrefix="1" applyFont="1"/>
    <xf numFmtId="0" fontId="3" fillId="3" borderId="0" xfId="0" applyFont="1" applyFill="1"/>
    <xf numFmtId="0" fontId="11" fillId="0" borderId="0" xfId="0" applyFont="1"/>
    <xf numFmtId="1" fontId="0" fillId="0" borderId="0" xfId="0" applyNumberFormat="1"/>
    <xf numFmtId="0" fontId="0" fillId="3" borderId="0" xfId="0" applyFill="1"/>
    <xf numFmtId="0" fontId="12" fillId="0" borderId="0" xfId="0" applyFont="1"/>
    <xf numFmtId="0" fontId="15" fillId="0" borderId="0" xfId="0" applyFont="1"/>
    <xf numFmtId="0" fontId="1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12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" fontId="0" fillId="4" borderId="0" xfId="0" applyNumberFormat="1" applyFill="1" applyAlignment="1">
      <alignment horizontal="right"/>
    </xf>
    <xf numFmtId="1" fontId="0" fillId="9" borderId="0" xfId="0" applyNumberFormat="1" applyFill="1" applyAlignment="1">
      <alignment horizontal="right"/>
    </xf>
    <xf numFmtId="0" fontId="3" fillId="3" borderId="0" xfId="0" applyFont="1" applyFill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/>
    <xf numFmtId="0" fontId="19" fillId="0" borderId="0" xfId="0" applyFont="1" applyAlignment="1">
      <alignment horizontal="right"/>
    </xf>
    <xf numFmtId="1" fontId="18" fillId="0" borderId="0" xfId="0" applyNumberFormat="1" applyFont="1" applyAlignment="1">
      <alignment horizontal="right"/>
    </xf>
    <xf numFmtId="1" fontId="18" fillId="4" borderId="0" xfId="0" applyNumberFormat="1" applyFont="1" applyFill="1" applyAlignment="1">
      <alignment horizontal="right"/>
    </xf>
    <xf numFmtId="0" fontId="0" fillId="2" borderId="0" xfId="0" applyFill="1"/>
    <xf numFmtId="1" fontId="18" fillId="9" borderId="0" xfId="0" applyNumberFormat="1" applyFont="1" applyFill="1" applyAlignment="1">
      <alignment horizontal="right"/>
    </xf>
    <xf numFmtId="0" fontId="21" fillId="0" borderId="0" xfId="0" applyFont="1"/>
    <xf numFmtId="0" fontId="22" fillId="0" borderId="0" xfId="0" applyFont="1"/>
    <xf numFmtId="0" fontId="2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8" borderId="0" xfId="0" applyFill="1"/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5" borderId="0" xfId="0" applyFont="1" applyFill="1" applyAlignment="1">
      <alignment horizontal="center"/>
    </xf>
    <xf numFmtId="0" fontId="26" fillId="11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10" fontId="12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26" fillId="2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9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20" fillId="15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0" fillId="8" borderId="0" xfId="0" applyFill="1" applyAlignment="1">
      <alignment horizontal="right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1" fontId="0" fillId="16" borderId="0" xfId="0" applyNumberFormat="1" applyFill="1"/>
    <xf numFmtId="0" fontId="12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1" fillId="2" borderId="0" xfId="0" applyFont="1" applyFill="1"/>
    <xf numFmtId="0" fontId="1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10" fontId="12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8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18" fillId="2" borderId="0" xfId="0" applyFont="1" applyFill="1"/>
    <xf numFmtId="0" fontId="15" fillId="2" borderId="0" xfId="0" applyFont="1" applyFill="1"/>
    <xf numFmtId="165" fontId="12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1" fontId="0" fillId="5" borderId="0" xfId="0" applyNumberFormat="1" applyFill="1" applyAlignment="1">
      <alignment horizontal="right"/>
    </xf>
    <xf numFmtId="1" fontId="18" fillId="5" borderId="0" xfId="0" applyNumberFormat="1" applyFont="1" applyFill="1" applyAlignment="1">
      <alignment horizontal="right"/>
    </xf>
    <xf numFmtId="1" fontId="0" fillId="6" borderId="0" xfId="0" applyNumberFormat="1" applyFill="1" applyAlignment="1">
      <alignment horizontal="right"/>
    </xf>
    <xf numFmtId="1" fontId="18" fillId="6" borderId="0" xfId="0" applyNumberFormat="1" applyFont="1" applyFill="1" applyAlignment="1">
      <alignment horizontal="right"/>
    </xf>
    <xf numFmtId="0" fontId="22" fillId="2" borderId="0" xfId="0" applyFont="1" applyFill="1"/>
    <xf numFmtId="0" fontId="8" fillId="3" borderId="0" xfId="0" applyFont="1" applyFill="1"/>
    <xf numFmtId="0" fontId="21" fillId="3" borderId="0" xfId="0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8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7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6" fillId="3" borderId="0" xfId="0" applyFont="1" applyFill="1" applyAlignment="1">
      <alignment horizontal="right"/>
    </xf>
    <xf numFmtId="0" fontId="19" fillId="3" borderId="0" xfId="0" applyFont="1" applyFill="1" applyAlignment="1">
      <alignment horizontal="right"/>
    </xf>
    <xf numFmtId="0" fontId="10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3B72-0EB2-DB45-94B1-F23226FA8A24}">
  <sheetPr codeName="Sheet11"/>
  <dimension ref="A1:CY223"/>
  <sheetViews>
    <sheetView tabSelected="1" zoomScale="82" zoomScaleNormal="50" workbookViewId="0">
      <pane ySplit="4" topLeftCell="A5" activePane="bottomLeft" state="frozen"/>
      <selection pane="bottomLeft"/>
    </sheetView>
  </sheetViews>
  <sheetFormatPr baseColWidth="10" defaultRowHeight="16" outlineLevelRow="1" outlineLevelCol="2" x14ac:dyDescent="0.2"/>
  <cols>
    <col min="5" max="5" width="11.83203125" customWidth="1"/>
    <col min="6" max="6" width="10.83203125" customWidth="1" outlineLevel="1"/>
    <col min="7" max="7" width="10.83203125" style="40" customWidth="1" outlineLevel="2"/>
    <col min="8" max="8" width="10.83203125" style="45" customWidth="1" outlineLevel="1"/>
    <col min="9" max="9" width="10.83203125" style="45" customWidth="1" outlineLevel="2"/>
    <col min="10" max="12" width="10.83203125" style="46" customWidth="1" outlineLevel="2"/>
    <col min="13" max="13" width="10.83203125" style="47" customWidth="1" outlineLevel="1"/>
    <col min="14" max="16" width="10.83203125" style="47" customWidth="1" outlineLevel="2"/>
    <col min="17" max="17" width="10.83203125" style="45" customWidth="1" outlineLevel="1"/>
    <col min="18" max="18" width="10.83203125" style="45" customWidth="1" outlineLevel="2"/>
    <col min="19" max="19" width="10.83203125" style="47" customWidth="1" outlineLevel="1"/>
    <col min="20" max="25" width="10.83203125" style="47" customWidth="1" outlineLevel="2"/>
    <col min="26" max="26" width="10.83203125" style="45" customWidth="1" outlineLevel="1"/>
    <col min="27" max="27" width="10.83203125" style="45" customWidth="1" outlineLevel="2"/>
    <col min="28" max="28" width="10.83203125" style="45" customWidth="1" outlineLevel="1"/>
    <col min="29" max="29" width="10.83203125" style="48" customWidth="1" outlineLevel="1"/>
    <col min="30" max="30" width="10.83203125" style="48" customWidth="1" outlineLevel="2"/>
    <col min="31" max="31" width="10.83203125" style="48" customWidth="1" outlineLevel="1"/>
    <col min="32" max="32" width="10.83203125" style="47" customWidth="1" outlineLevel="2"/>
    <col min="33" max="33" width="10.83203125" style="47" customWidth="1" outlineLevel="1"/>
    <col min="34" max="37" width="5.83203125" style="47" customWidth="1"/>
    <col min="38" max="38" width="10.83203125" style="45" customWidth="1" outlineLevel="1"/>
    <col min="39" max="39" width="10.83203125" style="45" customWidth="1" outlineLevel="1" collapsed="1"/>
    <col min="40" max="41" width="10.83203125" style="45" customWidth="1" outlineLevel="2"/>
    <col min="42" max="42" width="10.83203125" style="45" customWidth="1" outlineLevel="2" collapsed="1"/>
    <col min="43" max="43" width="10.83203125" style="45" customWidth="1" outlineLevel="1"/>
    <col min="44" max="44" width="5.83203125" style="45" customWidth="1"/>
    <col min="45" max="45" width="5.83203125" style="64" customWidth="1"/>
    <col min="46" max="46" width="5.83203125" style="42" customWidth="1"/>
    <col min="47" max="47" width="10.83203125" style="45" customWidth="1" outlineLevel="1"/>
    <col min="48" max="50" width="10.83203125" style="47" customWidth="1" outlineLevel="2"/>
    <col min="51" max="51" width="10.83203125" style="45" customWidth="1" outlineLevel="1"/>
    <col min="52" max="53" width="10.83203125" style="45" customWidth="1" outlineLevel="2"/>
    <col min="54" max="54" width="10.83203125" style="42" customWidth="1" outlineLevel="2"/>
    <col min="55" max="55" width="10.83203125" style="68" customWidth="1" outlineLevel="2"/>
    <col min="56" max="56" width="10.83203125" style="45" customWidth="1" outlineLevel="1"/>
    <col min="57" max="57" width="10.83203125" style="45" customWidth="1" outlineLevel="2"/>
    <col min="58" max="58" width="10.83203125" style="45" customWidth="1" outlineLevel="1"/>
    <col min="59" max="60" width="10.83203125" style="45" customWidth="1" outlineLevel="2"/>
    <col min="61" max="61" width="10.83203125" style="68" customWidth="1" outlineLevel="1"/>
    <col min="62" max="62" width="10.83203125" style="45" customWidth="1" outlineLevel="1"/>
    <col min="63" max="63" width="10.83203125" style="69" customWidth="1" outlineLevel="2"/>
    <col min="64" max="64" width="10.83203125" style="45" customWidth="1" outlineLevel="1"/>
    <col min="65" max="65" width="10.83203125" style="68" customWidth="1" outlineLevel="2"/>
    <col min="66" max="66" width="10.83203125" style="45" customWidth="1" outlineLevel="1"/>
    <col min="67" max="67" width="10.83203125" style="68" customWidth="1" outlineLevel="1"/>
    <col min="68" max="69" width="10.83203125" style="73" customWidth="1" outlineLevel="1"/>
    <col min="70" max="70" width="13.83203125" customWidth="1"/>
    <col min="71" max="72" width="10.83203125" style="75"/>
    <col min="73" max="73" width="10.83203125" style="27"/>
    <col min="80" max="80" width="10.83203125" style="16"/>
    <col min="84" max="84" width="10.83203125" style="33"/>
    <col min="96" max="103" width="10.83203125" customWidth="1" outlineLevel="1"/>
  </cols>
  <sheetData>
    <row r="1" spans="1:103" x14ac:dyDescent="0.2">
      <c r="AF1" s="48"/>
      <c r="AG1" s="48"/>
      <c r="AR1" s="42"/>
      <c r="AS1" s="45"/>
      <c r="AT1" s="64"/>
      <c r="BP1" s="68"/>
      <c r="BV1" s="27"/>
    </row>
    <row r="2" spans="1:103" x14ac:dyDescent="0.2">
      <c r="B2" s="9" t="s">
        <v>11</v>
      </c>
      <c r="C2" t="s">
        <v>54</v>
      </c>
      <c r="D2" t="s">
        <v>54</v>
      </c>
      <c r="E2" t="s">
        <v>54</v>
      </c>
      <c r="F2" s="25" t="s">
        <v>43</v>
      </c>
      <c r="G2" s="44" t="s">
        <v>49</v>
      </c>
      <c r="H2" s="46" t="s">
        <v>49</v>
      </c>
      <c r="I2" s="46" t="s">
        <v>49</v>
      </c>
      <c r="J2" s="46" t="s">
        <v>49</v>
      </c>
      <c r="K2" s="46" t="s">
        <v>49</v>
      </c>
      <c r="L2" s="46" t="s">
        <v>49</v>
      </c>
      <c r="M2" s="48" t="s">
        <v>37</v>
      </c>
      <c r="N2" s="48" t="s">
        <v>37</v>
      </c>
      <c r="O2" s="48" t="s">
        <v>37</v>
      </c>
      <c r="P2" s="48" t="s">
        <v>37</v>
      </c>
      <c r="Q2" s="45" t="s">
        <v>49</v>
      </c>
      <c r="R2" s="45" t="s">
        <v>49</v>
      </c>
      <c r="S2" s="47" t="s">
        <v>37</v>
      </c>
      <c r="T2" s="49" t="s">
        <v>37</v>
      </c>
      <c r="U2" s="49" t="s">
        <v>37</v>
      </c>
      <c r="V2" s="49" t="s">
        <v>37</v>
      </c>
      <c r="W2" s="49" t="s">
        <v>37</v>
      </c>
      <c r="X2" s="49" t="s">
        <v>37</v>
      </c>
      <c r="Y2" s="49" t="s">
        <v>37</v>
      </c>
      <c r="Z2" s="45" t="s">
        <v>49</v>
      </c>
      <c r="AA2" s="45" t="s">
        <v>49</v>
      </c>
      <c r="AB2" s="45" t="s">
        <v>49</v>
      </c>
      <c r="AC2" s="49" t="s">
        <v>37</v>
      </c>
      <c r="AD2" s="49" t="s">
        <v>37</v>
      </c>
      <c r="AE2" s="49" t="s">
        <v>37</v>
      </c>
      <c r="AF2" s="49" t="s">
        <v>37</v>
      </c>
      <c r="AG2" s="49" t="s">
        <v>37</v>
      </c>
      <c r="AH2" s="49" t="s">
        <v>37</v>
      </c>
      <c r="AI2" s="49" t="s">
        <v>37</v>
      </c>
      <c r="AJ2" s="49" t="s">
        <v>37</v>
      </c>
      <c r="AK2" s="49" t="s">
        <v>37</v>
      </c>
      <c r="AL2" s="45" t="s">
        <v>49</v>
      </c>
      <c r="AM2" s="45" t="s">
        <v>49</v>
      </c>
      <c r="AN2" s="45" t="s">
        <v>49</v>
      </c>
      <c r="AO2" s="45" t="s">
        <v>49</v>
      </c>
      <c r="AP2" s="45" t="s">
        <v>49</v>
      </c>
      <c r="AQ2" s="45" t="s">
        <v>49</v>
      </c>
      <c r="AR2" s="49" t="s">
        <v>37</v>
      </c>
      <c r="AS2" s="49" t="s">
        <v>37</v>
      </c>
      <c r="AT2" s="49" t="s">
        <v>37</v>
      </c>
      <c r="AU2" s="45" t="s">
        <v>49</v>
      </c>
      <c r="AV2" s="49" t="s">
        <v>37</v>
      </c>
      <c r="AW2" s="49" t="s">
        <v>37</v>
      </c>
      <c r="AX2" s="49" t="s">
        <v>37</v>
      </c>
      <c r="AY2" s="45" t="s">
        <v>49</v>
      </c>
      <c r="AZ2" s="45" t="s">
        <v>49</v>
      </c>
      <c r="BA2" s="45" t="s">
        <v>49</v>
      </c>
      <c r="BB2" s="49" t="s">
        <v>37</v>
      </c>
      <c r="BC2" s="49" t="s">
        <v>37</v>
      </c>
      <c r="BD2" s="45" t="s">
        <v>49</v>
      </c>
      <c r="BE2" s="45" t="s">
        <v>49</v>
      </c>
      <c r="BF2" s="45" t="s">
        <v>49</v>
      </c>
      <c r="BG2" s="45" t="s">
        <v>49</v>
      </c>
      <c r="BH2" s="45" t="s">
        <v>49</v>
      </c>
      <c r="BI2" s="68" t="s">
        <v>47</v>
      </c>
      <c r="BJ2" s="45" t="s">
        <v>47</v>
      </c>
      <c r="BK2" s="68" t="s">
        <v>47</v>
      </c>
      <c r="BL2" s="45" t="s">
        <v>47</v>
      </c>
      <c r="BM2" s="68" t="s">
        <v>47</v>
      </c>
      <c r="BN2" s="45" t="s">
        <v>47</v>
      </c>
      <c r="BO2" s="68" t="s">
        <v>47</v>
      </c>
      <c r="BP2" s="68" t="s">
        <v>47</v>
      </c>
      <c r="BQ2" s="68" t="s">
        <v>47</v>
      </c>
      <c r="BR2" s="75" t="s">
        <v>72</v>
      </c>
      <c r="BS2" s="75" t="s">
        <v>72</v>
      </c>
      <c r="BT2" s="75" t="s">
        <v>72</v>
      </c>
      <c r="BU2" s="41" t="s">
        <v>72</v>
      </c>
      <c r="BV2" s="41" t="s">
        <v>72</v>
      </c>
      <c r="BW2" s="41" t="s">
        <v>72</v>
      </c>
      <c r="BX2" s="41" t="s">
        <v>72</v>
      </c>
      <c r="BY2" s="41" t="s">
        <v>72</v>
      </c>
      <c r="BZ2" s="41" t="s">
        <v>72</v>
      </c>
      <c r="CA2" s="41" t="s">
        <v>72</v>
      </c>
      <c r="CB2" s="24" t="s">
        <v>72</v>
      </c>
      <c r="CC2" s="41" t="s">
        <v>72</v>
      </c>
      <c r="CD2" s="41" t="s">
        <v>72</v>
      </c>
      <c r="CE2" s="41" t="s">
        <v>72</v>
      </c>
      <c r="CF2" s="75" t="s">
        <v>72</v>
      </c>
      <c r="CG2" s="41" t="s">
        <v>72</v>
      </c>
      <c r="CH2" s="41" t="s">
        <v>72</v>
      </c>
      <c r="CI2" s="41" t="s">
        <v>72</v>
      </c>
      <c r="CJ2" s="41" t="s">
        <v>72</v>
      </c>
      <c r="CK2" s="41" t="s">
        <v>72</v>
      </c>
      <c r="CL2" s="41" t="s">
        <v>72</v>
      </c>
      <c r="CM2" s="41" t="s">
        <v>72</v>
      </c>
      <c r="CN2" s="41" t="s">
        <v>72</v>
      </c>
      <c r="CO2" s="41" t="s">
        <v>72</v>
      </c>
      <c r="CP2" s="41" t="s">
        <v>72</v>
      </c>
      <c r="CR2" s="41" t="s">
        <v>115</v>
      </c>
      <c r="CS2" s="41" t="s">
        <v>72</v>
      </c>
      <c r="CT2" s="41" t="s">
        <v>72</v>
      </c>
      <c r="CU2" s="41" t="s">
        <v>72</v>
      </c>
      <c r="CV2" s="41" t="s">
        <v>115</v>
      </c>
      <c r="CW2" s="41" t="s">
        <v>72</v>
      </c>
      <c r="CX2" s="41" t="s">
        <v>72</v>
      </c>
      <c r="CY2" s="41" t="s">
        <v>72</v>
      </c>
    </row>
    <row r="3" spans="1:103" x14ac:dyDescent="0.2">
      <c r="B3" s="9" t="s">
        <v>55</v>
      </c>
      <c r="C3" s="3" t="s">
        <v>16</v>
      </c>
      <c r="D3" s="3" t="s">
        <v>10</v>
      </c>
      <c r="E3" s="3" t="s">
        <v>18</v>
      </c>
      <c r="F3" s="25" t="s">
        <v>48</v>
      </c>
      <c r="G3" s="26" t="s">
        <v>51</v>
      </c>
      <c r="H3" s="46" t="s">
        <v>64</v>
      </c>
      <c r="I3" s="46" t="s">
        <v>69</v>
      </c>
      <c r="J3" s="46" t="s">
        <v>74</v>
      </c>
      <c r="K3" s="46" t="s">
        <v>75</v>
      </c>
      <c r="L3" s="46" t="s">
        <v>76</v>
      </c>
      <c r="M3" s="48" t="s">
        <v>87</v>
      </c>
      <c r="N3" s="48" t="s">
        <v>40</v>
      </c>
      <c r="O3" s="48" t="s">
        <v>56</v>
      </c>
      <c r="P3" s="48" t="s">
        <v>53</v>
      </c>
      <c r="Q3" s="45" t="s">
        <v>64</v>
      </c>
      <c r="R3" s="45" t="s">
        <v>69</v>
      </c>
      <c r="S3" s="47" t="s">
        <v>87</v>
      </c>
      <c r="T3" s="49" t="s">
        <v>40</v>
      </c>
      <c r="U3" s="47" t="s">
        <v>88</v>
      </c>
      <c r="V3" s="49" t="s">
        <v>41</v>
      </c>
      <c r="W3" s="49" t="s">
        <v>42</v>
      </c>
      <c r="X3" s="47" t="s">
        <v>89</v>
      </c>
      <c r="Y3" s="47" t="s">
        <v>90</v>
      </c>
      <c r="Z3" s="45" t="s">
        <v>64</v>
      </c>
      <c r="AA3" s="45" t="s">
        <v>69</v>
      </c>
      <c r="AB3" s="45" t="s">
        <v>70</v>
      </c>
      <c r="AC3" s="49" t="s">
        <v>38</v>
      </c>
      <c r="AD3" s="49" t="s">
        <v>38</v>
      </c>
      <c r="AE3" s="49" t="s">
        <v>52</v>
      </c>
      <c r="AF3" s="49" t="s">
        <v>52</v>
      </c>
      <c r="AG3" s="49" t="s">
        <v>87</v>
      </c>
      <c r="AH3" s="49" t="s">
        <v>40</v>
      </c>
      <c r="AI3" s="49" t="s">
        <v>40</v>
      </c>
      <c r="AJ3" s="49" t="s">
        <v>40</v>
      </c>
      <c r="AK3" s="49" t="s">
        <v>40</v>
      </c>
      <c r="AL3" s="45" t="s">
        <v>64</v>
      </c>
      <c r="AM3" s="45" t="s">
        <v>64</v>
      </c>
      <c r="AN3" s="50" t="s">
        <v>62</v>
      </c>
      <c r="AO3" s="50" t="s">
        <v>81</v>
      </c>
      <c r="AP3" s="45" t="s">
        <v>93</v>
      </c>
      <c r="AQ3" s="50" t="s">
        <v>63</v>
      </c>
      <c r="AR3" s="49" t="s">
        <v>57</v>
      </c>
      <c r="AS3" s="49" t="s">
        <v>58</v>
      </c>
      <c r="AT3" s="49" t="s">
        <v>59</v>
      </c>
      <c r="AU3" s="45" t="s">
        <v>64</v>
      </c>
      <c r="AV3" s="49" t="s">
        <v>44</v>
      </c>
      <c r="AW3" s="49" t="s">
        <v>45</v>
      </c>
      <c r="AX3" s="49" t="s">
        <v>46</v>
      </c>
      <c r="AY3" s="45" t="s">
        <v>64</v>
      </c>
      <c r="AZ3" s="45" t="s">
        <v>69</v>
      </c>
      <c r="BA3" s="45" t="s">
        <v>82</v>
      </c>
      <c r="BB3" s="49" t="s">
        <v>60</v>
      </c>
      <c r="BC3" s="49" t="s">
        <v>61</v>
      </c>
      <c r="BD3" s="45" t="s">
        <v>64</v>
      </c>
      <c r="BE3" s="45" t="s">
        <v>69</v>
      </c>
      <c r="BF3" s="45" t="s">
        <v>83</v>
      </c>
      <c r="BG3" s="45" t="s">
        <v>84</v>
      </c>
      <c r="BH3" s="45" t="s">
        <v>86</v>
      </c>
      <c r="BI3" s="70" t="s">
        <v>85</v>
      </c>
      <c r="BJ3" s="50" t="s">
        <v>100</v>
      </c>
      <c r="BK3" s="70" t="s">
        <v>100</v>
      </c>
      <c r="BL3" s="50" t="s">
        <v>102</v>
      </c>
      <c r="BM3" s="70" t="s">
        <v>102</v>
      </c>
      <c r="BN3" s="50" t="s">
        <v>103</v>
      </c>
      <c r="BO3" s="70" t="s">
        <v>103</v>
      </c>
      <c r="BP3" s="70" t="s">
        <v>103</v>
      </c>
      <c r="BQ3" s="70" t="s">
        <v>103</v>
      </c>
      <c r="BR3" s="75"/>
      <c r="BU3"/>
      <c r="BV3" s="7"/>
      <c r="BW3" s="7"/>
      <c r="BX3" s="21"/>
      <c r="BY3" s="27"/>
      <c r="BZ3" s="21"/>
      <c r="CA3" s="7"/>
      <c r="CB3" s="24"/>
      <c r="CC3" s="18" t="s">
        <v>22</v>
      </c>
      <c r="CD3" s="7"/>
      <c r="CE3" s="21"/>
      <c r="CF3" s="78" t="s">
        <v>110</v>
      </c>
      <c r="CG3" s="18" t="s">
        <v>107</v>
      </c>
      <c r="CH3" s="18" t="s">
        <v>108</v>
      </c>
      <c r="CI3" s="17" t="s">
        <v>106</v>
      </c>
      <c r="CJ3" s="17" t="s">
        <v>107</v>
      </c>
      <c r="CK3" s="17" t="s">
        <v>108</v>
      </c>
      <c r="CL3" s="21"/>
      <c r="CM3" s="7"/>
      <c r="CN3" s="7"/>
      <c r="CO3" s="33"/>
      <c r="CP3" s="32"/>
      <c r="CR3" s="7" t="s">
        <v>118</v>
      </c>
      <c r="CS3" s="74" t="s">
        <v>119</v>
      </c>
      <c r="CT3" s="74" t="s">
        <v>119</v>
      </c>
      <c r="CU3" s="74" t="s">
        <v>119</v>
      </c>
      <c r="CV3" s="7" t="s">
        <v>4</v>
      </c>
      <c r="CW3" s="74" t="s">
        <v>116</v>
      </c>
      <c r="CX3" s="74" t="s">
        <v>116</v>
      </c>
      <c r="CY3" s="74" t="s">
        <v>116</v>
      </c>
    </row>
    <row r="4" spans="1:103" x14ac:dyDescent="0.2">
      <c r="B4" s="9"/>
      <c r="C4" s="3"/>
      <c r="D4" s="3"/>
      <c r="E4" s="3"/>
      <c r="F4" s="25"/>
      <c r="G4" s="44"/>
      <c r="H4" s="46" t="s">
        <v>65</v>
      </c>
      <c r="I4" s="46" t="s">
        <v>65</v>
      </c>
      <c r="J4" s="46" t="s">
        <v>65</v>
      </c>
      <c r="K4" s="46" t="s">
        <v>65</v>
      </c>
      <c r="L4" s="46" t="s">
        <v>65</v>
      </c>
      <c r="M4" s="48" t="s">
        <v>65</v>
      </c>
      <c r="N4" s="48" t="s">
        <v>65</v>
      </c>
      <c r="O4" s="48" t="s">
        <v>65</v>
      </c>
      <c r="P4" s="48" t="s">
        <v>65</v>
      </c>
      <c r="Q4" s="45" t="s">
        <v>1</v>
      </c>
      <c r="R4" s="45" t="s">
        <v>1</v>
      </c>
      <c r="S4" s="47" t="s">
        <v>1</v>
      </c>
      <c r="T4" s="47" t="s">
        <v>1</v>
      </c>
      <c r="U4" s="47" t="s">
        <v>1</v>
      </c>
      <c r="V4" s="47" t="s">
        <v>1</v>
      </c>
      <c r="W4" s="47" t="s">
        <v>1</v>
      </c>
      <c r="X4" s="47" t="s">
        <v>1</v>
      </c>
      <c r="Y4" s="47" t="s">
        <v>1</v>
      </c>
      <c r="Z4" s="45" t="s">
        <v>66</v>
      </c>
      <c r="AA4" s="45" t="s">
        <v>66</v>
      </c>
      <c r="AB4" s="45" t="s">
        <v>66</v>
      </c>
      <c r="AC4" s="49" t="s">
        <v>87</v>
      </c>
      <c r="AD4" s="49" t="s">
        <v>39</v>
      </c>
      <c r="AE4" s="49" t="s">
        <v>87</v>
      </c>
      <c r="AF4" s="49" t="s">
        <v>53</v>
      </c>
      <c r="AG4" s="49" t="s">
        <v>36</v>
      </c>
      <c r="AH4" s="49" t="s">
        <v>94</v>
      </c>
      <c r="AI4" s="49" t="s">
        <v>95</v>
      </c>
      <c r="AJ4" s="49" t="s">
        <v>96</v>
      </c>
      <c r="AK4" s="49" t="s">
        <v>97</v>
      </c>
      <c r="AL4" s="45" t="s">
        <v>67</v>
      </c>
      <c r="AM4" s="45" t="s">
        <v>0</v>
      </c>
      <c r="AN4" s="50" t="s">
        <v>0</v>
      </c>
      <c r="AO4" s="50" t="s">
        <v>0</v>
      </c>
      <c r="AP4" s="45" t="s">
        <v>0</v>
      </c>
      <c r="AQ4" s="50" t="s">
        <v>0</v>
      </c>
      <c r="AR4" s="49" t="s">
        <v>0</v>
      </c>
      <c r="AS4" s="49" t="s">
        <v>0</v>
      </c>
      <c r="AT4" s="49" t="s">
        <v>0</v>
      </c>
      <c r="AU4" s="45" t="s">
        <v>68</v>
      </c>
      <c r="AV4" s="49" t="s">
        <v>68</v>
      </c>
      <c r="AW4" s="49" t="s">
        <v>68</v>
      </c>
      <c r="AX4" s="49" t="s">
        <v>68</v>
      </c>
      <c r="AY4" s="45" t="s">
        <v>2</v>
      </c>
      <c r="AZ4" s="45" t="s">
        <v>2</v>
      </c>
      <c r="BA4" s="45" t="s">
        <v>2</v>
      </c>
      <c r="BB4" s="49" t="s">
        <v>2</v>
      </c>
      <c r="BC4" s="49" t="s">
        <v>2</v>
      </c>
      <c r="BD4" s="45" t="s">
        <v>3</v>
      </c>
      <c r="BE4" s="45" t="s">
        <v>3</v>
      </c>
      <c r="BF4" s="45" t="s">
        <v>85</v>
      </c>
      <c r="BG4" s="45" t="s">
        <v>85</v>
      </c>
      <c r="BH4" s="45" t="s">
        <v>85</v>
      </c>
      <c r="BI4" s="70" t="s">
        <v>99</v>
      </c>
      <c r="BJ4" s="50" t="s">
        <v>101</v>
      </c>
      <c r="BK4" s="70" t="s">
        <v>28</v>
      </c>
      <c r="BL4" s="50" t="s">
        <v>101</v>
      </c>
      <c r="BM4" s="70" t="s">
        <v>69</v>
      </c>
      <c r="BN4" s="50" t="s">
        <v>101</v>
      </c>
      <c r="BO4" s="70" t="s">
        <v>69</v>
      </c>
      <c r="BP4" s="70" t="s">
        <v>104</v>
      </c>
      <c r="BQ4" s="70" t="s">
        <v>105</v>
      </c>
      <c r="BR4" s="76" t="s">
        <v>114</v>
      </c>
      <c r="BS4" s="76" t="s">
        <v>0</v>
      </c>
      <c r="BT4" s="76" t="s">
        <v>2</v>
      </c>
      <c r="BU4" s="18" t="s">
        <v>20</v>
      </c>
      <c r="BV4" s="18" t="s">
        <v>12</v>
      </c>
      <c r="BW4" s="18" t="s">
        <v>31</v>
      </c>
      <c r="BX4" s="28" t="s">
        <v>32</v>
      </c>
      <c r="BY4" s="18" t="s">
        <v>26</v>
      </c>
      <c r="BZ4" s="19" t="s">
        <v>27</v>
      </c>
      <c r="CA4" s="18" t="s">
        <v>13</v>
      </c>
      <c r="CB4" s="23" t="s">
        <v>14</v>
      </c>
      <c r="CC4" s="18" t="s">
        <v>7</v>
      </c>
      <c r="CD4" s="18" t="s">
        <v>8</v>
      </c>
      <c r="CE4" s="18" t="s">
        <v>9</v>
      </c>
      <c r="CF4" s="34" t="s">
        <v>28</v>
      </c>
      <c r="CG4" s="18" t="s">
        <v>28</v>
      </c>
      <c r="CH4" s="18" t="s">
        <v>28</v>
      </c>
      <c r="CI4" s="17" t="s">
        <v>109</v>
      </c>
      <c r="CJ4" s="17" t="s">
        <v>109</v>
      </c>
      <c r="CK4" s="17" t="s">
        <v>109</v>
      </c>
      <c r="CL4" s="18" t="s">
        <v>30</v>
      </c>
      <c r="CM4" s="17" t="s">
        <v>35</v>
      </c>
      <c r="CN4" s="18" t="s">
        <v>21</v>
      </c>
      <c r="CO4" s="34" t="s">
        <v>33</v>
      </c>
      <c r="CP4" s="34" t="s">
        <v>29</v>
      </c>
      <c r="CR4" s="43">
        <v>12</v>
      </c>
      <c r="CS4" s="17" t="s">
        <v>120</v>
      </c>
      <c r="CT4" s="18" t="s">
        <v>21</v>
      </c>
      <c r="CU4" s="34" t="s">
        <v>29</v>
      </c>
      <c r="CV4" s="43">
        <v>12</v>
      </c>
      <c r="CW4" s="17" t="s">
        <v>120</v>
      </c>
      <c r="CX4" s="18" t="s">
        <v>21</v>
      </c>
      <c r="CY4" s="34" t="s">
        <v>29</v>
      </c>
    </row>
    <row r="5" spans="1:103" s="14" customFormat="1" x14ac:dyDescent="0.2">
      <c r="B5" s="105"/>
      <c r="C5" s="11"/>
      <c r="D5" s="11"/>
      <c r="E5" s="11"/>
      <c r="F5" s="31"/>
      <c r="G5" s="106"/>
      <c r="H5" s="81"/>
      <c r="I5" s="81"/>
      <c r="J5" s="81"/>
      <c r="K5" s="81"/>
      <c r="L5" s="81"/>
      <c r="M5" s="83"/>
      <c r="N5" s="83"/>
      <c r="O5" s="83"/>
      <c r="P5" s="83"/>
      <c r="Q5" s="80"/>
      <c r="R5" s="80"/>
      <c r="S5" s="82"/>
      <c r="T5" s="82"/>
      <c r="U5" s="82"/>
      <c r="V5" s="82"/>
      <c r="W5" s="82"/>
      <c r="X5" s="82"/>
      <c r="Y5" s="82"/>
      <c r="Z5" s="80"/>
      <c r="AA5" s="80"/>
      <c r="AB5" s="80"/>
      <c r="AC5" s="107"/>
      <c r="AD5" s="107"/>
      <c r="AE5" s="107"/>
      <c r="AF5" s="107"/>
      <c r="AG5" s="107"/>
      <c r="AH5" s="107"/>
      <c r="AI5" s="107"/>
      <c r="AJ5" s="107"/>
      <c r="AK5" s="107"/>
      <c r="AL5" s="80"/>
      <c r="AM5" s="80"/>
      <c r="AN5" s="61"/>
      <c r="AO5" s="61"/>
      <c r="AP5" s="80"/>
      <c r="AQ5" s="61"/>
      <c r="AR5" s="107"/>
      <c r="AS5" s="107"/>
      <c r="AT5" s="107"/>
      <c r="AU5" s="80"/>
      <c r="AV5" s="107"/>
      <c r="AW5" s="107"/>
      <c r="AX5" s="107"/>
      <c r="AY5" s="80"/>
      <c r="AZ5" s="80"/>
      <c r="BA5" s="80"/>
      <c r="BB5" s="107"/>
      <c r="BC5" s="107"/>
      <c r="BD5" s="80"/>
      <c r="BE5" s="80"/>
      <c r="BF5" s="80"/>
      <c r="BG5" s="80"/>
      <c r="BH5" s="80"/>
      <c r="BI5" s="108"/>
      <c r="BJ5" s="61"/>
      <c r="BK5" s="108"/>
      <c r="BL5" s="61"/>
      <c r="BM5" s="108"/>
      <c r="BN5" s="61"/>
      <c r="BO5" s="108"/>
      <c r="BP5" s="108"/>
      <c r="BQ5" s="108"/>
      <c r="BR5" s="109"/>
      <c r="BS5" s="109"/>
      <c r="BT5" s="109"/>
      <c r="BU5" s="110"/>
      <c r="BV5" s="110"/>
      <c r="BW5" s="110"/>
      <c r="BX5" s="111"/>
      <c r="BY5" s="110"/>
      <c r="BZ5" s="112"/>
      <c r="CA5" s="110"/>
      <c r="CB5" s="113"/>
      <c r="CC5" s="110"/>
      <c r="CD5" s="110"/>
      <c r="CE5" s="110"/>
      <c r="CF5" s="114"/>
      <c r="CG5" s="110"/>
      <c r="CH5" s="110"/>
      <c r="CI5" s="115"/>
      <c r="CJ5" s="115"/>
      <c r="CK5" s="115"/>
      <c r="CL5" s="110"/>
      <c r="CM5" s="115"/>
      <c r="CN5" s="110"/>
      <c r="CO5" s="114"/>
      <c r="CP5" s="114"/>
      <c r="CS5" s="115"/>
      <c r="CT5" s="110"/>
      <c r="CU5" s="114"/>
      <c r="CW5" s="115"/>
      <c r="CX5" s="110"/>
      <c r="CY5" s="114"/>
    </row>
    <row r="6" spans="1:103" x14ac:dyDescent="0.2">
      <c r="A6" s="43">
        <v>250706</v>
      </c>
      <c r="B6" s="10" t="s">
        <v>130</v>
      </c>
      <c r="C6" s="3" t="s">
        <v>17</v>
      </c>
      <c r="D6" s="3" t="s">
        <v>111</v>
      </c>
      <c r="E6" s="6" t="s">
        <v>24</v>
      </c>
      <c r="F6" s="3" t="s">
        <v>25</v>
      </c>
      <c r="G6" s="5" t="s">
        <v>50</v>
      </c>
      <c r="H6" s="52" t="b">
        <v>0</v>
      </c>
      <c r="J6" s="46" t="s">
        <v>91</v>
      </c>
      <c r="K6" s="46" t="s">
        <v>91</v>
      </c>
      <c r="L6" s="46" t="s">
        <v>91</v>
      </c>
      <c r="M6" s="56" t="b">
        <v>0</v>
      </c>
      <c r="Q6" s="51" t="b">
        <v>1</v>
      </c>
      <c r="R6" s="50" t="s">
        <v>53</v>
      </c>
      <c r="S6" s="55" t="b">
        <v>1</v>
      </c>
      <c r="T6" s="49">
        <v>13</v>
      </c>
      <c r="U6" s="47">
        <v>1.4999999999999999E-2</v>
      </c>
      <c r="V6" s="49">
        <v>75</v>
      </c>
      <c r="W6" s="49">
        <v>-75</v>
      </c>
      <c r="X6" s="47">
        <v>50</v>
      </c>
      <c r="Y6" s="47">
        <v>5</v>
      </c>
      <c r="Z6" s="51" t="b">
        <v>1</v>
      </c>
      <c r="AA6" s="50" t="s">
        <v>92</v>
      </c>
      <c r="AB6" s="54">
        <v>2</v>
      </c>
      <c r="AC6" s="56" t="b">
        <v>0</v>
      </c>
      <c r="AE6" s="56" t="b">
        <v>0</v>
      </c>
      <c r="AG6" s="55" t="b">
        <v>1</v>
      </c>
      <c r="AH6" s="48">
        <v>5</v>
      </c>
      <c r="AI6" s="48">
        <v>13</v>
      </c>
      <c r="AJ6" s="48">
        <v>34</v>
      </c>
      <c r="AK6" s="48">
        <v>89</v>
      </c>
      <c r="AL6" s="52" t="b">
        <v>0</v>
      </c>
      <c r="AM6" s="51" t="b">
        <v>1</v>
      </c>
      <c r="AN6" s="53" t="s">
        <v>34</v>
      </c>
      <c r="AO6" s="60">
        <v>1.0000000000000001E-5</v>
      </c>
      <c r="AP6" s="51" t="b">
        <v>1</v>
      </c>
      <c r="AQ6" s="60">
        <v>1.0000000000000001E-5</v>
      </c>
      <c r="AR6" s="49">
        <v>5</v>
      </c>
      <c r="AS6" s="49">
        <v>8</v>
      </c>
      <c r="AT6" s="49">
        <v>5</v>
      </c>
      <c r="AU6" s="51" t="b">
        <v>1</v>
      </c>
      <c r="AV6" s="47">
        <v>3</v>
      </c>
      <c r="AW6" s="62">
        <v>5</v>
      </c>
      <c r="AX6" s="47">
        <v>1</v>
      </c>
      <c r="AY6" s="51" t="b">
        <v>1</v>
      </c>
      <c r="AZ6" s="45" t="s">
        <v>73</v>
      </c>
      <c r="BA6" s="45">
        <v>4</v>
      </c>
      <c r="BB6" s="49">
        <v>0.05</v>
      </c>
      <c r="BC6" s="49">
        <v>0.5</v>
      </c>
      <c r="BD6" s="52" t="b">
        <v>0</v>
      </c>
      <c r="BE6" s="45" t="s">
        <v>98</v>
      </c>
      <c r="BF6" s="51" t="b">
        <v>1</v>
      </c>
      <c r="BG6" s="45" t="s">
        <v>71</v>
      </c>
      <c r="BH6" s="54">
        <v>0.02</v>
      </c>
      <c r="BI6" s="70" t="s">
        <v>5</v>
      </c>
      <c r="BJ6" s="51" t="b">
        <v>1</v>
      </c>
      <c r="BK6" s="72">
        <v>1.5</v>
      </c>
      <c r="BL6" s="52" t="b">
        <v>0</v>
      </c>
      <c r="BM6" s="70" t="s">
        <v>6</v>
      </c>
      <c r="BN6" s="51" t="b">
        <v>1</v>
      </c>
      <c r="BO6" s="70" t="s">
        <v>15</v>
      </c>
      <c r="BP6" s="71">
        <v>1</v>
      </c>
      <c r="BQ6" s="71">
        <v>0.5</v>
      </c>
      <c r="BR6" s="75" t="str">
        <f t="shared" ref="BR6:BR10" si="0">AH6&amp;"/ "&amp;AI6&amp;"/ "&amp;AJ6&amp;"/ "&amp;AK6</f>
        <v>5/ 13/ 34/ 89</v>
      </c>
      <c r="BS6" s="75" t="str">
        <f>AR6&amp;" / "&amp;AS6&amp;" / "&amp;AT6</f>
        <v>5 / 8 / 5</v>
      </c>
      <c r="BT6" s="75" t="str">
        <f>BB6&amp;" / "&amp;BC6</f>
        <v>0.05 / 0.5</v>
      </c>
      <c r="BU6" s="7">
        <v>404</v>
      </c>
      <c r="BV6" s="7">
        <v>226</v>
      </c>
      <c r="BW6" s="7">
        <v>196</v>
      </c>
      <c r="BX6" s="27">
        <f>BV6-BW6</f>
        <v>30</v>
      </c>
      <c r="BY6" s="7">
        <v>44</v>
      </c>
      <c r="BZ6" s="21">
        <f>BU6-SUM(BW6:BY6)</f>
        <v>134</v>
      </c>
      <c r="CA6" s="98">
        <f>IF(BU6=0,0,BV6/BU6)</f>
        <v>0.55940594059405946</v>
      </c>
      <c r="CB6" s="99">
        <f>IF(BU6=0,0,BY6/BU6)</f>
        <v>0.10891089108910891</v>
      </c>
      <c r="CC6" s="20">
        <v>3.98</v>
      </c>
      <c r="CD6" s="20">
        <v>18.559999999999999</v>
      </c>
      <c r="CE6" s="20">
        <v>0.38</v>
      </c>
      <c r="CF6" s="77">
        <f>BK6</f>
        <v>1.5</v>
      </c>
      <c r="CG6" s="20">
        <v>0.64</v>
      </c>
      <c r="CH6" s="20">
        <v>0.51</v>
      </c>
      <c r="CI6" s="22">
        <v>1806.3</v>
      </c>
      <c r="CJ6" s="20">
        <v>7.99</v>
      </c>
      <c r="CK6" s="20">
        <v>6.9</v>
      </c>
      <c r="CL6" s="20">
        <v>-3.96</v>
      </c>
      <c r="CM6" s="74">
        <v>1000</v>
      </c>
      <c r="CN6" s="29">
        <v>7498.22</v>
      </c>
      <c r="CO6" s="36">
        <f>CM6+CN6</f>
        <v>8498.2200000000012</v>
      </c>
      <c r="CP6" s="36">
        <f>CN6/10</f>
        <v>749.822</v>
      </c>
      <c r="CS6" s="13">
        <f>CI6</f>
        <v>1806.3</v>
      </c>
      <c r="CT6" s="13">
        <f>CN6</f>
        <v>7498.22</v>
      </c>
      <c r="CU6" s="13">
        <f>CP6</f>
        <v>749.822</v>
      </c>
      <c r="CV6" s="15">
        <f>CV$4</f>
        <v>12</v>
      </c>
      <c r="CW6" s="13">
        <f>CI6*CV6</f>
        <v>21675.599999999999</v>
      </c>
      <c r="CX6" s="13">
        <f>CN6*CV6</f>
        <v>89978.64</v>
      </c>
      <c r="CY6" s="13">
        <f>CX6/10</f>
        <v>8997.8639999999996</v>
      </c>
    </row>
    <row r="7" spans="1:103" outlineLevel="1" x14ac:dyDescent="0.2">
      <c r="A7" s="43"/>
      <c r="B7" s="10"/>
      <c r="C7" s="3" t="s">
        <v>77</v>
      </c>
      <c r="D7" s="3" t="s">
        <v>111</v>
      </c>
      <c r="E7" s="6" t="s">
        <v>24</v>
      </c>
      <c r="F7" s="3" t="s">
        <v>25</v>
      </c>
      <c r="G7" s="5" t="s">
        <v>50</v>
      </c>
      <c r="H7" s="52" t="b">
        <v>0</v>
      </c>
      <c r="J7" s="46" t="s">
        <v>91</v>
      </c>
      <c r="K7" s="46" t="s">
        <v>91</v>
      </c>
      <c r="L7" s="46" t="s">
        <v>91</v>
      </c>
      <c r="M7" s="56" t="b">
        <v>0</v>
      </c>
      <c r="Q7" s="51" t="b">
        <v>1</v>
      </c>
      <c r="R7" s="50" t="s">
        <v>53</v>
      </c>
      <c r="S7" s="55" t="b">
        <v>1</v>
      </c>
      <c r="T7" s="49">
        <v>13</v>
      </c>
      <c r="U7" s="47">
        <v>1.4999999999999999E-2</v>
      </c>
      <c r="V7" s="49">
        <v>75</v>
      </c>
      <c r="W7" s="49">
        <v>-75</v>
      </c>
      <c r="X7" s="47">
        <v>50</v>
      </c>
      <c r="Y7" s="47">
        <v>5</v>
      </c>
      <c r="Z7" s="51" t="b">
        <v>1</v>
      </c>
      <c r="AA7" s="50" t="s">
        <v>92</v>
      </c>
      <c r="AB7" s="54">
        <v>2</v>
      </c>
      <c r="AC7" s="56" t="b">
        <v>0</v>
      </c>
      <c r="AE7" s="56" t="b">
        <v>0</v>
      </c>
      <c r="AG7" s="55" t="b">
        <v>1</v>
      </c>
      <c r="AH7" s="48">
        <v>5</v>
      </c>
      <c r="AI7" s="48">
        <v>13</v>
      </c>
      <c r="AJ7" s="48">
        <v>34</v>
      </c>
      <c r="AK7" s="48">
        <v>89</v>
      </c>
      <c r="AL7" s="52" t="b">
        <v>0</v>
      </c>
      <c r="AM7" s="51" t="b">
        <v>1</v>
      </c>
      <c r="AN7" s="53" t="s">
        <v>34</v>
      </c>
      <c r="AO7" s="60">
        <v>1.0000000000000001E-5</v>
      </c>
      <c r="AP7" s="51" t="b">
        <v>1</v>
      </c>
      <c r="AQ7" s="60">
        <v>1.0000000000000001E-5</v>
      </c>
      <c r="AR7" s="49">
        <v>5</v>
      </c>
      <c r="AS7" s="49">
        <v>8</v>
      </c>
      <c r="AT7" s="49">
        <v>5</v>
      </c>
      <c r="AU7" s="51" t="b">
        <v>1</v>
      </c>
      <c r="AV7" s="47">
        <v>3</v>
      </c>
      <c r="AW7" s="62">
        <v>5</v>
      </c>
      <c r="AX7" s="47">
        <v>1</v>
      </c>
      <c r="AY7" s="51" t="b">
        <v>1</v>
      </c>
      <c r="AZ7" s="45" t="s">
        <v>73</v>
      </c>
      <c r="BA7" s="45">
        <v>4</v>
      </c>
      <c r="BB7" s="49">
        <v>0.05</v>
      </c>
      <c r="BC7" s="49">
        <v>0.5</v>
      </c>
      <c r="BD7" s="52" t="b">
        <v>0</v>
      </c>
      <c r="BE7" s="45" t="s">
        <v>98</v>
      </c>
      <c r="BF7" s="51" t="b">
        <v>1</v>
      </c>
      <c r="BG7" s="45" t="s">
        <v>71</v>
      </c>
      <c r="BH7" s="54">
        <v>0.02</v>
      </c>
      <c r="BI7" s="70" t="s">
        <v>5</v>
      </c>
      <c r="BJ7" s="51" t="b">
        <v>1</v>
      </c>
      <c r="BK7" s="72">
        <v>1.5</v>
      </c>
      <c r="BL7" s="52" t="b">
        <v>0</v>
      </c>
      <c r="BM7" s="70" t="s">
        <v>6</v>
      </c>
      <c r="BN7" s="51" t="b">
        <v>1</v>
      </c>
      <c r="BO7" s="70" t="s">
        <v>15</v>
      </c>
      <c r="BP7" s="71">
        <v>1</v>
      </c>
      <c r="BQ7" s="71">
        <v>0.5</v>
      </c>
      <c r="BR7" s="75" t="str">
        <f t="shared" si="0"/>
        <v>5/ 13/ 34/ 89</v>
      </c>
      <c r="BS7" s="75" t="str">
        <f>AR7&amp;" / "&amp;AS7&amp;" / "&amp;AT7</f>
        <v>5 / 8 / 5</v>
      </c>
      <c r="BT7" s="75" t="str">
        <f>BB7&amp;" / "&amp;BC7</f>
        <v>0.05 / 0.5</v>
      </c>
      <c r="BU7" s="7">
        <v>406</v>
      </c>
      <c r="BV7" s="7">
        <v>245</v>
      </c>
      <c r="BW7" s="7">
        <v>197</v>
      </c>
      <c r="BX7" s="27">
        <f>BV7-BW7</f>
        <v>48</v>
      </c>
      <c r="BY7" s="7">
        <v>41</v>
      </c>
      <c r="BZ7" s="21">
        <f>BU7-SUM(BW7:BY7)</f>
        <v>120</v>
      </c>
      <c r="CA7" s="98">
        <f t="shared" ref="CA7:CA10" si="1">IF(BU7=0,0,BV7/BU7)</f>
        <v>0.60344827586206895</v>
      </c>
      <c r="CB7" s="99">
        <f t="shared" ref="CB7:CB10" si="2">IF(BU7=0,0,BY7/BU7)</f>
        <v>0.10098522167487685</v>
      </c>
      <c r="CC7" s="20">
        <v>5.05</v>
      </c>
      <c r="CD7" s="20">
        <v>27.13</v>
      </c>
      <c r="CE7" s="20">
        <v>0.44</v>
      </c>
      <c r="CF7" s="77">
        <f>BK7</f>
        <v>1.5</v>
      </c>
      <c r="CG7" s="20">
        <v>0.67</v>
      </c>
      <c r="CH7" s="20">
        <v>0.52</v>
      </c>
      <c r="CI7" s="22">
        <v>1844.2</v>
      </c>
      <c r="CJ7" s="20">
        <v>7.53</v>
      </c>
      <c r="CK7" s="20">
        <v>6.48</v>
      </c>
      <c r="CL7" s="20">
        <v>-4.22</v>
      </c>
      <c r="CM7" s="74">
        <v>1000</v>
      </c>
      <c r="CN7" s="30">
        <v>11013.47</v>
      </c>
      <c r="CO7" s="38">
        <f>CM7+CN7</f>
        <v>12013.47</v>
      </c>
      <c r="CP7" s="38">
        <f>CN7/10</f>
        <v>1101.347</v>
      </c>
      <c r="CS7" s="79">
        <f t="shared" ref="CS7:CS10" si="3">CI7</f>
        <v>1844.2</v>
      </c>
      <c r="CT7" s="79">
        <f t="shared" ref="CT7:CT10" si="4">CN7</f>
        <v>11013.47</v>
      </c>
      <c r="CU7" s="79">
        <f t="shared" ref="CU7:CU10" si="5">CP7</f>
        <v>1101.347</v>
      </c>
      <c r="CV7" s="15">
        <f>CV$4</f>
        <v>12</v>
      </c>
      <c r="CW7" s="79">
        <f>CI7*CV7</f>
        <v>22130.400000000001</v>
      </c>
      <c r="CX7" s="79">
        <f>CN7*CV7</f>
        <v>132161.63999999998</v>
      </c>
      <c r="CY7" s="79">
        <f t="shared" ref="CY7:CY10" si="6">CX7/10</f>
        <v>13216.163999999999</v>
      </c>
    </row>
    <row r="8" spans="1:103" outlineLevel="1" x14ac:dyDescent="0.2">
      <c r="A8" s="43"/>
      <c r="B8" s="10"/>
      <c r="C8" s="3" t="s">
        <v>80</v>
      </c>
      <c r="D8" s="3" t="s">
        <v>111</v>
      </c>
      <c r="E8" s="6" t="s">
        <v>24</v>
      </c>
      <c r="F8" s="3" t="s">
        <v>25</v>
      </c>
      <c r="G8" s="5" t="s">
        <v>50</v>
      </c>
      <c r="H8" s="52" t="b">
        <v>0</v>
      </c>
      <c r="J8" s="46" t="s">
        <v>91</v>
      </c>
      <c r="K8" s="46" t="s">
        <v>91</v>
      </c>
      <c r="L8" s="46" t="s">
        <v>91</v>
      </c>
      <c r="M8" s="56" t="b">
        <v>0</v>
      </c>
      <c r="Q8" s="51" t="b">
        <v>1</v>
      </c>
      <c r="R8" s="50" t="s">
        <v>53</v>
      </c>
      <c r="S8" s="55" t="b">
        <v>1</v>
      </c>
      <c r="T8" s="49">
        <v>13</v>
      </c>
      <c r="U8" s="47">
        <v>1.4999999999999999E-2</v>
      </c>
      <c r="V8" s="49">
        <v>75</v>
      </c>
      <c r="W8" s="49">
        <v>-75</v>
      </c>
      <c r="X8" s="47">
        <v>50</v>
      </c>
      <c r="Y8" s="47">
        <v>5</v>
      </c>
      <c r="Z8" s="51" t="b">
        <v>1</v>
      </c>
      <c r="AA8" s="50" t="s">
        <v>92</v>
      </c>
      <c r="AB8" s="54">
        <v>2</v>
      </c>
      <c r="AC8" s="56" t="b">
        <v>0</v>
      </c>
      <c r="AE8" s="56" t="b">
        <v>0</v>
      </c>
      <c r="AG8" s="55" t="b">
        <v>1</v>
      </c>
      <c r="AH8" s="48">
        <v>5</v>
      </c>
      <c r="AI8" s="48">
        <v>13</v>
      </c>
      <c r="AJ8" s="48">
        <v>34</v>
      </c>
      <c r="AK8" s="48">
        <v>89</v>
      </c>
      <c r="AL8" s="52" t="b">
        <v>0</v>
      </c>
      <c r="AM8" s="51" t="b">
        <v>1</v>
      </c>
      <c r="AN8" s="53" t="s">
        <v>34</v>
      </c>
      <c r="AO8" s="60">
        <v>1.0000000000000001E-5</v>
      </c>
      <c r="AP8" s="51" t="b">
        <v>1</v>
      </c>
      <c r="AQ8" s="60">
        <v>1.0000000000000001E-5</v>
      </c>
      <c r="AR8" s="49">
        <v>5</v>
      </c>
      <c r="AS8" s="49">
        <v>8</v>
      </c>
      <c r="AT8" s="49">
        <v>5</v>
      </c>
      <c r="AU8" s="51" t="b">
        <v>1</v>
      </c>
      <c r="AV8" s="47">
        <v>3</v>
      </c>
      <c r="AW8" s="62">
        <v>5</v>
      </c>
      <c r="AX8" s="47">
        <v>1</v>
      </c>
      <c r="AY8" s="51" t="b">
        <v>1</v>
      </c>
      <c r="AZ8" s="45" t="s">
        <v>73</v>
      </c>
      <c r="BA8" s="45">
        <v>4</v>
      </c>
      <c r="BB8" s="49">
        <v>0.05</v>
      </c>
      <c r="BC8" s="49">
        <v>0.5</v>
      </c>
      <c r="BD8" s="52" t="b">
        <v>0</v>
      </c>
      <c r="BE8" s="45" t="s">
        <v>98</v>
      </c>
      <c r="BF8" s="51" t="b">
        <v>1</v>
      </c>
      <c r="BG8" s="45" t="s">
        <v>71</v>
      </c>
      <c r="BH8" s="54">
        <v>0.02</v>
      </c>
      <c r="BI8" s="70" t="s">
        <v>5</v>
      </c>
      <c r="BJ8" s="51" t="b">
        <v>1</v>
      </c>
      <c r="BK8" s="72">
        <v>1.5</v>
      </c>
      <c r="BL8" s="52" t="b">
        <v>0</v>
      </c>
      <c r="BM8" s="70" t="s">
        <v>6</v>
      </c>
      <c r="BN8" s="51" t="b">
        <v>1</v>
      </c>
      <c r="BO8" s="70" t="s">
        <v>15</v>
      </c>
      <c r="BP8" s="71">
        <v>1</v>
      </c>
      <c r="BQ8" s="71">
        <v>0.5</v>
      </c>
      <c r="BR8" s="75" t="str">
        <f t="shared" si="0"/>
        <v>5/ 13/ 34/ 89</v>
      </c>
      <c r="BS8" s="75" t="str">
        <f>AR8&amp;" / "&amp;AS8&amp;" / "&amp;AT8</f>
        <v>5 / 8 / 5</v>
      </c>
      <c r="BT8" s="75" t="str">
        <f>BB8&amp;" / "&amp;BC8</f>
        <v>0.05 / 0.5</v>
      </c>
      <c r="BU8" s="7">
        <v>228</v>
      </c>
      <c r="BV8" s="7">
        <v>130</v>
      </c>
      <c r="BW8" s="7">
        <v>117</v>
      </c>
      <c r="BX8" s="27">
        <f>BV8-BW8</f>
        <v>13</v>
      </c>
      <c r="BY8" s="7">
        <v>13</v>
      </c>
      <c r="BZ8" s="21">
        <f>BU8-SUM(BW8:BY8)</f>
        <v>85</v>
      </c>
      <c r="CA8" s="98">
        <f t="shared" si="1"/>
        <v>0.57017543859649122</v>
      </c>
      <c r="CB8" s="99">
        <f t="shared" si="2"/>
        <v>5.701754385964912E-2</v>
      </c>
      <c r="CC8" s="20">
        <v>6.56</v>
      </c>
      <c r="CD8" s="20">
        <v>11.03</v>
      </c>
      <c r="CE8" s="20">
        <v>0.49</v>
      </c>
      <c r="CF8" s="77">
        <f>BK8</f>
        <v>1.5</v>
      </c>
      <c r="CG8" s="20">
        <v>0.56999999999999995</v>
      </c>
      <c r="CH8" s="20">
        <v>0.47</v>
      </c>
      <c r="CI8" s="22">
        <v>594.70000000000005</v>
      </c>
      <c r="CJ8" s="20">
        <v>4.57</v>
      </c>
      <c r="CK8" s="20">
        <v>4.7300000000000004</v>
      </c>
      <c r="CL8" s="20">
        <v>-4</v>
      </c>
      <c r="CM8" s="74">
        <v>1000</v>
      </c>
      <c r="CN8" s="22">
        <v>2514.08</v>
      </c>
      <c r="CO8" s="35">
        <f>CM8+CN8</f>
        <v>3514.08</v>
      </c>
      <c r="CP8" s="35">
        <f>CN8/10</f>
        <v>251.40799999999999</v>
      </c>
      <c r="CS8" s="13">
        <f t="shared" si="3"/>
        <v>594.70000000000005</v>
      </c>
      <c r="CT8" s="13">
        <f t="shared" si="4"/>
        <v>2514.08</v>
      </c>
      <c r="CU8" s="13">
        <f t="shared" si="5"/>
        <v>251.40799999999999</v>
      </c>
      <c r="CV8" s="15">
        <f>CV$4</f>
        <v>12</v>
      </c>
      <c r="CW8" s="13">
        <f>CI8*CV8</f>
        <v>7136.4000000000005</v>
      </c>
      <c r="CX8" s="13">
        <f>CN8*CV8</f>
        <v>30168.959999999999</v>
      </c>
      <c r="CY8" s="13">
        <f t="shared" si="6"/>
        <v>3016.8959999999997</v>
      </c>
    </row>
    <row r="9" spans="1:103" outlineLevel="1" x14ac:dyDescent="0.2">
      <c r="A9" s="43"/>
      <c r="B9" s="10"/>
      <c r="C9" s="3" t="s">
        <v>78</v>
      </c>
      <c r="D9" s="3" t="s">
        <v>111</v>
      </c>
      <c r="E9" s="6" t="s">
        <v>24</v>
      </c>
      <c r="F9" s="3" t="s">
        <v>25</v>
      </c>
      <c r="G9" s="5" t="s">
        <v>50</v>
      </c>
      <c r="H9" s="52" t="b">
        <v>0</v>
      </c>
      <c r="J9" s="46" t="s">
        <v>91</v>
      </c>
      <c r="K9" s="46" t="s">
        <v>91</v>
      </c>
      <c r="L9" s="46" t="s">
        <v>91</v>
      </c>
      <c r="M9" s="56" t="b">
        <v>0</v>
      </c>
      <c r="Q9" s="51" t="b">
        <v>1</v>
      </c>
      <c r="R9" s="50" t="s">
        <v>53</v>
      </c>
      <c r="S9" s="55" t="b">
        <v>1</v>
      </c>
      <c r="T9" s="49">
        <v>13</v>
      </c>
      <c r="U9" s="47">
        <v>1.4999999999999999E-2</v>
      </c>
      <c r="V9" s="49">
        <v>75</v>
      </c>
      <c r="W9" s="49">
        <v>-75</v>
      </c>
      <c r="X9" s="47">
        <v>50</v>
      </c>
      <c r="Y9" s="47">
        <v>5</v>
      </c>
      <c r="Z9" s="51" t="b">
        <v>1</v>
      </c>
      <c r="AA9" s="50" t="s">
        <v>92</v>
      </c>
      <c r="AB9" s="54">
        <v>2</v>
      </c>
      <c r="AC9" s="56" t="b">
        <v>0</v>
      </c>
      <c r="AE9" s="56" t="b">
        <v>0</v>
      </c>
      <c r="AG9" s="55" t="b">
        <v>1</v>
      </c>
      <c r="AH9" s="48">
        <v>5</v>
      </c>
      <c r="AI9" s="48">
        <v>13</v>
      </c>
      <c r="AJ9" s="48">
        <v>34</v>
      </c>
      <c r="AK9" s="48">
        <v>89</v>
      </c>
      <c r="AL9" s="52" t="b">
        <v>0</v>
      </c>
      <c r="AM9" s="51" t="b">
        <v>1</v>
      </c>
      <c r="AN9" s="53" t="s">
        <v>34</v>
      </c>
      <c r="AO9" s="60">
        <v>1.0000000000000001E-5</v>
      </c>
      <c r="AP9" s="51" t="b">
        <v>1</v>
      </c>
      <c r="AQ9" s="60">
        <v>1.0000000000000001E-5</v>
      </c>
      <c r="AR9" s="49">
        <v>5</v>
      </c>
      <c r="AS9" s="49">
        <v>8</v>
      </c>
      <c r="AT9" s="49">
        <v>5</v>
      </c>
      <c r="AU9" s="51" t="b">
        <v>1</v>
      </c>
      <c r="AV9" s="47">
        <v>3</v>
      </c>
      <c r="AW9" s="62">
        <v>5</v>
      </c>
      <c r="AX9" s="47">
        <v>1</v>
      </c>
      <c r="AY9" s="51" t="b">
        <v>1</v>
      </c>
      <c r="AZ9" s="45" t="s">
        <v>73</v>
      </c>
      <c r="BA9" s="45">
        <v>4</v>
      </c>
      <c r="BB9" s="49">
        <v>0.05</v>
      </c>
      <c r="BC9" s="49">
        <v>0.5</v>
      </c>
      <c r="BD9" s="52" t="b">
        <v>0</v>
      </c>
      <c r="BE9" s="45" t="s">
        <v>98</v>
      </c>
      <c r="BF9" s="51" t="b">
        <v>1</v>
      </c>
      <c r="BG9" s="45" t="s">
        <v>71</v>
      </c>
      <c r="BH9" s="54">
        <v>0.02</v>
      </c>
      <c r="BI9" s="70" t="s">
        <v>5</v>
      </c>
      <c r="BJ9" s="51" t="b">
        <v>1</v>
      </c>
      <c r="BK9" s="72">
        <v>1.5</v>
      </c>
      <c r="BL9" s="52" t="b">
        <v>0</v>
      </c>
      <c r="BM9" s="70" t="s">
        <v>6</v>
      </c>
      <c r="BN9" s="51" t="b">
        <v>1</v>
      </c>
      <c r="BO9" s="70" t="s">
        <v>15</v>
      </c>
      <c r="BP9" s="71">
        <v>1</v>
      </c>
      <c r="BQ9" s="71">
        <v>0.5</v>
      </c>
      <c r="BR9" s="75" t="str">
        <f t="shared" si="0"/>
        <v>5/ 13/ 34/ 89</v>
      </c>
      <c r="BS9" s="75" t="str">
        <f>AR9&amp;" / "&amp;AS9&amp;" / "&amp;AT9</f>
        <v>5 / 8 / 5</v>
      </c>
      <c r="BT9" s="75" t="str">
        <f>BB9&amp;" / "&amp;BC9</f>
        <v>0.05 / 0.5</v>
      </c>
      <c r="BU9" s="7">
        <v>233</v>
      </c>
      <c r="BV9" s="7">
        <v>146</v>
      </c>
      <c r="BW9" s="7">
        <v>126</v>
      </c>
      <c r="BX9" s="27">
        <f>BV9-BW9</f>
        <v>20</v>
      </c>
      <c r="BY9" s="7">
        <v>9</v>
      </c>
      <c r="BZ9" s="21">
        <f>BU9-SUM(BW9:BY9)</f>
        <v>78</v>
      </c>
      <c r="CA9" s="98">
        <f t="shared" si="1"/>
        <v>0.62660944206008584</v>
      </c>
      <c r="CB9" s="99">
        <f t="shared" si="2"/>
        <v>3.8626609442060089E-2</v>
      </c>
      <c r="CC9" s="20">
        <v>10.19</v>
      </c>
      <c r="CD9" s="20">
        <v>13.77</v>
      </c>
      <c r="CE9" s="20">
        <v>0.55000000000000004</v>
      </c>
      <c r="CF9" s="77">
        <f>BK9</f>
        <v>1.5</v>
      </c>
      <c r="CG9" s="20">
        <v>0.56000000000000005</v>
      </c>
      <c r="CH9" s="20">
        <v>0.39</v>
      </c>
      <c r="CI9" s="22">
        <v>663.8</v>
      </c>
      <c r="CJ9" s="20">
        <v>4.55</v>
      </c>
      <c r="CK9" s="20">
        <v>3.8</v>
      </c>
      <c r="CL9" s="20">
        <v>-3.95</v>
      </c>
      <c r="CM9" s="74">
        <v>1000</v>
      </c>
      <c r="CN9" s="22">
        <v>3208.22</v>
      </c>
      <c r="CO9" s="35">
        <f>CM9+CN9</f>
        <v>4208.2199999999993</v>
      </c>
      <c r="CP9" s="35">
        <f>CN9/10</f>
        <v>320.822</v>
      </c>
      <c r="CS9" s="13">
        <f t="shared" si="3"/>
        <v>663.8</v>
      </c>
      <c r="CT9" s="13">
        <f t="shared" si="4"/>
        <v>3208.22</v>
      </c>
      <c r="CU9" s="13">
        <f t="shared" si="5"/>
        <v>320.822</v>
      </c>
      <c r="CV9" s="15">
        <f>CV$4</f>
        <v>12</v>
      </c>
      <c r="CW9" s="13">
        <f>CI9*CV9</f>
        <v>7965.5999999999995</v>
      </c>
      <c r="CX9" s="13">
        <f>CN9*CV9</f>
        <v>38498.639999999999</v>
      </c>
      <c r="CY9" s="13">
        <f t="shared" si="6"/>
        <v>3849.864</v>
      </c>
    </row>
    <row r="10" spans="1:103" outlineLevel="1" x14ac:dyDescent="0.2">
      <c r="A10" s="43"/>
      <c r="B10" s="10"/>
      <c r="C10" s="3" t="s">
        <v>79</v>
      </c>
      <c r="D10" s="3" t="s">
        <v>111</v>
      </c>
      <c r="E10" s="6" t="s">
        <v>24</v>
      </c>
      <c r="F10" s="3" t="s">
        <v>25</v>
      </c>
      <c r="G10" s="5" t="s">
        <v>50</v>
      </c>
      <c r="H10" s="52" t="b">
        <v>0</v>
      </c>
      <c r="J10" s="46" t="s">
        <v>91</v>
      </c>
      <c r="K10" s="46" t="s">
        <v>91</v>
      </c>
      <c r="L10" s="46" t="s">
        <v>91</v>
      </c>
      <c r="M10" s="56" t="b">
        <v>0</v>
      </c>
      <c r="Q10" s="51" t="b">
        <v>1</v>
      </c>
      <c r="R10" s="50" t="s">
        <v>53</v>
      </c>
      <c r="S10" s="55" t="b">
        <v>1</v>
      </c>
      <c r="T10" s="49">
        <v>13</v>
      </c>
      <c r="U10" s="47">
        <v>1.4999999999999999E-2</v>
      </c>
      <c r="V10" s="49">
        <v>75</v>
      </c>
      <c r="W10" s="49">
        <v>-75</v>
      </c>
      <c r="X10" s="47">
        <v>50</v>
      </c>
      <c r="Y10" s="47">
        <v>5</v>
      </c>
      <c r="Z10" s="51" t="b">
        <v>1</v>
      </c>
      <c r="AA10" s="50" t="s">
        <v>92</v>
      </c>
      <c r="AB10" s="54">
        <v>2</v>
      </c>
      <c r="AC10" s="56" t="b">
        <v>0</v>
      </c>
      <c r="AE10" s="56" t="b">
        <v>0</v>
      </c>
      <c r="AG10" s="55" t="b">
        <v>1</v>
      </c>
      <c r="AH10" s="48">
        <v>5</v>
      </c>
      <c r="AI10" s="48">
        <v>13</v>
      </c>
      <c r="AJ10" s="48">
        <v>34</v>
      </c>
      <c r="AK10" s="48">
        <v>89</v>
      </c>
      <c r="AL10" s="52" t="b">
        <v>0</v>
      </c>
      <c r="AM10" s="51" t="b">
        <v>1</v>
      </c>
      <c r="AN10" s="53" t="s">
        <v>34</v>
      </c>
      <c r="AO10" s="60">
        <v>1.0000000000000001E-5</v>
      </c>
      <c r="AP10" s="51" t="b">
        <v>1</v>
      </c>
      <c r="AQ10" s="60">
        <v>1.0000000000000001E-5</v>
      </c>
      <c r="AR10" s="49">
        <v>5</v>
      </c>
      <c r="AS10" s="49">
        <v>8</v>
      </c>
      <c r="AT10" s="49">
        <v>5</v>
      </c>
      <c r="AU10" s="51" t="b">
        <v>1</v>
      </c>
      <c r="AV10" s="47">
        <v>3</v>
      </c>
      <c r="AW10" s="62">
        <v>5</v>
      </c>
      <c r="AX10" s="47">
        <v>1</v>
      </c>
      <c r="AY10" s="51" t="b">
        <v>1</v>
      </c>
      <c r="AZ10" s="45" t="s">
        <v>73</v>
      </c>
      <c r="BA10" s="45">
        <v>4</v>
      </c>
      <c r="BB10" s="49">
        <v>0.05</v>
      </c>
      <c r="BC10" s="49">
        <v>0.5</v>
      </c>
      <c r="BD10" s="52" t="b">
        <v>0</v>
      </c>
      <c r="BE10" s="45" t="s">
        <v>98</v>
      </c>
      <c r="BF10" s="51" t="b">
        <v>1</v>
      </c>
      <c r="BG10" s="45" t="s">
        <v>71</v>
      </c>
      <c r="BH10" s="54">
        <v>0.02</v>
      </c>
      <c r="BI10" s="70" t="s">
        <v>5</v>
      </c>
      <c r="BJ10" s="51" t="b">
        <v>1</v>
      </c>
      <c r="BK10" s="72">
        <v>1.5</v>
      </c>
      <c r="BL10" s="52" t="b">
        <v>0</v>
      </c>
      <c r="BM10" s="70" t="s">
        <v>6</v>
      </c>
      <c r="BN10" s="51" t="b">
        <v>1</v>
      </c>
      <c r="BO10" s="70" t="s">
        <v>15</v>
      </c>
      <c r="BP10" s="71">
        <v>1</v>
      </c>
      <c r="BQ10" s="71">
        <v>0.5</v>
      </c>
      <c r="BR10" s="75" t="str">
        <f t="shared" si="0"/>
        <v>5/ 13/ 34/ 89</v>
      </c>
      <c r="BS10" s="75" t="str">
        <f>AR10&amp;" / "&amp;AS10&amp;" / "&amp;AT10</f>
        <v>5 / 8 / 5</v>
      </c>
      <c r="BT10" s="75" t="str">
        <f>BB10&amp;" / "&amp;BC10</f>
        <v>0.05 / 0.5</v>
      </c>
      <c r="BU10" s="7">
        <v>291</v>
      </c>
      <c r="BV10" s="7">
        <v>181</v>
      </c>
      <c r="BW10" s="7">
        <v>164</v>
      </c>
      <c r="BX10" s="27">
        <f>BV10-BW10</f>
        <v>17</v>
      </c>
      <c r="BY10" s="7">
        <v>17</v>
      </c>
      <c r="BZ10" s="21">
        <f>BU10-SUM(BW10:BY10)</f>
        <v>93</v>
      </c>
      <c r="CA10" s="98">
        <f t="shared" si="1"/>
        <v>0.62199312714776633</v>
      </c>
      <c r="CB10" s="99">
        <f t="shared" si="2"/>
        <v>5.8419243986254296E-2</v>
      </c>
      <c r="CC10" s="20">
        <v>6</v>
      </c>
      <c r="CD10" s="20">
        <v>14.04</v>
      </c>
      <c r="CE10" s="20">
        <v>0.48</v>
      </c>
      <c r="CF10" s="77">
        <f>BK10</f>
        <v>1.5</v>
      </c>
      <c r="CG10" s="20">
        <v>0.54</v>
      </c>
      <c r="CH10" s="20">
        <v>0.45</v>
      </c>
      <c r="CI10" s="22">
        <v>923.9</v>
      </c>
      <c r="CJ10" s="20">
        <v>5.0999999999999996</v>
      </c>
      <c r="CK10" s="20">
        <v>4.12</v>
      </c>
      <c r="CL10" s="20">
        <v>-5.43</v>
      </c>
      <c r="CM10" s="74">
        <v>1000</v>
      </c>
      <c r="CN10" s="22">
        <v>4086.3</v>
      </c>
      <c r="CO10" s="35">
        <f>CM10+CN10</f>
        <v>5086.3</v>
      </c>
      <c r="CP10" s="35">
        <f>CN10/10</f>
        <v>408.63</v>
      </c>
      <c r="CS10" s="13">
        <f t="shared" si="3"/>
        <v>923.9</v>
      </c>
      <c r="CT10" s="13">
        <f t="shared" si="4"/>
        <v>4086.3</v>
      </c>
      <c r="CU10" s="13">
        <f t="shared" si="5"/>
        <v>408.63</v>
      </c>
      <c r="CV10" s="15">
        <f>CV$4</f>
        <v>12</v>
      </c>
      <c r="CW10" s="13">
        <f>CI10*CV10</f>
        <v>11086.8</v>
      </c>
      <c r="CX10" s="13">
        <f>CN10*CV10</f>
        <v>49035.600000000006</v>
      </c>
      <c r="CY10" s="13">
        <f t="shared" si="6"/>
        <v>4903.5600000000004</v>
      </c>
    </row>
    <row r="11" spans="1:103" outlineLevel="1" collapsed="1" x14ac:dyDescent="0.2">
      <c r="G11" s="39"/>
      <c r="AE11" s="47"/>
      <c r="AO11" s="50"/>
      <c r="AQ11" s="57"/>
    </row>
    <row r="12" spans="1:103" x14ac:dyDescent="0.2">
      <c r="A12" s="43"/>
      <c r="B12" s="10" t="s">
        <v>131</v>
      </c>
      <c r="C12" s="3" t="s">
        <v>17</v>
      </c>
      <c r="D12" s="3" t="s">
        <v>111</v>
      </c>
      <c r="E12" s="6" t="s">
        <v>19</v>
      </c>
      <c r="F12" s="3" t="s">
        <v>25</v>
      </c>
      <c r="G12" s="5" t="s">
        <v>50</v>
      </c>
      <c r="H12" s="52" t="b">
        <v>0</v>
      </c>
      <c r="J12" s="46" t="s">
        <v>91</v>
      </c>
      <c r="K12" s="46" t="s">
        <v>91</v>
      </c>
      <c r="L12" s="46" t="s">
        <v>91</v>
      </c>
      <c r="M12" s="56" t="b">
        <v>0</v>
      </c>
      <c r="Q12" s="51" t="b">
        <v>1</v>
      </c>
      <c r="R12" s="50" t="s">
        <v>53</v>
      </c>
      <c r="S12" s="55" t="b">
        <v>1</v>
      </c>
      <c r="T12" s="49">
        <v>13</v>
      </c>
      <c r="U12" s="47">
        <v>1.4999999999999999E-2</v>
      </c>
      <c r="V12" s="49">
        <v>75</v>
      </c>
      <c r="W12" s="49">
        <v>-75</v>
      </c>
      <c r="X12" s="47">
        <v>50</v>
      </c>
      <c r="Y12" s="47">
        <v>5</v>
      </c>
      <c r="Z12" s="51" t="b">
        <v>1</v>
      </c>
      <c r="AA12" s="50" t="s">
        <v>92</v>
      </c>
      <c r="AB12" s="54">
        <v>2</v>
      </c>
      <c r="AC12" s="56" t="b">
        <v>0</v>
      </c>
      <c r="AE12" s="56" t="b">
        <v>0</v>
      </c>
      <c r="AG12" s="55" t="b">
        <v>1</v>
      </c>
      <c r="AH12" s="48">
        <v>5</v>
      </c>
      <c r="AI12" s="48">
        <v>13</v>
      </c>
      <c r="AJ12" s="48">
        <v>34</v>
      </c>
      <c r="AK12" s="48">
        <v>89</v>
      </c>
      <c r="AL12" s="52" t="b">
        <v>0</v>
      </c>
      <c r="AM12" s="51" t="b">
        <v>1</v>
      </c>
      <c r="AN12" s="53" t="s">
        <v>34</v>
      </c>
      <c r="AO12" s="60">
        <v>1.0000000000000001E-5</v>
      </c>
      <c r="AP12" s="51" t="b">
        <v>1</v>
      </c>
      <c r="AQ12" s="60">
        <v>1.0000000000000001E-5</v>
      </c>
      <c r="AR12" s="49">
        <v>5</v>
      </c>
      <c r="AS12" s="49">
        <v>8</v>
      </c>
      <c r="AT12" s="49">
        <v>5</v>
      </c>
      <c r="AU12" s="51" t="b">
        <v>1</v>
      </c>
      <c r="AV12" s="47">
        <v>3</v>
      </c>
      <c r="AW12" s="62">
        <v>5</v>
      </c>
      <c r="AX12" s="47">
        <v>1</v>
      </c>
      <c r="AY12" s="51" t="b">
        <v>1</v>
      </c>
      <c r="AZ12" s="45" t="s">
        <v>73</v>
      </c>
      <c r="BA12" s="45">
        <v>4</v>
      </c>
      <c r="BB12" s="49">
        <v>0.05</v>
      </c>
      <c r="BC12" s="49">
        <v>0.5</v>
      </c>
      <c r="BD12" s="52" t="b">
        <v>0</v>
      </c>
      <c r="BE12" s="45" t="s">
        <v>98</v>
      </c>
      <c r="BF12" s="51" t="b">
        <v>1</v>
      </c>
      <c r="BG12" s="45" t="s">
        <v>71</v>
      </c>
      <c r="BH12" s="54">
        <v>0.02</v>
      </c>
      <c r="BI12" s="70" t="s">
        <v>5</v>
      </c>
      <c r="BJ12" s="51" t="b">
        <v>1</v>
      </c>
      <c r="BK12" s="72">
        <v>1.5</v>
      </c>
      <c r="BL12" s="52" t="b">
        <v>0</v>
      </c>
      <c r="BM12" s="70" t="s">
        <v>6</v>
      </c>
      <c r="BN12" s="51" t="b">
        <v>1</v>
      </c>
      <c r="BO12" s="70" t="s">
        <v>15</v>
      </c>
      <c r="BP12" s="71">
        <v>1</v>
      </c>
      <c r="BQ12" s="71">
        <v>0.5</v>
      </c>
      <c r="BR12" s="75" t="str">
        <f t="shared" ref="BR12:BR16" si="7">AH12&amp;"/ "&amp;AI12&amp;"/ "&amp;AJ12&amp;"/ "&amp;AK12</f>
        <v>5/ 13/ 34/ 89</v>
      </c>
      <c r="BS12" s="75" t="str">
        <f>AR12&amp;" / "&amp;AS12&amp;" / "&amp;AT12</f>
        <v>5 / 8 / 5</v>
      </c>
      <c r="BT12" s="75" t="str">
        <f>BB12&amp;" / "&amp;BC12</f>
        <v>0.05 / 0.5</v>
      </c>
      <c r="BU12" s="7">
        <v>4573</v>
      </c>
      <c r="BV12" s="7">
        <v>2628</v>
      </c>
      <c r="BW12" s="7">
        <v>2253</v>
      </c>
      <c r="BX12" s="27">
        <f>BV12-BW12</f>
        <v>375</v>
      </c>
      <c r="BY12" s="7">
        <v>455</v>
      </c>
      <c r="BZ12" s="21">
        <f>BU12-SUM(BW12:BY12)</f>
        <v>1490</v>
      </c>
      <c r="CA12" s="98">
        <f>IF(BU12=0,0,BV12/BU12)</f>
        <v>0.57467745462497266</v>
      </c>
      <c r="CB12" s="99">
        <f>IF(BU12=0,0,BY12/BU12)</f>
        <v>9.9497047889787887E-2</v>
      </c>
      <c r="CC12" s="20">
        <v>4.53</v>
      </c>
      <c r="CD12" s="20">
        <v>40.97</v>
      </c>
      <c r="CE12" s="20">
        <v>0.46</v>
      </c>
      <c r="CF12" s="77">
        <f>BK12</f>
        <v>1.5</v>
      </c>
      <c r="CG12" s="20">
        <v>0.64</v>
      </c>
      <c r="CH12" s="20">
        <v>0.5</v>
      </c>
      <c r="CI12" s="22">
        <v>22317.1</v>
      </c>
      <c r="CJ12" s="20">
        <v>8.49</v>
      </c>
      <c r="CK12" s="20">
        <v>10.14</v>
      </c>
      <c r="CL12" s="20">
        <v>-3.96</v>
      </c>
      <c r="CM12" s="74">
        <v>1000</v>
      </c>
      <c r="CN12" s="22">
        <v>187330.67</v>
      </c>
      <c r="CO12" s="35">
        <f>CM12+CN12</f>
        <v>188330.67</v>
      </c>
      <c r="CP12" s="35">
        <f>CN12/10</f>
        <v>18733.067000000003</v>
      </c>
      <c r="CR12" s="15">
        <f>CR$4</f>
        <v>12</v>
      </c>
      <c r="CS12" s="13">
        <f>CI12/CR12</f>
        <v>1859.7583333333332</v>
      </c>
      <c r="CT12" s="13">
        <f>CN12/CR12</f>
        <v>15610.889166666668</v>
      </c>
      <c r="CU12" s="13">
        <f>CT12/10</f>
        <v>1561.0889166666668</v>
      </c>
      <c r="CW12" s="13">
        <f>CI12</f>
        <v>22317.1</v>
      </c>
      <c r="CX12" s="13">
        <f>CN12</f>
        <v>187330.67</v>
      </c>
      <c r="CY12" s="13">
        <f>CP12</f>
        <v>18733.067000000003</v>
      </c>
    </row>
    <row r="13" spans="1:103" outlineLevel="1" x14ac:dyDescent="0.2">
      <c r="A13" s="43"/>
      <c r="B13" s="10"/>
      <c r="C13" s="3" t="s">
        <v>77</v>
      </c>
      <c r="D13" s="3" t="s">
        <v>111</v>
      </c>
      <c r="E13" s="6" t="s">
        <v>19</v>
      </c>
      <c r="F13" s="3" t="s">
        <v>25</v>
      </c>
      <c r="G13" s="5" t="s">
        <v>50</v>
      </c>
      <c r="H13" s="52" t="b">
        <v>0</v>
      </c>
      <c r="J13" s="46" t="s">
        <v>91</v>
      </c>
      <c r="K13" s="46" t="s">
        <v>91</v>
      </c>
      <c r="L13" s="46" t="s">
        <v>91</v>
      </c>
      <c r="M13" s="56" t="b">
        <v>0</v>
      </c>
      <c r="Q13" s="51" t="b">
        <v>1</v>
      </c>
      <c r="R13" s="50" t="s">
        <v>53</v>
      </c>
      <c r="S13" s="55" t="b">
        <v>1</v>
      </c>
      <c r="T13" s="49">
        <v>13</v>
      </c>
      <c r="U13" s="47">
        <v>1.4999999999999999E-2</v>
      </c>
      <c r="V13" s="49">
        <v>75</v>
      </c>
      <c r="W13" s="49">
        <v>-75</v>
      </c>
      <c r="X13" s="47">
        <v>50</v>
      </c>
      <c r="Y13" s="47">
        <v>5</v>
      </c>
      <c r="Z13" s="51" t="b">
        <v>1</v>
      </c>
      <c r="AA13" s="50" t="s">
        <v>92</v>
      </c>
      <c r="AB13" s="54">
        <v>2</v>
      </c>
      <c r="AC13" s="56" t="b">
        <v>0</v>
      </c>
      <c r="AE13" s="56" t="b">
        <v>0</v>
      </c>
      <c r="AG13" s="55" t="b">
        <v>1</v>
      </c>
      <c r="AH13" s="48">
        <v>5</v>
      </c>
      <c r="AI13" s="48">
        <v>13</v>
      </c>
      <c r="AJ13" s="48">
        <v>34</v>
      </c>
      <c r="AK13" s="48">
        <v>89</v>
      </c>
      <c r="AL13" s="52" t="b">
        <v>0</v>
      </c>
      <c r="AM13" s="51" t="b">
        <v>1</v>
      </c>
      <c r="AN13" s="53" t="s">
        <v>34</v>
      </c>
      <c r="AO13" s="60">
        <v>1.0000000000000001E-5</v>
      </c>
      <c r="AP13" s="51" t="b">
        <v>1</v>
      </c>
      <c r="AQ13" s="60">
        <v>1.0000000000000001E-5</v>
      </c>
      <c r="AR13" s="49">
        <v>5</v>
      </c>
      <c r="AS13" s="49">
        <v>8</v>
      </c>
      <c r="AT13" s="49">
        <v>5</v>
      </c>
      <c r="AU13" s="51" t="b">
        <v>1</v>
      </c>
      <c r="AV13" s="47">
        <v>3</v>
      </c>
      <c r="AW13" s="62">
        <v>5</v>
      </c>
      <c r="AX13" s="47">
        <v>1</v>
      </c>
      <c r="AY13" s="51" t="b">
        <v>1</v>
      </c>
      <c r="AZ13" s="45" t="s">
        <v>73</v>
      </c>
      <c r="BA13" s="45">
        <v>4</v>
      </c>
      <c r="BB13" s="49">
        <v>0.05</v>
      </c>
      <c r="BC13" s="49">
        <v>0.5</v>
      </c>
      <c r="BD13" s="52" t="b">
        <v>0</v>
      </c>
      <c r="BE13" s="45" t="s">
        <v>98</v>
      </c>
      <c r="BF13" s="51" t="b">
        <v>1</v>
      </c>
      <c r="BG13" s="45" t="s">
        <v>71</v>
      </c>
      <c r="BH13" s="54">
        <v>0.02</v>
      </c>
      <c r="BI13" s="70" t="s">
        <v>5</v>
      </c>
      <c r="BJ13" s="51" t="b">
        <v>1</v>
      </c>
      <c r="BK13" s="72">
        <v>1.5</v>
      </c>
      <c r="BL13" s="52" t="b">
        <v>0</v>
      </c>
      <c r="BM13" s="70" t="s">
        <v>6</v>
      </c>
      <c r="BN13" s="51" t="b">
        <v>1</v>
      </c>
      <c r="BO13" s="70" t="s">
        <v>15</v>
      </c>
      <c r="BP13" s="71">
        <v>1</v>
      </c>
      <c r="BQ13" s="71">
        <v>0.5</v>
      </c>
      <c r="BR13" s="75" t="str">
        <f t="shared" si="7"/>
        <v>5/ 13/ 34/ 89</v>
      </c>
      <c r="BS13" s="75" t="str">
        <f>AR13&amp;" / "&amp;AS13&amp;" / "&amp;AT13</f>
        <v>5 / 8 / 5</v>
      </c>
      <c r="BT13" s="75" t="str">
        <f>BB13&amp;" / "&amp;BC13</f>
        <v>0.05 / 0.5</v>
      </c>
      <c r="BU13" s="7">
        <v>4890</v>
      </c>
      <c r="BV13" s="7">
        <v>2877</v>
      </c>
      <c r="BW13" s="7">
        <v>2426</v>
      </c>
      <c r="BX13" s="27">
        <f>BV13-BW13</f>
        <v>451</v>
      </c>
      <c r="BY13" s="7">
        <v>496</v>
      </c>
      <c r="BZ13" s="21">
        <f>BU13-SUM(BW13:BY13)</f>
        <v>1517</v>
      </c>
      <c r="CA13" s="98">
        <f t="shared" ref="CA13:CA16" si="8">IF(BU13=0,0,BV13/BU13)</f>
        <v>0.58834355828220863</v>
      </c>
      <c r="CB13" s="99">
        <f t="shared" ref="CB13:CB16" si="9">IF(BU13=0,0,BY13/BU13)</f>
        <v>0.10143149284253579</v>
      </c>
      <c r="CC13" s="20">
        <v>4.42</v>
      </c>
      <c r="CD13" s="20">
        <v>41.83</v>
      </c>
      <c r="CE13" s="20">
        <v>0.46</v>
      </c>
      <c r="CF13" s="77">
        <f>BK13</f>
        <v>1.5</v>
      </c>
      <c r="CG13" s="20">
        <v>0.64</v>
      </c>
      <c r="CH13" s="20">
        <v>0.49</v>
      </c>
      <c r="CI13" s="22">
        <v>24944.9</v>
      </c>
      <c r="CJ13" s="20">
        <v>8.67</v>
      </c>
      <c r="CK13" s="20">
        <v>10.55</v>
      </c>
      <c r="CL13" s="20">
        <v>-4.22</v>
      </c>
      <c r="CM13" s="74">
        <v>1000</v>
      </c>
      <c r="CN13" s="22">
        <v>204527.27</v>
      </c>
      <c r="CO13" s="35">
        <f>CM13+CN13</f>
        <v>205527.27</v>
      </c>
      <c r="CP13" s="35">
        <f>CN13/10</f>
        <v>20452.726999999999</v>
      </c>
      <c r="CR13" s="15">
        <f>CR$4</f>
        <v>12</v>
      </c>
      <c r="CS13" s="13">
        <f t="shared" ref="CS13:CS16" si="10">CI13/CR13</f>
        <v>2078.7416666666668</v>
      </c>
      <c r="CT13" s="13">
        <f t="shared" ref="CT13:CT16" si="11">CN13/CR13</f>
        <v>17043.939166666667</v>
      </c>
      <c r="CU13" s="13">
        <f t="shared" ref="CU13:CU16" si="12">CT13/10</f>
        <v>1704.3939166666667</v>
      </c>
      <c r="CW13" s="13">
        <f t="shared" ref="CW13:CW16" si="13">CI13</f>
        <v>24944.9</v>
      </c>
      <c r="CX13" s="13">
        <f t="shared" ref="CX13:CX16" si="14">CN13</f>
        <v>204527.27</v>
      </c>
      <c r="CY13" s="13">
        <f t="shared" ref="CY13:CY16" si="15">CP13</f>
        <v>20452.726999999999</v>
      </c>
    </row>
    <row r="14" spans="1:103" outlineLevel="1" x14ac:dyDescent="0.2">
      <c r="A14" s="43"/>
      <c r="B14" s="10"/>
      <c r="C14" s="3" t="s">
        <v>80</v>
      </c>
      <c r="D14" s="3" t="s">
        <v>111</v>
      </c>
      <c r="E14" s="6" t="s">
        <v>19</v>
      </c>
      <c r="F14" s="3" t="s">
        <v>25</v>
      </c>
      <c r="G14" s="5" t="s">
        <v>50</v>
      </c>
      <c r="H14" s="52" t="b">
        <v>0</v>
      </c>
      <c r="J14" s="46" t="s">
        <v>91</v>
      </c>
      <c r="K14" s="46" t="s">
        <v>91</v>
      </c>
      <c r="L14" s="46" t="s">
        <v>91</v>
      </c>
      <c r="M14" s="56" t="b">
        <v>0</v>
      </c>
      <c r="Q14" s="51" t="b">
        <v>1</v>
      </c>
      <c r="R14" s="50" t="s">
        <v>53</v>
      </c>
      <c r="S14" s="55" t="b">
        <v>1</v>
      </c>
      <c r="T14" s="49">
        <v>13</v>
      </c>
      <c r="U14" s="47">
        <v>1.4999999999999999E-2</v>
      </c>
      <c r="V14" s="49">
        <v>75</v>
      </c>
      <c r="W14" s="49">
        <v>-75</v>
      </c>
      <c r="X14" s="47">
        <v>50</v>
      </c>
      <c r="Y14" s="47">
        <v>5</v>
      </c>
      <c r="Z14" s="51" t="b">
        <v>1</v>
      </c>
      <c r="AA14" s="50" t="s">
        <v>92</v>
      </c>
      <c r="AB14" s="54">
        <v>2</v>
      </c>
      <c r="AC14" s="56" t="b">
        <v>0</v>
      </c>
      <c r="AE14" s="56" t="b">
        <v>0</v>
      </c>
      <c r="AG14" s="55" t="b">
        <v>1</v>
      </c>
      <c r="AH14" s="48">
        <v>5</v>
      </c>
      <c r="AI14" s="48">
        <v>13</v>
      </c>
      <c r="AJ14" s="48">
        <v>34</v>
      </c>
      <c r="AK14" s="48">
        <v>89</v>
      </c>
      <c r="AL14" s="52" t="b">
        <v>0</v>
      </c>
      <c r="AM14" s="51" t="b">
        <v>1</v>
      </c>
      <c r="AN14" s="53" t="s">
        <v>34</v>
      </c>
      <c r="AO14" s="60">
        <v>1.0000000000000001E-5</v>
      </c>
      <c r="AP14" s="51" t="b">
        <v>1</v>
      </c>
      <c r="AQ14" s="60">
        <v>1.0000000000000001E-5</v>
      </c>
      <c r="AR14" s="49">
        <v>5</v>
      </c>
      <c r="AS14" s="49">
        <v>8</v>
      </c>
      <c r="AT14" s="49">
        <v>5</v>
      </c>
      <c r="AU14" s="51" t="b">
        <v>1</v>
      </c>
      <c r="AV14" s="47">
        <v>3</v>
      </c>
      <c r="AW14" s="62">
        <v>5</v>
      </c>
      <c r="AX14" s="47">
        <v>1</v>
      </c>
      <c r="AY14" s="51" t="b">
        <v>1</v>
      </c>
      <c r="AZ14" s="45" t="s">
        <v>73</v>
      </c>
      <c r="BA14" s="45">
        <v>4</v>
      </c>
      <c r="BB14" s="49">
        <v>0.05</v>
      </c>
      <c r="BC14" s="49">
        <v>0.5</v>
      </c>
      <c r="BD14" s="52" t="b">
        <v>0</v>
      </c>
      <c r="BE14" s="45" t="s">
        <v>98</v>
      </c>
      <c r="BF14" s="51" t="b">
        <v>1</v>
      </c>
      <c r="BG14" s="45" t="s">
        <v>71</v>
      </c>
      <c r="BH14" s="54">
        <v>0.02</v>
      </c>
      <c r="BI14" s="70" t="s">
        <v>5</v>
      </c>
      <c r="BJ14" s="51" t="b">
        <v>1</v>
      </c>
      <c r="BK14" s="72">
        <v>1.5</v>
      </c>
      <c r="BL14" s="52" t="b">
        <v>0</v>
      </c>
      <c r="BM14" s="70" t="s">
        <v>6</v>
      </c>
      <c r="BN14" s="51" t="b">
        <v>1</v>
      </c>
      <c r="BO14" s="70" t="s">
        <v>15</v>
      </c>
      <c r="BP14" s="71">
        <v>1</v>
      </c>
      <c r="BQ14" s="71">
        <v>0.5</v>
      </c>
      <c r="BR14" s="75" t="str">
        <f t="shared" si="7"/>
        <v>5/ 13/ 34/ 89</v>
      </c>
      <c r="BS14" s="75" t="str">
        <f>AR14&amp;" / "&amp;AS14&amp;" / "&amp;AT14</f>
        <v>5 / 8 / 5</v>
      </c>
      <c r="BT14" s="75" t="str">
        <f>BB14&amp;" / "&amp;BC14</f>
        <v>0.05 / 0.5</v>
      </c>
      <c r="BU14" s="7">
        <v>2123</v>
      </c>
      <c r="BV14" s="7">
        <v>1275</v>
      </c>
      <c r="BW14" s="7">
        <v>1173</v>
      </c>
      <c r="BX14" s="27">
        <f>BV14-BW14</f>
        <v>102</v>
      </c>
      <c r="BY14" s="7">
        <v>76</v>
      </c>
      <c r="BZ14" s="21">
        <f>BU14-SUM(BW14:BY14)</f>
        <v>772</v>
      </c>
      <c r="CA14" s="98">
        <f t="shared" si="8"/>
        <v>0.60056523787093741</v>
      </c>
      <c r="CB14" s="99">
        <f t="shared" si="9"/>
        <v>3.5798398492699009E-2</v>
      </c>
      <c r="CC14" s="20">
        <v>11.78</v>
      </c>
      <c r="CD14" s="20">
        <v>41.51</v>
      </c>
      <c r="CE14" s="20">
        <v>0.6</v>
      </c>
      <c r="CF14" s="77">
        <f>BK14</f>
        <v>1.5</v>
      </c>
      <c r="CG14" s="20">
        <v>0.56000000000000005</v>
      </c>
      <c r="CH14" s="20">
        <v>0.45</v>
      </c>
      <c r="CI14" s="22">
        <v>5518</v>
      </c>
      <c r="CJ14" s="20">
        <v>4.33</v>
      </c>
      <c r="CK14" s="20">
        <v>3.8</v>
      </c>
      <c r="CL14" s="20">
        <v>-4</v>
      </c>
      <c r="CM14" s="74">
        <v>1000</v>
      </c>
      <c r="CN14" s="22">
        <v>88118.87</v>
      </c>
      <c r="CO14" s="35">
        <f>CM14+CN14</f>
        <v>89118.87</v>
      </c>
      <c r="CP14" s="35">
        <f>CN14/10</f>
        <v>8811.8869999999988</v>
      </c>
      <c r="CR14" s="15">
        <f>CR$4</f>
        <v>12</v>
      </c>
      <c r="CS14" s="13">
        <f t="shared" si="10"/>
        <v>459.83333333333331</v>
      </c>
      <c r="CT14" s="13">
        <f t="shared" si="11"/>
        <v>7343.2391666666663</v>
      </c>
      <c r="CU14" s="13">
        <f t="shared" si="12"/>
        <v>734.32391666666661</v>
      </c>
      <c r="CW14" s="13">
        <f t="shared" si="13"/>
        <v>5518</v>
      </c>
      <c r="CX14" s="13">
        <f t="shared" si="14"/>
        <v>88118.87</v>
      </c>
      <c r="CY14" s="13">
        <f t="shared" si="15"/>
        <v>8811.8869999999988</v>
      </c>
    </row>
    <row r="15" spans="1:103" outlineLevel="1" x14ac:dyDescent="0.2">
      <c r="A15" s="43"/>
      <c r="B15" s="10"/>
      <c r="C15" s="3" t="s">
        <v>78</v>
      </c>
      <c r="D15" s="3" t="s">
        <v>111</v>
      </c>
      <c r="E15" s="6" t="s">
        <v>19</v>
      </c>
      <c r="F15" s="3" t="s">
        <v>25</v>
      </c>
      <c r="G15" s="5" t="s">
        <v>50</v>
      </c>
      <c r="H15" s="52" t="b">
        <v>0</v>
      </c>
      <c r="J15" s="46" t="s">
        <v>91</v>
      </c>
      <c r="K15" s="46" t="s">
        <v>91</v>
      </c>
      <c r="L15" s="46" t="s">
        <v>91</v>
      </c>
      <c r="M15" s="56" t="b">
        <v>0</v>
      </c>
      <c r="Q15" s="51" t="b">
        <v>1</v>
      </c>
      <c r="R15" s="50" t="s">
        <v>53</v>
      </c>
      <c r="S15" s="55" t="b">
        <v>1</v>
      </c>
      <c r="T15" s="49">
        <v>13</v>
      </c>
      <c r="U15" s="47">
        <v>1.4999999999999999E-2</v>
      </c>
      <c r="V15" s="49">
        <v>75</v>
      </c>
      <c r="W15" s="49">
        <v>-75</v>
      </c>
      <c r="X15" s="47">
        <v>50</v>
      </c>
      <c r="Y15" s="47">
        <v>5</v>
      </c>
      <c r="Z15" s="51" t="b">
        <v>1</v>
      </c>
      <c r="AA15" s="50" t="s">
        <v>92</v>
      </c>
      <c r="AB15" s="54">
        <v>2</v>
      </c>
      <c r="AC15" s="56" t="b">
        <v>0</v>
      </c>
      <c r="AE15" s="56" t="b">
        <v>0</v>
      </c>
      <c r="AG15" s="55" t="b">
        <v>1</v>
      </c>
      <c r="AH15" s="48">
        <v>5</v>
      </c>
      <c r="AI15" s="48">
        <v>13</v>
      </c>
      <c r="AJ15" s="48">
        <v>34</v>
      </c>
      <c r="AK15" s="48">
        <v>89</v>
      </c>
      <c r="AL15" s="52" t="b">
        <v>0</v>
      </c>
      <c r="AM15" s="51" t="b">
        <v>1</v>
      </c>
      <c r="AN15" s="53" t="s">
        <v>34</v>
      </c>
      <c r="AO15" s="60">
        <v>1.0000000000000001E-5</v>
      </c>
      <c r="AP15" s="51" t="b">
        <v>1</v>
      </c>
      <c r="AQ15" s="60">
        <v>1.0000000000000001E-5</v>
      </c>
      <c r="AR15" s="49">
        <v>5</v>
      </c>
      <c r="AS15" s="49">
        <v>8</v>
      </c>
      <c r="AT15" s="49">
        <v>5</v>
      </c>
      <c r="AU15" s="51" t="b">
        <v>1</v>
      </c>
      <c r="AV15" s="47">
        <v>3</v>
      </c>
      <c r="AW15" s="62">
        <v>5</v>
      </c>
      <c r="AX15" s="47">
        <v>1</v>
      </c>
      <c r="AY15" s="51" t="b">
        <v>1</v>
      </c>
      <c r="AZ15" s="45" t="s">
        <v>73</v>
      </c>
      <c r="BA15" s="45">
        <v>4</v>
      </c>
      <c r="BB15" s="49">
        <v>0.05</v>
      </c>
      <c r="BC15" s="49">
        <v>0.5</v>
      </c>
      <c r="BD15" s="52" t="b">
        <v>0</v>
      </c>
      <c r="BE15" s="45" t="s">
        <v>98</v>
      </c>
      <c r="BF15" s="51" t="b">
        <v>1</v>
      </c>
      <c r="BG15" s="45" t="s">
        <v>71</v>
      </c>
      <c r="BH15" s="54">
        <v>0.02</v>
      </c>
      <c r="BI15" s="70" t="s">
        <v>5</v>
      </c>
      <c r="BJ15" s="51" t="b">
        <v>1</v>
      </c>
      <c r="BK15" s="72">
        <v>1.5</v>
      </c>
      <c r="BL15" s="52" t="b">
        <v>0</v>
      </c>
      <c r="BM15" s="70" t="s">
        <v>6</v>
      </c>
      <c r="BN15" s="51" t="b">
        <v>1</v>
      </c>
      <c r="BO15" s="70" t="s">
        <v>15</v>
      </c>
      <c r="BP15" s="71">
        <v>1</v>
      </c>
      <c r="BQ15" s="71">
        <v>0.5</v>
      </c>
      <c r="BR15" s="75" t="str">
        <f t="shared" si="7"/>
        <v>5/ 13/ 34/ 89</v>
      </c>
      <c r="BS15" s="75" t="str">
        <f>AR15&amp;" / "&amp;AS15&amp;" / "&amp;AT15</f>
        <v>5 / 8 / 5</v>
      </c>
      <c r="BT15" s="75" t="str">
        <f>BB15&amp;" / "&amp;BC15</f>
        <v>0.05 / 0.5</v>
      </c>
      <c r="BU15" s="7">
        <v>2207</v>
      </c>
      <c r="BV15" s="7">
        <v>1305</v>
      </c>
      <c r="BW15" s="7">
        <v>1142</v>
      </c>
      <c r="BX15" s="27">
        <f>BV15-BW15</f>
        <v>163</v>
      </c>
      <c r="BY15" s="7">
        <v>125</v>
      </c>
      <c r="BZ15" s="21">
        <f>BU15-SUM(BW15:BY15)</f>
        <v>777</v>
      </c>
      <c r="CA15" s="98">
        <f t="shared" si="8"/>
        <v>0.59130040779338466</v>
      </c>
      <c r="CB15" s="99">
        <f t="shared" si="9"/>
        <v>5.6637970095151792E-2</v>
      </c>
      <c r="CC15" s="20">
        <v>6.96</v>
      </c>
      <c r="CD15" s="20">
        <v>39.92</v>
      </c>
      <c r="CE15" s="20">
        <v>0.52</v>
      </c>
      <c r="CF15" s="77">
        <f>BK15</f>
        <v>1.5</v>
      </c>
      <c r="CG15" s="20">
        <v>0.57999999999999996</v>
      </c>
      <c r="CH15" s="20">
        <v>0.44</v>
      </c>
      <c r="CI15" s="22">
        <v>6484.4</v>
      </c>
      <c r="CJ15" s="20">
        <v>4.97</v>
      </c>
      <c r="CK15" s="20">
        <v>4.99</v>
      </c>
      <c r="CL15" s="20">
        <v>-5.81</v>
      </c>
      <c r="CM15" s="74">
        <v>1000</v>
      </c>
      <c r="CN15" s="22">
        <v>88094.3</v>
      </c>
      <c r="CO15" s="35">
        <f>CM15+CN15</f>
        <v>89094.3</v>
      </c>
      <c r="CP15" s="35">
        <f>CN15/10</f>
        <v>8809.43</v>
      </c>
      <c r="CR15" s="15">
        <f>CR$4</f>
        <v>12</v>
      </c>
      <c r="CS15" s="13">
        <f t="shared" si="10"/>
        <v>540.36666666666667</v>
      </c>
      <c r="CT15" s="13">
        <f t="shared" si="11"/>
        <v>7341.1916666666666</v>
      </c>
      <c r="CU15" s="13">
        <f t="shared" si="12"/>
        <v>734.11916666666662</v>
      </c>
      <c r="CW15" s="13">
        <f t="shared" si="13"/>
        <v>6484.4</v>
      </c>
      <c r="CX15" s="13">
        <f t="shared" si="14"/>
        <v>88094.3</v>
      </c>
      <c r="CY15" s="13">
        <f t="shared" si="15"/>
        <v>8809.43</v>
      </c>
    </row>
    <row r="16" spans="1:103" outlineLevel="1" x14ac:dyDescent="0.2">
      <c r="A16" s="43"/>
      <c r="B16" s="10"/>
      <c r="C16" s="3" t="s">
        <v>79</v>
      </c>
      <c r="D16" s="3" t="s">
        <v>111</v>
      </c>
      <c r="E16" s="6" t="s">
        <v>19</v>
      </c>
      <c r="F16" s="3" t="s">
        <v>25</v>
      </c>
      <c r="G16" s="5" t="s">
        <v>50</v>
      </c>
      <c r="H16" s="52" t="b">
        <v>0</v>
      </c>
      <c r="J16" s="46" t="s">
        <v>91</v>
      </c>
      <c r="K16" s="46" t="s">
        <v>91</v>
      </c>
      <c r="L16" s="46" t="s">
        <v>91</v>
      </c>
      <c r="M16" s="56" t="b">
        <v>0</v>
      </c>
      <c r="Q16" s="51" t="b">
        <v>1</v>
      </c>
      <c r="R16" s="50" t="s">
        <v>53</v>
      </c>
      <c r="S16" s="55" t="b">
        <v>1</v>
      </c>
      <c r="T16" s="49">
        <v>13</v>
      </c>
      <c r="U16" s="47">
        <v>1.4999999999999999E-2</v>
      </c>
      <c r="V16" s="49">
        <v>75</v>
      </c>
      <c r="W16" s="49">
        <v>-75</v>
      </c>
      <c r="X16" s="47">
        <v>50</v>
      </c>
      <c r="Y16" s="47">
        <v>5</v>
      </c>
      <c r="Z16" s="51" t="b">
        <v>1</v>
      </c>
      <c r="AA16" s="50" t="s">
        <v>92</v>
      </c>
      <c r="AB16" s="54">
        <v>2</v>
      </c>
      <c r="AC16" s="56" t="b">
        <v>0</v>
      </c>
      <c r="AE16" s="56" t="b">
        <v>0</v>
      </c>
      <c r="AG16" s="55" t="b">
        <v>1</v>
      </c>
      <c r="AH16" s="48">
        <v>5</v>
      </c>
      <c r="AI16" s="48">
        <v>13</v>
      </c>
      <c r="AJ16" s="48">
        <v>34</v>
      </c>
      <c r="AK16" s="48">
        <v>89</v>
      </c>
      <c r="AL16" s="52" t="b">
        <v>0</v>
      </c>
      <c r="AM16" s="51" t="b">
        <v>1</v>
      </c>
      <c r="AN16" s="53" t="s">
        <v>34</v>
      </c>
      <c r="AO16" s="60">
        <v>1.0000000000000001E-5</v>
      </c>
      <c r="AP16" s="51" t="b">
        <v>1</v>
      </c>
      <c r="AQ16" s="60">
        <v>1.0000000000000001E-5</v>
      </c>
      <c r="AR16" s="49">
        <v>5</v>
      </c>
      <c r="AS16" s="49">
        <v>8</v>
      </c>
      <c r="AT16" s="49">
        <v>5</v>
      </c>
      <c r="AU16" s="51" t="b">
        <v>1</v>
      </c>
      <c r="AV16" s="47">
        <v>3</v>
      </c>
      <c r="AW16" s="62">
        <v>5</v>
      </c>
      <c r="AX16" s="47">
        <v>1</v>
      </c>
      <c r="AY16" s="51" t="b">
        <v>1</v>
      </c>
      <c r="AZ16" s="45" t="s">
        <v>73</v>
      </c>
      <c r="BA16" s="45">
        <v>4</v>
      </c>
      <c r="BB16" s="49">
        <v>0.05</v>
      </c>
      <c r="BC16" s="49">
        <v>0.5</v>
      </c>
      <c r="BD16" s="52" t="b">
        <v>0</v>
      </c>
      <c r="BE16" s="45" t="s">
        <v>98</v>
      </c>
      <c r="BF16" s="51" t="b">
        <v>1</v>
      </c>
      <c r="BG16" s="45" t="s">
        <v>71</v>
      </c>
      <c r="BH16" s="54">
        <v>0.02</v>
      </c>
      <c r="BI16" s="70" t="s">
        <v>5</v>
      </c>
      <c r="BJ16" s="51" t="b">
        <v>1</v>
      </c>
      <c r="BK16" s="72">
        <v>1.5</v>
      </c>
      <c r="BL16" s="52" t="b">
        <v>0</v>
      </c>
      <c r="BM16" s="70" t="s">
        <v>6</v>
      </c>
      <c r="BN16" s="51" t="b">
        <v>1</v>
      </c>
      <c r="BO16" s="70" t="s">
        <v>15</v>
      </c>
      <c r="BP16" s="71">
        <v>1</v>
      </c>
      <c r="BQ16" s="71">
        <v>0.5</v>
      </c>
      <c r="BR16" s="75" t="str">
        <f t="shared" si="7"/>
        <v>5/ 13/ 34/ 89</v>
      </c>
      <c r="BS16" s="75" t="str">
        <f>AR16&amp;" / "&amp;AS16&amp;" / "&amp;AT16</f>
        <v>5 / 8 / 5</v>
      </c>
      <c r="BT16" s="75" t="str">
        <f>BB16&amp;" / "&amp;BC16</f>
        <v>0.05 / 0.5</v>
      </c>
      <c r="BU16" s="7">
        <v>3171</v>
      </c>
      <c r="BV16" s="7">
        <v>1884</v>
      </c>
      <c r="BW16" s="7">
        <v>1660</v>
      </c>
      <c r="BX16" s="27">
        <f>BV16-BW16</f>
        <v>224</v>
      </c>
      <c r="BY16" s="7">
        <v>213</v>
      </c>
      <c r="BZ16" s="21">
        <f>BU16-SUM(BW16:BY16)</f>
        <v>1074</v>
      </c>
      <c r="CA16" s="98">
        <f t="shared" si="8"/>
        <v>0.59413434247871333</v>
      </c>
      <c r="CB16" s="99">
        <f t="shared" si="9"/>
        <v>6.7171239356669826E-2</v>
      </c>
      <c r="CC16" s="20">
        <v>6.55</v>
      </c>
      <c r="CD16" s="20">
        <v>43.14</v>
      </c>
      <c r="CE16" s="20">
        <v>0.53</v>
      </c>
      <c r="CF16" s="77">
        <f>BK16</f>
        <v>1.5</v>
      </c>
      <c r="CG16" s="20">
        <v>0.61</v>
      </c>
      <c r="CH16" s="20">
        <v>0.48</v>
      </c>
      <c r="CI16" s="22">
        <v>10721.7</v>
      </c>
      <c r="CJ16" s="20">
        <v>5.69</v>
      </c>
      <c r="CK16" s="20">
        <v>5.08</v>
      </c>
      <c r="CL16" s="20">
        <v>-5.43</v>
      </c>
      <c r="CM16" s="74">
        <v>1000</v>
      </c>
      <c r="CN16" s="22">
        <v>136800.62</v>
      </c>
      <c r="CO16" s="35">
        <f>CM16+CN16</f>
        <v>137800.62</v>
      </c>
      <c r="CP16" s="35">
        <f>CN16/10</f>
        <v>13680.062</v>
      </c>
      <c r="CR16" s="15">
        <f>CR$4</f>
        <v>12</v>
      </c>
      <c r="CS16" s="13">
        <f t="shared" si="10"/>
        <v>893.47500000000002</v>
      </c>
      <c r="CT16" s="13">
        <f t="shared" si="11"/>
        <v>11400.051666666666</v>
      </c>
      <c r="CU16" s="13">
        <f t="shared" si="12"/>
        <v>1140.0051666666666</v>
      </c>
      <c r="CW16" s="13">
        <f t="shared" si="13"/>
        <v>10721.7</v>
      </c>
      <c r="CX16" s="13">
        <f t="shared" si="14"/>
        <v>136800.62</v>
      </c>
      <c r="CY16" s="13">
        <f t="shared" si="15"/>
        <v>13680.062</v>
      </c>
    </row>
    <row r="17" spans="1:103" outlineLevel="1" x14ac:dyDescent="0.2">
      <c r="G17" s="39"/>
      <c r="AE17" s="47"/>
      <c r="AO17" s="50"/>
      <c r="AQ17" s="57"/>
    </row>
    <row r="18" spans="1:103" x14ac:dyDescent="0.2">
      <c r="A18" s="43"/>
      <c r="B18" s="10" t="s">
        <v>112</v>
      </c>
      <c r="C18" s="3" t="s">
        <v>17</v>
      </c>
      <c r="D18" s="3" t="s">
        <v>23</v>
      </c>
      <c r="E18" s="6" t="s">
        <v>19</v>
      </c>
      <c r="F18" s="3" t="s">
        <v>25</v>
      </c>
      <c r="G18" s="5" t="s">
        <v>50</v>
      </c>
      <c r="H18" s="52" t="b">
        <v>0</v>
      </c>
      <c r="J18" s="46" t="s">
        <v>91</v>
      </c>
      <c r="K18" s="46" t="s">
        <v>91</v>
      </c>
      <c r="L18" s="46" t="s">
        <v>91</v>
      </c>
      <c r="M18" s="56" t="b">
        <v>0</v>
      </c>
      <c r="Q18" s="51" t="b">
        <v>1</v>
      </c>
      <c r="R18" s="50" t="s">
        <v>53</v>
      </c>
      <c r="S18" s="55" t="b">
        <v>1</v>
      </c>
      <c r="T18" s="49">
        <v>13</v>
      </c>
      <c r="U18" s="47">
        <v>1.4999999999999999E-2</v>
      </c>
      <c r="V18" s="49">
        <v>75</v>
      </c>
      <c r="W18" s="49">
        <v>-75</v>
      </c>
      <c r="X18" s="47">
        <v>50</v>
      </c>
      <c r="Y18" s="47">
        <v>5</v>
      </c>
      <c r="Z18" s="51" t="b">
        <v>1</v>
      </c>
      <c r="AA18" s="50" t="s">
        <v>92</v>
      </c>
      <c r="AB18" s="54">
        <v>2</v>
      </c>
      <c r="AC18" s="56" t="b">
        <v>0</v>
      </c>
      <c r="AE18" s="56" t="b">
        <v>0</v>
      </c>
      <c r="AG18" s="55" t="b">
        <v>1</v>
      </c>
      <c r="AH18" s="48">
        <v>5</v>
      </c>
      <c r="AI18" s="48">
        <v>13</v>
      </c>
      <c r="AJ18" s="48">
        <v>34</v>
      </c>
      <c r="AK18" s="48">
        <v>89</v>
      </c>
      <c r="AL18" s="52" t="b">
        <v>0</v>
      </c>
      <c r="AM18" s="51" t="b">
        <v>1</v>
      </c>
      <c r="AN18" s="53" t="s">
        <v>34</v>
      </c>
      <c r="AO18" s="60">
        <v>1.0000000000000001E-5</v>
      </c>
      <c r="AP18" s="51" t="b">
        <v>1</v>
      </c>
      <c r="AQ18" s="60">
        <v>1.0000000000000001E-5</v>
      </c>
      <c r="AR18" s="49">
        <v>5</v>
      </c>
      <c r="AS18" s="49">
        <v>8</v>
      </c>
      <c r="AT18" s="49">
        <v>5</v>
      </c>
      <c r="AU18" s="51" t="b">
        <v>1</v>
      </c>
      <c r="AV18" s="47">
        <v>3</v>
      </c>
      <c r="AW18" s="62">
        <v>5</v>
      </c>
      <c r="AX18" s="47">
        <v>1</v>
      </c>
      <c r="AY18" s="51" t="b">
        <v>1</v>
      </c>
      <c r="AZ18" s="45" t="s">
        <v>73</v>
      </c>
      <c r="BA18" s="45">
        <v>4</v>
      </c>
      <c r="BB18" s="49">
        <v>0.05</v>
      </c>
      <c r="BC18" s="49">
        <v>0.5</v>
      </c>
      <c r="BD18" s="52" t="b">
        <v>0</v>
      </c>
      <c r="BE18" s="45" t="s">
        <v>98</v>
      </c>
      <c r="BF18" s="51" t="b">
        <v>1</v>
      </c>
      <c r="BG18" s="45" t="s">
        <v>71</v>
      </c>
      <c r="BH18" s="54">
        <v>0.02</v>
      </c>
      <c r="BI18" s="70" t="s">
        <v>5</v>
      </c>
      <c r="BJ18" s="51" t="b">
        <v>1</v>
      </c>
      <c r="BK18" s="72">
        <v>1.5</v>
      </c>
      <c r="BL18" s="52" t="b">
        <v>0</v>
      </c>
      <c r="BM18" s="70" t="s">
        <v>6</v>
      </c>
      <c r="BN18" s="51" t="b">
        <v>1</v>
      </c>
      <c r="BO18" s="70" t="s">
        <v>15</v>
      </c>
      <c r="BP18" s="71">
        <v>1</v>
      </c>
      <c r="BQ18" s="71">
        <v>0.5</v>
      </c>
      <c r="BR18" s="75" t="str">
        <f t="shared" ref="BR18:BR22" si="16">AH18&amp;"/ "&amp;AI18&amp;"/ "&amp;AJ18&amp;"/ "&amp;AK18</f>
        <v>5/ 13/ 34/ 89</v>
      </c>
      <c r="BS18" s="75" t="str">
        <f>AR18&amp;" / "&amp;AS18&amp;" / "&amp;AT18</f>
        <v>5 / 8 / 5</v>
      </c>
      <c r="BT18" s="75" t="str">
        <f>BB18&amp;" / "&amp;BC18</f>
        <v>0.05 / 0.5</v>
      </c>
      <c r="BU18" s="7">
        <v>1654</v>
      </c>
      <c r="BV18" s="7">
        <v>1010</v>
      </c>
      <c r="BW18" s="7">
        <v>834</v>
      </c>
      <c r="BX18" s="27">
        <f>BV18-BW18</f>
        <v>176</v>
      </c>
      <c r="BY18" s="7">
        <v>160</v>
      </c>
      <c r="BZ18" s="21">
        <f>BU18-SUM(BW18:BY18)</f>
        <v>484</v>
      </c>
      <c r="CA18" s="98">
        <f>IF(BU18=0,0,BV18/BU18)</f>
        <v>0.61064087061668681</v>
      </c>
      <c r="CB18" s="99">
        <f>IF(BU18=0,0,BY18/BU18)</f>
        <v>9.6735187424425634E-2</v>
      </c>
      <c r="CC18" s="20">
        <v>5.54</v>
      </c>
      <c r="CD18" s="20">
        <v>44.26</v>
      </c>
      <c r="CE18" s="20">
        <v>0.5</v>
      </c>
      <c r="CF18" s="77">
        <f>BK18</f>
        <v>1.5</v>
      </c>
      <c r="CG18" s="20">
        <v>0.66</v>
      </c>
      <c r="CH18" s="20">
        <v>0.52</v>
      </c>
      <c r="CI18" s="22">
        <v>14285.8</v>
      </c>
      <c r="CJ18" s="20">
        <v>14.14</v>
      </c>
      <c r="CK18" s="20">
        <v>13.92</v>
      </c>
      <c r="CL18" s="20">
        <v>-5.47</v>
      </c>
      <c r="CM18" s="74">
        <v>1000</v>
      </c>
      <c r="CN18" s="30">
        <v>73205.37</v>
      </c>
      <c r="CO18" s="38">
        <f>CM18+CN18</f>
        <v>74205.37</v>
      </c>
      <c r="CP18" s="38">
        <f>CN18/10</f>
        <v>7320.5369999999994</v>
      </c>
      <c r="CR18" s="15">
        <f>CR$4</f>
        <v>12</v>
      </c>
      <c r="CS18" s="13">
        <f>CI18/CR18</f>
        <v>1190.4833333333333</v>
      </c>
      <c r="CT18" s="13">
        <f>CN18/CR18</f>
        <v>6100.4474999999993</v>
      </c>
      <c r="CU18" s="13">
        <f>CT18/10</f>
        <v>610.04474999999991</v>
      </c>
      <c r="CW18" s="13">
        <f>CI18</f>
        <v>14285.8</v>
      </c>
      <c r="CX18" s="13">
        <f>CN18</f>
        <v>73205.37</v>
      </c>
      <c r="CY18" s="13">
        <f>CP18</f>
        <v>7320.5369999999994</v>
      </c>
    </row>
    <row r="19" spans="1:103" outlineLevel="1" x14ac:dyDescent="0.2">
      <c r="A19" s="43"/>
      <c r="B19" s="10"/>
      <c r="C19" s="3" t="s">
        <v>77</v>
      </c>
      <c r="D19" s="3" t="s">
        <v>23</v>
      </c>
      <c r="E19" s="6" t="s">
        <v>19</v>
      </c>
      <c r="F19" s="3" t="s">
        <v>25</v>
      </c>
      <c r="G19" s="5" t="s">
        <v>50</v>
      </c>
      <c r="H19" s="52" t="b">
        <v>0</v>
      </c>
      <c r="J19" s="46" t="s">
        <v>91</v>
      </c>
      <c r="K19" s="46" t="s">
        <v>91</v>
      </c>
      <c r="L19" s="46" t="s">
        <v>91</v>
      </c>
      <c r="M19" s="56" t="b">
        <v>0</v>
      </c>
      <c r="Q19" s="51" t="b">
        <v>1</v>
      </c>
      <c r="R19" s="50" t="s">
        <v>53</v>
      </c>
      <c r="S19" s="55" t="b">
        <v>1</v>
      </c>
      <c r="T19" s="49">
        <v>13</v>
      </c>
      <c r="U19" s="47">
        <v>1.4999999999999999E-2</v>
      </c>
      <c r="V19" s="49">
        <v>75</v>
      </c>
      <c r="W19" s="49">
        <v>-75</v>
      </c>
      <c r="X19" s="47">
        <v>50</v>
      </c>
      <c r="Y19" s="47">
        <v>5</v>
      </c>
      <c r="Z19" s="51" t="b">
        <v>1</v>
      </c>
      <c r="AA19" s="50" t="s">
        <v>92</v>
      </c>
      <c r="AB19" s="54">
        <v>2</v>
      </c>
      <c r="AC19" s="56" t="b">
        <v>0</v>
      </c>
      <c r="AE19" s="56" t="b">
        <v>0</v>
      </c>
      <c r="AG19" s="55" t="b">
        <v>1</v>
      </c>
      <c r="AH19" s="48">
        <v>5</v>
      </c>
      <c r="AI19" s="48">
        <v>13</v>
      </c>
      <c r="AJ19" s="48">
        <v>34</v>
      </c>
      <c r="AK19" s="48">
        <v>89</v>
      </c>
      <c r="AL19" s="52" t="b">
        <v>0</v>
      </c>
      <c r="AM19" s="51" t="b">
        <v>1</v>
      </c>
      <c r="AN19" s="53" t="s">
        <v>34</v>
      </c>
      <c r="AO19" s="60">
        <v>1.0000000000000001E-5</v>
      </c>
      <c r="AP19" s="51" t="b">
        <v>1</v>
      </c>
      <c r="AQ19" s="60">
        <v>1.0000000000000001E-5</v>
      </c>
      <c r="AR19" s="49">
        <v>5</v>
      </c>
      <c r="AS19" s="49">
        <v>8</v>
      </c>
      <c r="AT19" s="49">
        <v>5</v>
      </c>
      <c r="AU19" s="51" t="b">
        <v>1</v>
      </c>
      <c r="AV19" s="47">
        <v>3</v>
      </c>
      <c r="AW19" s="62">
        <v>5</v>
      </c>
      <c r="AX19" s="47">
        <v>1</v>
      </c>
      <c r="AY19" s="51" t="b">
        <v>1</v>
      </c>
      <c r="AZ19" s="45" t="s">
        <v>73</v>
      </c>
      <c r="BA19" s="45">
        <v>4</v>
      </c>
      <c r="BB19" s="49">
        <v>0.05</v>
      </c>
      <c r="BC19" s="49">
        <v>0.5</v>
      </c>
      <c r="BD19" s="52" t="b">
        <v>0</v>
      </c>
      <c r="BE19" s="45" t="s">
        <v>98</v>
      </c>
      <c r="BF19" s="51" t="b">
        <v>1</v>
      </c>
      <c r="BG19" s="45" t="s">
        <v>71</v>
      </c>
      <c r="BH19" s="54">
        <v>0.02</v>
      </c>
      <c r="BI19" s="70" t="s">
        <v>5</v>
      </c>
      <c r="BJ19" s="51" t="b">
        <v>1</v>
      </c>
      <c r="BK19" s="72">
        <v>1.5</v>
      </c>
      <c r="BL19" s="52" t="b">
        <v>0</v>
      </c>
      <c r="BM19" s="70" t="s">
        <v>6</v>
      </c>
      <c r="BN19" s="51" t="b">
        <v>1</v>
      </c>
      <c r="BO19" s="70" t="s">
        <v>15</v>
      </c>
      <c r="BP19" s="71">
        <v>1</v>
      </c>
      <c r="BQ19" s="71">
        <v>0.5</v>
      </c>
      <c r="BR19" s="75" t="str">
        <f t="shared" si="16"/>
        <v>5/ 13/ 34/ 89</v>
      </c>
      <c r="BS19" s="75" t="str">
        <f>AR19&amp;" / "&amp;AS19&amp;" / "&amp;AT19</f>
        <v>5 / 8 / 5</v>
      </c>
      <c r="BT19" s="75" t="str">
        <f>BB19&amp;" / "&amp;BC19</f>
        <v>0.05 / 0.5</v>
      </c>
      <c r="BU19" s="7">
        <v>1719</v>
      </c>
      <c r="BV19" s="7">
        <v>983</v>
      </c>
      <c r="BW19" s="7">
        <v>814</v>
      </c>
      <c r="BX19" s="27">
        <f>BV19-BW19</f>
        <v>169</v>
      </c>
      <c r="BY19" s="7">
        <v>182</v>
      </c>
      <c r="BZ19" s="21">
        <f>BU19-SUM(BW19:BY19)</f>
        <v>554</v>
      </c>
      <c r="CA19" s="98">
        <f t="shared" ref="CA19:CA22" si="17">IF(BU19=0,0,BV19/BU19)</f>
        <v>0.57184409540430481</v>
      </c>
      <c r="CB19" s="99">
        <f t="shared" ref="CB19:CB22" si="18">IF(BU19=0,0,BY19/BU19)</f>
        <v>0.10587550901687028</v>
      </c>
      <c r="CC19" s="20">
        <v>4.05</v>
      </c>
      <c r="CD19" s="20">
        <v>36.090000000000003</v>
      </c>
      <c r="CE19" s="20">
        <v>0.42</v>
      </c>
      <c r="CF19" s="77">
        <f>BK19</f>
        <v>1.5</v>
      </c>
      <c r="CG19" s="20">
        <v>0.63</v>
      </c>
      <c r="CH19" s="20">
        <v>0.49</v>
      </c>
      <c r="CI19" s="22">
        <v>14124</v>
      </c>
      <c r="CJ19" s="20">
        <v>14.37</v>
      </c>
      <c r="CK19" s="20">
        <v>15.68</v>
      </c>
      <c r="CL19" s="20">
        <v>-3.71</v>
      </c>
      <c r="CM19" s="74">
        <v>1000</v>
      </c>
      <c r="CN19" s="29">
        <v>62041.52</v>
      </c>
      <c r="CO19" s="36">
        <f>CM19+CN19</f>
        <v>63041.52</v>
      </c>
      <c r="CP19" s="36">
        <f>CN19/10</f>
        <v>6204.152</v>
      </c>
      <c r="CR19" s="15">
        <f>CR$4</f>
        <v>12</v>
      </c>
      <c r="CS19" s="13">
        <f t="shared" ref="CS19:CS22" si="19">CI19/CR19</f>
        <v>1177</v>
      </c>
      <c r="CT19" s="13">
        <f t="shared" ref="CT19:CT22" si="20">CN19/CR19</f>
        <v>5170.1266666666661</v>
      </c>
      <c r="CU19" s="13">
        <f t="shared" ref="CU19:CU22" si="21">CT19/10</f>
        <v>517.01266666666663</v>
      </c>
      <c r="CW19" s="13">
        <f t="shared" ref="CW19:CW22" si="22">CI19</f>
        <v>14124</v>
      </c>
      <c r="CX19" s="13">
        <f t="shared" ref="CX19:CX22" si="23">CN19</f>
        <v>62041.52</v>
      </c>
      <c r="CY19" s="13">
        <f t="shared" ref="CY19:CY22" si="24">CP19</f>
        <v>6204.152</v>
      </c>
    </row>
    <row r="20" spans="1:103" outlineLevel="1" x14ac:dyDescent="0.2">
      <c r="A20" s="43"/>
      <c r="B20" s="10"/>
      <c r="C20" s="3" t="s">
        <v>80</v>
      </c>
      <c r="D20" s="3" t="s">
        <v>23</v>
      </c>
      <c r="E20" s="6" t="s">
        <v>19</v>
      </c>
      <c r="F20" s="3" t="s">
        <v>25</v>
      </c>
      <c r="G20" s="5" t="s">
        <v>50</v>
      </c>
      <c r="H20" s="52" t="b">
        <v>0</v>
      </c>
      <c r="J20" s="46" t="s">
        <v>91</v>
      </c>
      <c r="K20" s="46" t="s">
        <v>91</v>
      </c>
      <c r="L20" s="46" t="s">
        <v>91</v>
      </c>
      <c r="M20" s="56" t="b">
        <v>0</v>
      </c>
      <c r="Q20" s="51" t="b">
        <v>1</v>
      </c>
      <c r="R20" s="50" t="s">
        <v>53</v>
      </c>
      <c r="S20" s="55" t="b">
        <v>1</v>
      </c>
      <c r="T20" s="49">
        <v>13</v>
      </c>
      <c r="U20" s="47">
        <v>1.4999999999999999E-2</v>
      </c>
      <c r="V20" s="49">
        <v>75</v>
      </c>
      <c r="W20" s="49">
        <v>-75</v>
      </c>
      <c r="X20" s="47">
        <v>50</v>
      </c>
      <c r="Y20" s="47">
        <v>5</v>
      </c>
      <c r="Z20" s="51" t="b">
        <v>1</v>
      </c>
      <c r="AA20" s="50" t="s">
        <v>92</v>
      </c>
      <c r="AB20" s="54">
        <v>2</v>
      </c>
      <c r="AC20" s="56" t="b">
        <v>0</v>
      </c>
      <c r="AE20" s="56" t="b">
        <v>0</v>
      </c>
      <c r="AG20" s="55" t="b">
        <v>1</v>
      </c>
      <c r="AH20" s="48">
        <v>5</v>
      </c>
      <c r="AI20" s="48">
        <v>13</v>
      </c>
      <c r="AJ20" s="48">
        <v>34</v>
      </c>
      <c r="AK20" s="48">
        <v>89</v>
      </c>
      <c r="AL20" s="52" t="b">
        <v>0</v>
      </c>
      <c r="AM20" s="51" t="b">
        <v>1</v>
      </c>
      <c r="AN20" s="53" t="s">
        <v>34</v>
      </c>
      <c r="AO20" s="60">
        <v>1.0000000000000001E-5</v>
      </c>
      <c r="AP20" s="51" t="b">
        <v>1</v>
      </c>
      <c r="AQ20" s="60">
        <v>1.0000000000000001E-5</v>
      </c>
      <c r="AR20" s="49">
        <v>5</v>
      </c>
      <c r="AS20" s="49">
        <v>8</v>
      </c>
      <c r="AT20" s="49">
        <v>5</v>
      </c>
      <c r="AU20" s="51" t="b">
        <v>1</v>
      </c>
      <c r="AV20" s="47">
        <v>3</v>
      </c>
      <c r="AW20" s="62">
        <v>5</v>
      </c>
      <c r="AX20" s="47">
        <v>1</v>
      </c>
      <c r="AY20" s="51" t="b">
        <v>1</v>
      </c>
      <c r="AZ20" s="45" t="s">
        <v>73</v>
      </c>
      <c r="BA20" s="45">
        <v>4</v>
      </c>
      <c r="BB20" s="49">
        <v>0.05</v>
      </c>
      <c r="BC20" s="49">
        <v>0.5</v>
      </c>
      <c r="BD20" s="52" t="b">
        <v>0</v>
      </c>
      <c r="BE20" s="45" t="s">
        <v>98</v>
      </c>
      <c r="BF20" s="51" t="b">
        <v>1</v>
      </c>
      <c r="BG20" s="45" t="s">
        <v>71</v>
      </c>
      <c r="BH20" s="54">
        <v>0.02</v>
      </c>
      <c r="BI20" s="70" t="s">
        <v>5</v>
      </c>
      <c r="BJ20" s="51" t="b">
        <v>1</v>
      </c>
      <c r="BK20" s="72">
        <v>1.5</v>
      </c>
      <c r="BL20" s="52" t="b">
        <v>0</v>
      </c>
      <c r="BM20" s="70" t="s">
        <v>6</v>
      </c>
      <c r="BN20" s="51" t="b">
        <v>1</v>
      </c>
      <c r="BO20" s="70" t="s">
        <v>15</v>
      </c>
      <c r="BP20" s="71">
        <v>1</v>
      </c>
      <c r="BQ20" s="71">
        <v>0.5</v>
      </c>
      <c r="BR20" s="75" t="str">
        <f t="shared" si="16"/>
        <v>5/ 13/ 34/ 89</v>
      </c>
      <c r="BS20" s="75" t="str">
        <f>AR20&amp;" / "&amp;AS20&amp;" / "&amp;AT20</f>
        <v>5 / 8 / 5</v>
      </c>
      <c r="BT20" s="75" t="str">
        <f>BB20&amp;" / "&amp;BC20</f>
        <v>0.05 / 0.5</v>
      </c>
      <c r="BU20" s="7">
        <v>1048</v>
      </c>
      <c r="BV20" s="7">
        <v>608</v>
      </c>
      <c r="BW20" s="7">
        <v>552</v>
      </c>
      <c r="BX20" s="27">
        <f>BV20-BW20</f>
        <v>56</v>
      </c>
      <c r="BY20" s="7">
        <v>69</v>
      </c>
      <c r="BZ20" s="21">
        <f>BU20-SUM(BW20:BY20)</f>
        <v>371</v>
      </c>
      <c r="CA20" s="98">
        <f t="shared" si="17"/>
        <v>0.58015267175572516</v>
      </c>
      <c r="CB20" s="99">
        <f t="shared" si="18"/>
        <v>6.5839694656488548E-2</v>
      </c>
      <c r="CC20" s="20">
        <v>6.53</v>
      </c>
      <c r="CD20" s="20">
        <v>33.33</v>
      </c>
      <c r="CE20" s="20">
        <v>0.48</v>
      </c>
      <c r="CF20" s="77">
        <f>BK20</f>
        <v>1.5</v>
      </c>
      <c r="CG20" s="20">
        <v>0.56999999999999995</v>
      </c>
      <c r="CH20" s="20">
        <v>0.44</v>
      </c>
      <c r="CI20" s="22">
        <v>4002.2</v>
      </c>
      <c r="CJ20" s="20">
        <v>6.58</v>
      </c>
      <c r="CK20" s="20">
        <v>5.95</v>
      </c>
      <c r="CL20" s="20">
        <v>-3.89</v>
      </c>
      <c r="CM20" s="74">
        <v>1000</v>
      </c>
      <c r="CN20" s="22">
        <v>34929.43</v>
      </c>
      <c r="CO20" s="35">
        <f>CM20+CN20</f>
        <v>35929.43</v>
      </c>
      <c r="CP20" s="35">
        <f>CN20/10</f>
        <v>3492.9430000000002</v>
      </c>
      <c r="CR20" s="15">
        <f>CR$4</f>
        <v>12</v>
      </c>
      <c r="CS20" s="13">
        <f t="shared" si="19"/>
        <v>333.51666666666665</v>
      </c>
      <c r="CT20" s="13">
        <f t="shared" si="20"/>
        <v>2910.7858333333334</v>
      </c>
      <c r="CU20" s="13">
        <f t="shared" si="21"/>
        <v>291.07858333333331</v>
      </c>
      <c r="CW20" s="13">
        <f t="shared" si="22"/>
        <v>4002.2</v>
      </c>
      <c r="CX20" s="13">
        <f t="shared" si="23"/>
        <v>34929.43</v>
      </c>
      <c r="CY20" s="13">
        <f t="shared" si="24"/>
        <v>3492.9430000000002</v>
      </c>
    </row>
    <row r="21" spans="1:103" outlineLevel="1" x14ac:dyDescent="0.2">
      <c r="A21" s="43"/>
      <c r="B21" s="10"/>
      <c r="C21" s="3" t="s">
        <v>78</v>
      </c>
      <c r="D21" s="3" t="s">
        <v>23</v>
      </c>
      <c r="E21" s="6" t="s">
        <v>19</v>
      </c>
      <c r="F21" s="3" t="s">
        <v>25</v>
      </c>
      <c r="G21" s="5" t="s">
        <v>50</v>
      </c>
      <c r="H21" s="52" t="b">
        <v>0</v>
      </c>
      <c r="J21" s="46" t="s">
        <v>91</v>
      </c>
      <c r="K21" s="46" t="s">
        <v>91</v>
      </c>
      <c r="L21" s="46" t="s">
        <v>91</v>
      </c>
      <c r="M21" s="56" t="b">
        <v>0</v>
      </c>
      <c r="Q21" s="51" t="b">
        <v>1</v>
      </c>
      <c r="R21" s="50" t="s">
        <v>53</v>
      </c>
      <c r="S21" s="55" t="b">
        <v>1</v>
      </c>
      <c r="T21" s="49">
        <v>13</v>
      </c>
      <c r="U21" s="47">
        <v>1.4999999999999999E-2</v>
      </c>
      <c r="V21" s="49">
        <v>75</v>
      </c>
      <c r="W21" s="49">
        <v>-75</v>
      </c>
      <c r="X21" s="47">
        <v>50</v>
      </c>
      <c r="Y21" s="47">
        <v>5</v>
      </c>
      <c r="Z21" s="51" t="b">
        <v>1</v>
      </c>
      <c r="AA21" s="50" t="s">
        <v>92</v>
      </c>
      <c r="AB21" s="54">
        <v>2</v>
      </c>
      <c r="AC21" s="56" t="b">
        <v>0</v>
      </c>
      <c r="AE21" s="56" t="b">
        <v>0</v>
      </c>
      <c r="AG21" s="55" t="b">
        <v>1</v>
      </c>
      <c r="AH21" s="48">
        <v>5</v>
      </c>
      <c r="AI21" s="48">
        <v>13</v>
      </c>
      <c r="AJ21" s="48">
        <v>34</v>
      </c>
      <c r="AK21" s="48">
        <v>89</v>
      </c>
      <c r="AL21" s="52" t="b">
        <v>0</v>
      </c>
      <c r="AM21" s="51" t="b">
        <v>1</v>
      </c>
      <c r="AN21" s="53" t="s">
        <v>34</v>
      </c>
      <c r="AO21" s="60">
        <v>1.0000000000000001E-5</v>
      </c>
      <c r="AP21" s="51" t="b">
        <v>1</v>
      </c>
      <c r="AQ21" s="60">
        <v>1.0000000000000001E-5</v>
      </c>
      <c r="AR21" s="49">
        <v>5</v>
      </c>
      <c r="AS21" s="49">
        <v>8</v>
      </c>
      <c r="AT21" s="49">
        <v>5</v>
      </c>
      <c r="AU21" s="51" t="b">
        <v>1</v>
      </c>
      <c r="AV21" s="47">
        <v>3</v>
      </c>
      <c r="AW21" s="62">
        <v>5</v>
      </c>
      <c r="AX21" s="47">
        <v>1</v>
      </c>
      <c r="AY21" s="51" t="b">
        <v>1</v>
      </c>
      <c r="AZ21" s="45" t="s">
        <v>73</v>
      </c>
      <c r="BA21" s="45">
        <v>4</v>
      </c>
      <c r="BB21" s="49">
        <v>0.05</v>
      </c>
      <c r="BC21" s="49">
        <v>0.5</v>
      </c>
      <c r="BD21" s="52" t="b">
        <v>0</v>
      </c>
      <c r="BE21" s="45" t="s">
        <v>98</v>
      </c>
      <c r="BF21" s="51" t="b">
        <v>1</v>
      </c>
      <c r="BG21" s="45" t="s">
        <v>71</v>
      </c>
      <c r="BH21" s="54">
        <v>0.02</v>
      </c>
      <c r="BI21" s="70" t="s">
        <v>5</v>
      </c>
      <c r="BJ21" s="51" t="b">
        <v>1</v>
      </c>
      <c r="BK21" s="72">
        <v>1.5</v>
      </c>
      <c r="BL21" s="52" t="b">
        <v>0</v>
      </c>
      <c r="BM21" s="70" t="s">
        <v>6</v>
      </c>
      <c r="BN21" s="51" t="b">
        <v>1</v>
      </c>
      <c r="BO21" s="70" t="s">
        <v>15</v>
      </c>
      <c r="BP21" s="71">
        <v>1</v>
      </c>
      <c r="BQ21" s="71">
        <v>0.5</v>
      </c>
      <c r="BR21" s="75" t="str">
        <f t="shared" si="16"/>
        <v>5/ 13/ 34/ 89</v>
      </c>
      <c r="BS21" s="75" t="str">
        <f>AR21&amp;" / "&amp;AS21&amp;" / "&amp;AT21</f>
        <v>5 / 8 / 5</v>
      </c>
      <c r="BT21" s="75" t="str">
        <f>BB21&amp;" / "&amp;BC21</f>
        <v>0.05 / 0.5</v>
      </c>
      <c r="BU21" s="7">
        <v>1073</v>
      </c>
      <c r="BV21" s="7">
        <v>642</v>
      </c>
      <c r="BW21" s="7">
        <v>561</v>
      </c>
      <c r="BX21" s="27">
        <f>BV21-BW21</f>
        <v>81</v>
      </c>
      <c r="BY21" s="7">
        <v>82</v>
      </c>
      <c r="BZ21" s="21">
        <f>BU21-SUM(BW21:BY21)</f>
        <v>349</v>
      </c>
      <c r="CA21" s="98">
        <f t="shared" si="17"/>
        <v>0.59832246039142589</v>
      </c>
      <c r="CB21" s="99">
        <f t="shared" si="18"/>
        <v>7.6421248835041936E-2</v>
      </c>
      <c r="CC21" s="20">
        <v>6.17</v>
      </c>
      <c r="CD21" s="20">
        <v>36.31</v>
      </c>
      <c r="CE21" s="20">
        <v>0.49</v>
      </c>
      <c r="CF21" s="77">
        <f>BK21</f>
        <v>1.5</v>
      </c>
      <c r="CG21" s="20">
        <v>0.6</v>
      </c>
      <c r="CH21" s="20">
        <v>0.46</v>
      </c>
      <c r="CI21" s="22">
        <v>4937.6000000000004</v>
      </c>
      <c r="CJ21" s="20">
        <v>7.69</v>
      </c>
      <c r="CK21" s="20">
        <v>7.18</v>
      </c>
      <c r="CL21" s="20">
        <v>-4.25</v>
      </c>
      <c r="CM21" s="74">
        <v>1000</v>
      </c>
      <c r="CN21" s="22">
        <v>38958.33</v>
      </c>
      <c r="CO21" s="35">
        <f>CM21+CN21</f>
        <v>39958.33</v>
      </c>
      <c r="CP21" s="35">
        <f>CN21/10</f>
        <v>3895.8330000000001</v>
      </c>
      <c r="CR21" s="15">
        <f>CR$4</f>
        <v>12</v>
      </c>
      <c r="CS21" s="13">
        <f t="shared" si="19"/>
        <v>411.4666666666667</v>
      </c>
      <c r="CT21" s="13">
        <f t="shared" si="20"/>
        <v>3246.5275000000001</v>
      </c>
      <c r="CU21" s="13">
        <f t="shared" si="21"/>
        <v>324.65275000000003</v>
      </c>
      <c r="CW21" s="13">
        <f t="shared" si="22"/>
        <v>4937.6000000000004</v>
      </c>
      <c r="CX21" s="13">
        <f t="shared" si="23"/>
        <v>38958.33</v>
      </c>
      <c r="CY21" s="13">
        <f t="shared" si="24"/>
        <v>3895.8330000000001</v>
      </c>
    </row>
    <row r="22" spans="1:103" outlineLevel="1" x14ac:dyDescent="0.2">
      <c r="A22" s="43"/>
      <c r="B22" s="10"/>
      <c r="C22" s="3" t="s">
        <v>79</v>
      </c>
      <c r="D22" s="3" t="s">
        <v>23</v>
      </c>
      <c r="E22" s="6" t="s">
        <v>19</v>
      </c>
      <c r="F22" s="3" t="s">
        <v>25</v>
      </c>
      <c r="G22" s="5" t="s">
        <v>50</v>
      </c>
      <c r="H22" s="52" t="b">
        <v>0</v>
      </c>
      <c r="J22" s="46" t="s">
        <v>91</v>
      </c>
      <c r="K22" s="46" t="s">
        <v>91</v>
      </c>
      <c r="L22" s="46" t="s">
        <v>91</v>
      </c>
      <c r="M22" s="56" t="b">
        <v>0</v>
      </c>
      <c r="Q22" s="51" t="b">
        <v>1</v>
      </c>
      <c r="R22" s="50" t="s">
        <v>53</v>
      </c>
      <c r="S22" s="55" t="b">
        <v>1</v>
      </c>
      <c r="T22" s="49">
        <v>13</v>
      </c>
      <c r="U22" s="47">
        <v>1.4999999999999999E-2</v>
      </c>
      <c r="V22" s="49">
        <v>75</v>
      </c>
      <c r="W22" s="49">
        <v>-75</v>
      </c>
      <c r="X22" s="47">
        <v>50</v>
      </c>
      <c r="Y22" s="47">
        <v>5</v>
      </c>
      <c r="Z22" s="51" t="b">
        <v>1</v>
      </c>
      <c r="AA22" s="50" t="s">
        <v>92</v>
      </c>
      <c r="AB22" s="54">
        <v>2</v>
      </c>
      <c r="AC22" s="56" t="b">
        <v>0</v>
      </c>
      <c r="AE22" s="56" t="b">
        <v>0</v>
      </c>
      <c r="AG22" s="55" t="b">
        <v>1</v>
      </c>
      <c r="AH22" s="48">
        <v>5</v>
      </c>
      <c r="AI22" s="48">
        <v>13</v>
      </c>
      <c r="AJ22" s="48">
        <v>34</v>
      </c>
      <c r="AK22" s="48">
        <v>89</v>
      </c>
      <c r="AL22" s="52" t="b">
        <v>0</v>
      </c>
      <c r="AM22" s="51" t="b">
        <v>1</v>
      </c>
      <c r="AN22" s="53" t="s">
        <v>34</v>
      </c>
      <c r="AO22" s="60">
        <v>1.0000000000000001E-5</v>
      </c>
      <c r="AP22" s="51" t="b">
        <v>1</v>
      </c>
      <c r="AQ22" s="60">
        <v>1.0000000000000001E-5</v>
      </c>
      <c r="AR22" s="49">
        <v>5</v>
      </c>
      <c r="AS22" s="49">
        <v>8</v>
      </c>
      <c r="AT22" s="49">
        <v>5</v>
      </c>
      <c r="AU22" s="51" t="b">
        <v>1</v>
      </c>
      <c r="AV22" s="47">
        <v>3</v>
      </c>
      <c r="AW22" s="62">
        <v>5</v>
      </c>
      <c r="AX22" s="47">
        <v>1</v>
      </c>
      <c r="AY22" s="51" t="b">
        <v>1</v>
      </c>
      <c r="AZ22" s="45" t="s">
        <v>73</v>
      </c>
      <c r="BA22" s="45">
        <v>4</v>
      </c>
      <c r="BB22" s="49">
        <v>0.05</v>
      </c>
      <c r="BC22" s="49">
        <v>0.5</v>
      </c>
      <c r="BD22" s="52" t="b">
        <v>0</v>
      </c>
      <c r="BE22" s="45" t="s">
        <v>98</v>
      </c>
      <c r="BF22" s="51" t="b">
        <v>1</v>
      </c>
      <c r="BG22" s="45" t="s">
        <v>71</v>
      </c>
      <c r="BH22" s="54">
        <v>0.02</v>
      </c>
      <c r="BI22" s="70" t="s">
        <v>5</v>
      </c>
      <c r="BJ22" s="51" t="b">
        <v>1</v>
      </c>
      <c r="BK22" s="72">
        <v>1.5</v>
      </c>
      <c r="BL22" s="52" t="b">
        <v>0</v>
      </c>
      <c r="BM22" s="70" t="s">
        <v>6</v>
      </c>
      <c r="BN22" s="51" t="b">
        <v>1</v>
      </c>
      <c r="BO22" s="70" t="s">
        <v>15</v>
      </c>
      <c r="BP22" s="71">
        <v>1</v>
      </c>
      <c r="BQ22" s="71">
        <v>0.5</v>
      </c>
      <c r="BR22" s="75" t="str">
        <f t="shared" si="16"/>
        <v>5/ 13/ 34/ 89</v>
      </c>
      <c r="BS22" s="75" t="str">
        <f>AR22&amp;" / "&amp;AS22&amp;" / "&amp;AT22</f>
        <v>5 / 8 / 5</v>
      </c>
      <c r="BT22" s="75" t="str">
        <f>BB22&amp;" / "&amp;BC22</f>
        <v>0.05 / 0.5</v>
      </c>
      <c r="BU22" s="7">
        <v>1355</v>
      </c>
      <c r="BV22" s="7">
        <v>774</v>
      </c>
      <c r="BW22" s="7">
        <v>669</v>
      </c>
      <c r="BX22" s="27">
        <f>BV22-BW22</f>
        <v>105</v>
      </c>
      <c r="BY22" s="7">
        <v>120</v>
      </c>
      <c r="BZ22" s="21">
        <f>BU22-SUM(BW22:BY22)</f>
        <v>461</v>
      </c>
      <c r="CA22" s="98">
        <f t="shared" si="17"/>
        <v>0.57121771217712181</v>
      </c>
      <c r="CB22" s="99">
        <f t="shared" si="18"/>
        <v>8.8560885608856083E-2</v>
      </c>
      <c r="CC22" s="20">
        <v>4.79</v>
      </c>
      <c r="CD22" s="20">
        <v>34.49</v>
      </c>
      <c r="CE22" s="20">
        <v>0.45</v>
      </c>
      <c r="CF22" s="77">
        <f>BK22</f>
        <v>1.5</v>
      </c>
      <c r="CG22" s="20">
        <v>0.6</v>
      </c>
      <c r="CH22" s="20">
        <v>0.49</v>
      </c>
      <c r="CI22" s="22">
        <v>6909.7</v>
      </c>
      <c r="CJ22" s="20">
        <v>8.93</v>
      </c>
      <c r="CK22" s="20">
        <v>7.91</v>
      </c>
      <c r="CL22" s="20">
        <v>-6.29</v>
      </c>
      <c r="CM22" s="74">
        <v>1000</v>
      </c>
      <c r="CN22" s="22">
        <v>46735.12</v>
      </c>
      <c r="CO22" s="35">
        <f>CM22+CN22</f>
        <v>47735.12</v>
      </c>
      <c r="CP22" s="35">
        <f>CN22/10</f>
        <v>4673.5120000000006</v>
      </c>
      <c r="CR22" s="15">
        <f>CR$4</f>
        <v>12</v>
      </c>
      <c r="CS22" s="13">
        <f t="shared" si="19"/>
        <v>575.80833333333328</v>
      </c>
      <c r="CT22" s="13">
        <f t="shared" si="20"/>
        <v>3894.5933333333337</v>
      </c>
      <c r="CU22" s="13">
        <f t="shared" si="21"/>
        <v>389.45933333333335</v>
      </c>
      <c r="CW22" s="13">
        <f t="shared" si="22"/>
        <v>6909.7</v>
      </c>
      <c r="CX22" s="13">
        <f t="shared" si="23"/>
        <v>46735.12</v>
      </c>
      <c r="CY22" s="13">
        <f t="shared" si="24"/>
        <v>4673.5120000000006</v>
      </c>
    </row>
    <row r="23" spans="1:103" outlineLevel="1" x14ac:dyDescent="0.2">
      <c r="AE23" s="47"/>
    </row>
    <row r="24" spans="1:103" x14ac:dyDescent="0.2">
      <c r="A24" s="43"/>
      <c r="B24" s="10" t="s">
        <v>117</v>
      </c>
      <c r="C24" s="3" t="s">
        <v>17</v>
      </c>
      <c r="D24" s="3" t="s">
        <v>113</v>
      </c>
      <c r="E24" s="6" t="s">
        <v>19</v>
      </c>
      <c r="F24" s="3" t="s">
        <v>25</v>
      </c>
      <c r="G24" s="5" t="s">
        <v>50</v>
      </c>
      <c r="H24" s="52" t="b">
        <v>0</v>
      </c>
      <c r="J24" s="46" t="s">
        <v>91</v>
      </c>
      <c r="K24" s="46" t="s">
        <v>91</v>
      </c>
      <c r="L24" s="46" t="s">
        <v>91</v>
      </c>
      <c r="M24" s="56" t="b">
        <v>0</v>
      </c>
      <c r="Q24" s="51" t="b">
        <v>1</v>
      </c>
      <c r="R24" s="50" t="s">
        <v>53</v>
      </c>
      <c r="S24" s="55" t="b">
        <v>1</v>
      </c>
      <c r="T24" s="49">
        <v>13</v>
      </c>
      <c r="U24" s="47">
        <v>1.4999999999999999E-2</v>
      </c>
      <c r="V24" s="49">
        <v>75</v>
      </c>
      <c r="W24" s="49">
        <v>-75</v>
      </c>
      <c r="X24" s="47">
        <v>50</v>
      </c>
      <c r="Y24" s="47">
        <v>5</v>
      </c>
      <c r="Z24" s="51" t="b">
        <v>1</v>
      </c>
      <c r="AA24" s="50" t="s">
        <v>92</v>
      </c>
      <c r="AB24" s="54">
        <v>2</v>
      </c>
      <c r="AC24" s="56" t="b">
        <v>0</v>
      </c>
      <c r="AE24" s="56" t="b">
        <v>0</v>
      </c>
      <c r="AG24" s="55" t="b">
        <v>1</v>
      </c>
      <c r="AH24" s="48">
        <v>5</v>
      </c>
      <c r="AI24" s="48">
        <v>13</v>
      </c>
      <c r="AJ24" s="48">
        <v>34</v>
      </c>
      <c r="AK24" s="48">
        <v>89</v>
      </c>
      <c r="AL24" s="52" t="b">
        <v>0</v>
      </c>
      <c r="AM24" s="51" t="b">
        <v>1</v>
      </c>
      <c r="AN24" s="53" t="s">
        <v>34</v>
      </c>
      <c r="AO24" s="60">
        <v>1.0000000000000001E-5</v>
      </c>
      <c r="AP24" s="51" t="b">
        <v>1</v>
      </c>
      <c r="AQ24" s="60">
        <v>1.0000000000000001E-5</v>
      </c>
      <c r="AR24" s="49">
        <v>5</v>
      </c>
      <c r="AS24" s="49">
        <v>8</v>
      </c>
      <c r="AT24" s="49">
        <v>5</v>
      </c>
      <c r="AU24" s="51" t="b">
        <v>1</v>
      </c>
      <c r="AV24" s="47">
        <v>3</v>
      </c>
      <c r="AW24" s="62">
        <v>5</v>
      </c>
      <c r="AX24" s="47">
        <v>1</v>
      </c>
      <c r="AY24" s="51" t="b">
        <v>1</v>
      </c>
      <c r="AZ24" s="45" t="s">
        <v>73</v>
      </c>
      <c r="BA24" s="45">
        <v>4</v>
      </c>
      <c r="BB24" s="49">
        <v>0.05</v>
      </c>
      <c r="BC24" s="49">
        <v>0.5</v>
      </c>
      <c r="BD24" s="52" t="b">
        <v>0</v>
      </c>
      <c r="BE24" s="45" t="s">
        <v>98</v>
      </c>
      <c r="BF24" s="51" t="b">
        <v>1</v>
      </c>
      <c r="BG24" s="45" t="s">
        <v>71</v>
      </c>
      <c r="BH24" s="54">
        <v>0.02</v>
      </c>
      <c r="BI24" s="70" t="s">
        <v>5</v>
      </c>
      <c r="BJ24" s="51" t="b">
        <v>1</v>
      </c>
      <c r="BK24" s="72">
        <v>1.5</v>
      </c>
      <c r="BL24" s="52" t="b">
        <v>0</v>
      </c>
      <c r="BM24" s="70" t="s">
        <v>6</v>
      </c>
      <c r="BN24" s="51" t="b">
        <v>1</v>
      </c>
      <c r="BO24" s="70" t="s">
        <v>15</v>
      </c>
      <c r="BP24" s="71">
        <v>1</v>
      </c>
      <c r="BQ24" s="71">
        <v>0.5</v>
      </c>
      <c r="BR24" s="75" t="str">
        <f t="shared" ref="BR24:BR25" si="25">AH24&amp;"/ "&amp;AI24&amp;"/ "&amp;AJ24&amp;"/ "&amp;AK24</f>
        <v>5/ 13/ 34/ 89</v>
      </c>
      <c r="BS24" s="75" t="str">
        <f>AR24&amp;" / "&amp;AS24&amp;" / "&amp;AT24</f>
        <v>5 / 8 / 5</v>
      </c>
      <c r="BT24" s="75" t="str">
        <f>BB24&amp;" / "&amp;BC24</f>
        <v>0.05 / 0.5</v>
      </c>
      <c r="BU24" s="7">
        <v>418</v>
      </c>
      <c r="BV24" s="7">
        <v>254</v>
      </c>
      <c r="BW24" s="7">
        <v>201</v>
      </c>
      <c r="BX24" s="27">
        <f>BV24-BW24</f>
        <v>53</v>
      </c>
      <c r="BY24" s="7">
        <v>42</v>
      </c>
      <c r="BZ24" s="21">
        <f>BU24-SUM(BW24:BY24)</f>
        <v>122</v>
      </c>
      <c r="CA24" s="98">
        <f>IF(BU24=0,0,BV24/BU24)</f>
        <v>0.60765550239234445</v>
      </c>
      <c r="CB24" s="99">
        <f>IF(BU24=0,0,BY24/BU24)</f>
        <v>0.10047846889952153</v>
      </c>
      <c r="CC24" s="20">
        <v>7.16</v>
      </c>
      <c r="CD24" s="20">
        <v>29.64</v>
      </c>
      <c r="CE24" s="20">
        <v>0.46</v>
      </c>
      <c r="CF24" s="77">
        <f>BK24</f>
        <v>1.5</v>
      </c>
      <c r="CG24" s="20">
        <v>0.69</v>
      </c>
      <c r="CH24" s="20">
        <v>0.51</v>
      </c>
      <c r="CI24" s="22">
        <v>7556.7</v>
      </c>
      <c r="CJ24" s="20">
        <v>29.75</v>
      </c>
      <c r="CK24" s="20">
        <v>27.72</v>
      </c>
      <c r="CL24" s="20">
        <v>-5.59</v>
      </c>
      <c r="CM24" s="74">
        <v>1000</v>
      </c>
      <c r="CN24" s="30">
        <v>12388.64</v>
      </c>
      <c r="CO24" s="38">
        <f>CM24+CN24</f>
        <v>13388.64</v>
      </c>
      <c r="CP24" s="38">
        <f>CN24/10</f>
        <v>1238.864</v>
      </c>
      <c r="CR24" s="15">
        <f>CR$4</f>
        <v>12</v>
      </c>
      <c r="CS24" s="13">
        <f>CI24/CR24</f>
        <v>629.72500000000002</v>
      </c>
      <c r="CT24" s="13">
        <f>CN24/CR24</f>
        <v>1032.3866666666665</v>
      </c>
      <c r="CU24" s="13">
        <f>CT24/10</f>
        <v>103.23866666666666</v>
      </c>
      <c r="CW24" s="13">
        <f>CI24</f>
        <v>7556.7</v>
      </c>
      <c r="CX24" s="13">
        <f>CN24</f>
        <v>12388.64</v>
      </c>
      <c r="CY24" s="13">
        <f>CP24</f>
        <v>1238.864</v>
      </c>
    </row>
    <row r="25" spans="1:103" outlineLevel="1" x14ac:dyDescent="0.2">
      <c r="A25" s="43"/>
      <c r="B25" s="10"/>
      <c r="C25" s="3" t="s">
        <v>77</v>
      </c>
      <c r="D25" s="3" t="s">
        <v>113</v>
      </c>
      <c r="E25" s="6" t="s">
        <v>19</v>
      </c>
      <c r="F25" s="3" t="s">
        <v>25</v>
      </c>
      <c r="G25" s="5" t="s">
        <v>50</v>
      </c>
      <c r="H25" s="52" t="b">
        <v>0</v>
      </c>
      <c r="J25" s="46" t="s">
        <v>91</v>
      </c>
      <c r="K25" s="46" t="s">
        <v>91</v>
      </c>
      <c r="L25" s="46" t="s">
        <v>91</v>
      </c>
      <c r="M25" s="56" t="b">
        <v>0</v>
      </c>
      <c r="Q25" s="51" t="b">
        <v>1</v>
      </c>
      <c r="R25" s="50" t="s">
        <v>53</v>
      </c>
      <c r="S25" s="55" t="b">
        <v>1</v>
      </c>
      <c r="T25" s="49">
        <v>13</v>
      </c>
      <c r="U25" s="47">
        <v>1.4999999999999999E-2</v>
      </c>
      <c r="V25" s="49">
        <v>75</v>
      </c>
      <c r="W25" s="49">
        <v>-75</v>
      </c>
      <c r="X25" s="47">
        <v>50</v>
      </c>
      <c r="Y25" s="47">
        <v>5</v>
      </c>
      <c r="Z25" s="51" t="b">
        <v>1</v>
      </c>
      <c r="AA25" s="50" t="s">
        <v>92</v>
      </c>
      <c r="AB25" s="54">
        <v>2</v>
      </c>
      <c r="AC25" s="56" t="b">
        <v>0</v>
      </c>
      <c r="AE25" s="56" t="b">
        <v>0</v>
      </c>
      <c r="AG25" s="55" t="b">
        <v>1</v>
      </c>
      <c r="AH25" s="48">
        <v>5</v>
      </c>
      <c r="AI25" s="48">
        <v>13</v>
      </c>
      <c r="AJ25" s="48">
        <v>34</v>
      </c>
      <c r="AK25" s="48">
        <v>89</v>
      </c>
      <c r="AL25" s="52" t="b">
        <v>0</v>
      </c>
      <c r="AM25" s="51" t="b">
        <v>1</v>
      </c>
      <c r="AN25" s="53" t="s">
        <v>34</v>
      </c>
      <c r="AO25" s="60">
        <v>1.0000000000000001E-5</v>
      </c>
      <c r="AP25" s="51" t="b">
        <v>1</v>
      </c>
      <c r="AQ25" s="60">
        <v>1.0000000000000001E-5</v>
      </c>
      <c r="AR25" s="49">
        <v>5</v>
      </c>
      <c r="AS25" s="49">
        <v>8</v>
      </c>
      <c r="AT25" s="49">
        <v>5</v>
      </c>
      <c r="AU25" s="51" t="b">
        <v>1</v>
      </c>
      <c r="AV25" s="47">
        <v>3</v>
      </c>
      <c r="AW25" s="62">
        <v>5</v>
      </c>
      <c r="AX25" s="47">
        <v>1</v>
      </c>
      <c r="AY25" s="51" t="b">
        <v>1</v>
      </c>
      <c r="AZ25" s="45" t="s">
        <v>73</v>
      </c>
      <c r="BA25" s="45">
        <v>4</v>
      </c>
      <c r="BB25" s="49">
        <v>0.05</v>
      </c>
      <c r="BC25" s="49">
        <v>0.5</v>
      </c>
      <c r="BD25" s="52" t="b">
        <v>0</v>
      </c>
      <c r="BE25" s="45" t="s">
        <v>98</v>
      </c>
      <c r="BF25" s="51" t="b">
        <v>1</v>
      </c>
      <c r="BG25" s="45" t="s">
        <v>71</v>
      </c>
      <c r="BH25" s="54">
        <v>0.02</v>
      </c>
      <c r="BI25" s="70" t="s">
        <v>5</v>
      </c>
      <c r="BJ25" s="51" t="b">
        <v>1</v>
      </c>
      <c r="BK25" s="72">
        <v>1.5</v>
      </c>
      <c r="BL25" s="52" t="b">
        <v>0</v>
      </c>
      <c r="BM25" s="70" t="s">
        <v>6</v>
      </c>
      <c r="BN25" s="51" t="b">
        <v>1</v>
      </c>
      <c r="BO25" s="70" t="s">
        <v>15</v>
      </c>
      <c r="BP25" s="71">
        <v>1</v>
      </c>
      <c r="BQ25" s="71">
        <v>0.5</v>
      </c>
      <c r="BR25" s="75" t="str">
        <f t="shared" si="25"/>
        <v>5/ 13/ 34/ 89</v>
      </c>
      <c r="BS25" s="75" t="str">
        <f>AR25&amp;" / "&amp;AS25&amp;" / "&amp;AT25</f>
        <v>5 / 8 / 5</v>
      </c>
      <c r="BT25" s="75" t="str">
        <f>BB25&amp;" / "&amp;BC25</f>
        <v>0.05 / 0.5</v>
      </c>
      <c r="BU25" s="7">
        <v>446</v>
      </c>
      <c r="BV25" s="7">
        <v>253</v>
      </c>
      <c r="BW25" s="7">
        <v>212</v>
      </c>
      <c r="BX25" s="27">
        <f>BV25-BW25</f>
        <v>41</v>
      </c>
      <c r="BY25" s="7">
        <v>50</v>
      </c>
      <c r="BZ25" s="21">
        <f>BU25-SUM(BW25:BY25)</f>
        <v>143</v>
      </c>
      <c r="CA25" s="98">
        <f t="shared" ref="CA25:CA28" si="26">IF(BU25=0,0,BV25/BU25)</f>
        <v>0.56726457399103136</v>
      </c>
      <c r="CB25" s="99">
        <f t="shared" ref="CB25:CB28" si="27">IF(BU25=0,0,BY25/BU25)</f>
        <v>0.11210762331838565</v>
      </c>
      <c r="CC25" s="20">
        <v>3.67</v>
      </c>
      <c r="CD25" s="20">
        <v>19.86</v>
      </c>
      <c r="CE25" s="20">
        <v>0.35</v>
      </c>
      <c r="CF25" s="77">
        <f>BK25</f>
        <v>1.5</v>
      </c>
      <c r="CG25" s="20">
        <v>0.61</v>
      </c>
      <c r="CH25" s="20">
        <v>0.46</v>
      </c>
      <c r="CI25" s="22">
        <v>7123.2</v>
      </c>
      <c r="CJ25" s="20">
        <v>28.15</v>
      </c>
      <c r="CK25" s="20">
        <v>27.18</v>
      </c>
      <c r="CL25" s="20">
        <v>-4.9000000000000004</v>
      </c>
      <c r="CM25" s="74">
        <v>1000</v>
      </c>
      <c r="CN25" s="29">
        <v>8056.95</v>
      </c>
      <c r="CO25" s="36">
        <f>CM25+CN25</f>
        <v>9056.9500000000007</v>
      </c>
      <c r="CP25" s="36">
        <f>CN25/10</f>
        <v>805.69499999999994</v>
      </c>
      <c r="CR25" s="15">
        <f>CR$4</f>
        <v>12</v>
      </c>
      <c r="CS25" s="13">
        <f t="shared" ref="CS25:CS28" si="28">CI25/CR25</f>
        <v>593.6</v>
      </c>
      <c r="CT25" s="13">
        <f t="shared" ref="CT25:CT28" si="29">CN25/CR25</f>
        <v>671.41250000000002</v>
      </c>
      <c r="CU25" s="13">
        <f t="shared" ref="CU25:CU28" si="30">CT25/10</f>
        <v>67.141249999999999</v>
      </c>
      <c r="CW25" s="13">
        <f t="shared" ref="CW25:CW28" si="31">CI25</f>
        <v>7123.2</v>
      </c>
      <c r="CX25" s="13">
        <f t="shared" ref="CX25:CX28" si="32">CN25</f>
        <v>8056.95</v>
      </c>
      <c r="CY25" s="13">
        <f t="shared" ref="CY25:CY28" si="33">CP25</f>
        <v>805.69499999999994</v>
      </c>
    </row>
    <row r="26" spans="1:103" outlineLevel="1" x14ac:dyDescent="0.2">
      <c r="A26" s="43"/>
      <c r="B26" s="10"/>
      <c r="C26" s="3" t="s">
        <v>80</v>
      </c>
      <c r="D26" s="3" t="s">
        <v>113</v>
      </c>
      <c r="E26" s="6" t="s">
        <v>19</v>
      </c>
      <c r="F26" s="3" t="s">
        <v>25</v>
      </c>
      <c r="G26" s="5" t="s">
        <v>50</v>
      </c>
      <c r="H26" s="52" t="b">
        <v>0</v>
      </c>
      <c r="J26" s="46" t="s">
        <v>91</v>
      </c>
      <c r="K26" s="46" t="s">
        <v>91</v>
      </c>
      <c r="L26" s="46" t="s">
        <v>91</v>
      </c>
      <c r="M26" s="56" t="b">
        <v>0</v>
      </c>
      <c r="Q26" s="51" t="b">
        <v>1</v>
      </c>
      <c r="R26" s="50" t="s">
        <v>53</v>
      </c>
      <c r="S26" s="55" t="b">
        <v>1</v>
      </c>
      <c r="T26" s="49">
        <v>13</v>
      </c>
      <c r="U26" s="47">
        <v>1.4999999999999999E-2</v>
      </c>
      <c r="V26" s="49">
        <v>75</v>
      </c>
      <c r="W26" s="49">
        <v>-75</v>
      </c>
      <c r="X26" s="47">
        <v>50</v>
      </c>
      <c r="Y26" s="47">
        <v>5</v>
      </c>
      <c r="Z26" s="51" t="b">
        <v>1</v>
      </c>
      <c r="AA26" s="50" t="s">
        <v>92</v>
      </c>
      <c r="AB26" s="54">
        <v>2</v>
      </c>
      <c r="AC26" s="56" t="b">
        <v>0</v>
      </c>
      <c r="AE26" s="56" t="b">
        <v>0</v>
      </c>
      <c r="AG26" s="55" t="b">
        <v>1</v>
      </c>
      <c r="AH26" s="48">
        <v>5</v>
      </c>
      <c r="AI26" s="48">
        <v>13</v>
      </c>
      <c r="AJ26" s="48">
        <v>34</v>
      </c>
      <c r="AK26" s="48">
        <v>89</v>
      </c>
      <c r="AL26" s="52" t="b">
        <v>0</v>
      </c>
      <c r="AM26" s="51" t="b">
        <v>1</v>
      </c>
      <c r="AN26" s="53" t="s">
        <v>34</v>
      </c>
      <c r="AO26" s="60">
        <v>1.0000000000000001E-5</v>
      </c>
      <c r="AP26" s="51" t="b">
        <v>1</v>
      </c>
      <c r="AQ26" s="60">
        <v>1.0000000000000001E-5</v>
      </c>
      <c r="AR26" s="49">
        <v>5</v>
      </c>
      <c r="AS26" s="49">
        <v>8</v>
      </c>
      <c r="AT26" s="49">
        <v>5</v>
      </c>
      <c r="AU26" s="51" t="b">
        <v>1</v>
      </c>
      <c r="AV26" s="47">
        <v>3</v>
      </c>
      <c r="AW26" s="62">
        <v>5</v>
      </c>
      <c r="AX26" s="47">
        <v>1</v>
      </c>
      <c r="AY26" s="51" t="b">
        <v>1</v>
      </c>
      <c r="AZ26" s="45" t="s">
        <v>73</v>
      </c>
      <c r="BA26" s="45">
        <v>4</v>
      </c>
      <c r="BB26" s="49">
        <v>0.05</v>
      </c>
      <c r="BC26" s="49">
        <v>0.5</v>
      </c>
      <c r="BD26" s="52" t="b">
        <v>0</v>
      </c>
      <c r="BE26" s="45" t="s">
        <v>98</v>
      </c>
      <c r="BF26" s="51" t="b">
        <v>1</v>
      </c>
      <c r="BG26" s="45" t="s">
        <v>71</v>
      </c>
      <c r="BH26" s="54">
        <v>0.02</v>
      </c>
      <c r="BI26" s="70" t="s">
        <v>5</v>
      </c>
      <c r="BJ26" s="51" t="b">
        <v>1</v>
      </c>
      <c r="BK26" s="72">
        <v>1.5</v>
      </c>
      <c r="BL26" s="52" t="b">
        <v>0</v>
      </c>
      <c r="BM26" s="70" t="s">
        <v>6</v>
      </c>
      <c r="BN26" s="51" t="b">
        <v>1</v>
      </c>
      <c r="BO26" s="70" t="s">
        <v>15</v>
      </c>
      <c r="BP26" s="71">
        <v>1</v>
      </c>
      <c r="BQ26" s="71">
        <v>0.5</v>
      </c>
      <c r="BR26" s="75" t="str">
        <f t="shared" ref="BR26:BR28" si="34">AH26&amp;"/ "&amp;AI26&amp;"/ "&amp;AJ26&amp;"/ "&amp;AK26</f>
        <v>5/ 13/ 34/ 89</v>
      </c>
      <c r="BS26" s="75" t="str">
        <f>AR26&amp;" / "&amp;AS26&amp;" / "&amp;AT26</f>
        <v>5 / 8 / 5</v>
      </c>
      <c r="BT26" s="75" t="str">
        <f>BB26&amp;" / "&amp;BC26</f>
        <v>0.05 / 0.5</v>
      </c>
      <c r="BU26" s="7">
        <v>358</v>
      </c>
      <c r="BV26" s="7">
        <v>223</v>
      </c>
      <c r="BW26" s="7">
        <v>198</v>
      </c>
      <c r="BX26" s="27">
        <f>BV26-BW26</f>
        <v>25</v>
      </c>
      <c r="BY26" s="7">
        <v>24</v>
      </c>
      <c r="BZ26" s="21">
        <f>BU26-SUM(BW26:BY26)</f>
        <v>111</v>
      </c>
      <c r="CA26" s="98">
        <f t="shared" si="26"/>
        <v>0.62290502793296088</v>
      </c>
      <c r="CB26" s="99">
        <f t="shared" si="27"/>
        <v>6.7039106145251395E-2</v>
      </c>
      <c r="CC26" s="20">
        <v>6.22</v>
      </c>
      <c r="CD26" s="20">
        <v>19.93</v>
      </c>
      <c r="CE26" s="20">
        <v>0.44</v>
      </c>
      <c r="CF26" s="77">
        <f>BK26</f>
        <v>1.5</v>
      </c>
      <c r="CG26" s="20">
        <v>0.56000000000000005</v>
      </c>
      <c r="CH26" s="20">
        <v>0.41</v>
      </c>
      <c r="CI26" s="22">
        <v>2489.5</v>
      </c>
      <c r="CJ26" s="20">
        <v>11.16</v>
      </c>
      <c r="CK26" s="20">
        <v>9.06</v>
      </c>
      <c r="CL26" s="20">
        <v>-3.46</v>
      </c>
      <c r="CM26" s="74">
        <v>1000</v>
      </c>
      <c r="CN26" s="22">
        <v>7135.78</v>
      </c>
      <c r="CO26" s="35">
        <f>CM26+CN26</f>
        <v>8135.78</v>
      </c>
      <c r="CP26" s="35">
        <f>CN26/10</f>
        <v>713.57799999999997</v>
      </c>
      <c r="CR26" s="15">
        <f>CR$4</f>
        <v>12</v>
      </c>
      <c r="CS26" s="13">
        <f t="shared" si="28"/>
        <v>207.45833333333334</v>
      </c>
      <c r="CT26" s="13">
        <f t="shared" si="29"/>
        <v>594.64833333333331</v>
      </c>
      <c r="CU26" s="13">
        <f t="shared" si="30"/>
        <v>59.464833333333331</v>
      </c>
      <c r="CW26" s="13">
        <f t="shared" si="31"/>
        <v>2489.5</v>
      </c>
      <c r="CX26" s="13">
        <f t="shared" si="32"/>
        <v>7135.78</v>
      </c>
      <c r="CY26" s="13">
        <f t="shared" si="33"/>
        <v>713.57799999999997</v>
      </c>
    </row>
    <row r="27" spans="1:103" outlineLevel="1" x14ac:dyDescent="0.2">
      <c r="A27" s="43"/>
      <c r="B27" s="10"/>
      <c r="C27" s="3" t="s">
        <v>78</v>
      </c>
      <c r="D27" s="3" t="s">
        <v>113</v>
      </c>
      <c r="E27" s="6" t="s">
        <v>19</v>
      </c>
      <c r="F27" s="3" t="s">
        <v>25</v>
      </c>
      <c r="G27" s="5" t="s">
        <v>50</v>
      </c>
      <c r="H27" s="52" t="b">
        <v>0</v>
      </c>
      <c r="J27" s="46" t="s">
        <v>91</v>
      </c>
      <c r="K27" s="46" t="s">
        <v>91</v>
      </c>
      <c r="L27" s="46" t="s">
        <v>91</v>
      </c>
      <c r="M27" s="56" t="b">
        <v>0</v>
      </c>
      <c r="Q27" s="51" t="b">
        <v>1</v>
      </c>
      <c r="R27" s="50" t="s">
        <v>53</v>
      </c>
      <c r="S27" s="55" t="b">
        <v>1</v>
      </c>
      <c r="T27" s="49">
        <v>13</v>
      </c>
      <c r="U27" s="47">
        <v>1.4999999999999999E-2</v>
      </c>
      <c r="V27" s="49">
        <v>75</v>
      </c>
      <c r="W27" s="49">
        <v>-75</v>
      </c>
      <c r="X27" s="47">
        <v>50</v>
      </c>
      <c r="Y27" s="47">
        <v>5</v>
      </c>
      <c r="Z27" s="51" t="b">
        <v>1</v>
      </c>
      <c r="AA27" s="50" t="s">
        <v>92</v>
      </c>
      <c r="AB27" s="54">
        <v>2</v>
      </c>
      <c r="AC27" s="56" t="b">
        <v>0</v>
      </c>
      <c r="AE27" s="56" t="b">
        <v>0</v>
      </c>
      <c r="AG27" s="55" t="b">
        <v>1</v>
      </c>
      <c r="AH27" s="48">
        <v>5</v>
      </c>
      <c r="AI27" s="48">
        <v>13</v>
      </c>
      <c r="AJ27" s="48">
        <v>34</v>
      </c>
      <c r="AK27" s="48">
        <v>89</v>
      </c>
      <c r="AL27" s="52" t="b">
        <v>0</v>
      </c>
      <c r="AM27" s="51" t="b">
        <v>1</v>
      </c>
      <c r="AN27" s="53" t="s">
        <v>34</v>
      </c>
      <c r="AO27" s="60">
        <v>1.0000000000000001E-5</v>
      </c>
      <c r="AP27" s="51" t="b">
        <v>1</v>
      </c>
      <c r="AQ27" s="60">
        <v>1.0000000000000001E-5</v>
      </c>
      <c r="AR27" s="49">
        <v>5</v>
      </c>
      <c r="AS27" s="49">
        <v>8</v>
      </c>
      <c r="AT27" s="49">
        <v>5</v>
      </c>
      <c r="AU27" s="51" t="b">
        <v>1</v>
      </c>
      <c r="AV27" s="47">
        <v>3</v>
      </c>
      <c r="AW27" s="62">
        <v>5</v>
      </c>
      <c r="AX27" s="47">
        <v>1</v>
      </c>
      <c r="AY27" s="51" t="b">
        <v>1</v>
      </c>
      <c r="AZ27" s="45" t="s">
        <v>73</v>
      </c>
      <c r="BA27" s="45">
        <v>4</v>
      </c>
      <c r="BB27" s="49">
        <v>0.05</v>
      </c>
      <c r="BC27" s="49">
        <v>0.5</v>
      </c>
      <c r="BD27" s="52" t="b">
        <v>0</v>
      </c>
      <c r="BE27" s="45" t="s">
        <v>98</v>
      </c>
      <c r="BF27" s="51" t="b">
        <v>1</v>
      </c>
      <c r="BG27" s="45" t="s">
        <v>71</v>
      </c>
      <c r="BH27" s="54">
        <v>0.02</v>
      </c>
      <c r="BI27" s="70" t="s">
        <v>5</v>
      </c>
      <c r="BJ27" s="51" t="b">
        <v>1</v>
      </c>
      <c r="BK27" s="72">
        <v>1.5</v>
      </c>
      <c r="BL27" s="52" t="b">
        <v>0</v>
      </c>
      <c r="BM27" s="70" t="s">
        <v>6</v>
      </c>
      <c r="BN27" s="51" t="b">
        <v>1</v>
      </c>
      <c r="BO27" s="70" t="s">
        <v>15</v>
      </c>
      <c r="BP27" s="71">
        <v>1</v>
      </c>
      <c r="BQ27" s="71">
        <v>0.5</v>
      </c>
      <c r="BR27" s="75" t="str">
        <f t="shared" si="34"/>
        <v>5/ 13/ 34/ 89</v>
      </c>
      <c r="BS27" s="75" t="str">
        <f>AR27&amp;" / "&amp;AS27&amp;" / "&amp;AT27</f>
        <v>5 / 8 / 5</v>
      </c>
      <c r="BT27" s="75" t="str">
        <f>BB27&amp;" / "&amp;BC27</f>
        <v>0.05 / 0.5</v>
      </c>
      <c r="BU27" s="7">
        <v>374</v>
      </c>
      <c r="BV27" s="7">
        <v>203</v>
      </c>
      <c r="BW27" s="7">
        <v>176</v>
      </c>
      <c r="BX27" s="27">
        <f>BV27-BW27</f>
        <v>27</v>
      </c>
      <c r="BY27" s="7">
        <v>41</v>
      </c>
      <c r="BZ27" s="21">
        <f>BU27-SUM(BW27:BY27)</f>
        <v>130</v>
      </c>
      <c r="CA27" s="98">
        <f t="shared" si="26"/>
        <v>0.54278074866310155</v>
      </c>
      <c r="CB27" s="99">
        <f t="shared" si="27"/>
        <v>0.10962566844919786</v>
      </c>
      <c r="CC27" s="20">
        <v>3.55</v>
      </c>
      <c r="CD27" s="20">
        <v>12.69</v>
      </c>
      <c r="CE27" s="20">
        <v>0.34</v>
      </c>
      <c r="CF27" s="77">
        <f>BK27</f>
        <v>1.5</v>
      </c>
      <c r="CG27" s="20">
        <v>0.6</v>
      </c>
      <c r="CH27" s="20">
        <v>0.46</v>
      </c>
      <c r="CI27" s="22">
        <v>2649</v>
      </c>
      <c r="CJ27" s="20">
        <v>13.05</v>
      </c>
      <c r="CK27" s="20">
        <v>10.72</v>
      </c>
      <c r="CL27" s="20">
        <v>-6.09</v>
      </c>
      <c r="CM27" s="74">
        <v>1000</v>
      </c>
      <c r="CN27" s="22">
        <v>4746.2299999999996</v>
      </c>
      <c r="CO27" s="35">
        <f>CM27+CN27</f>
        <v>5746.23</v>
      </c>
      <c r="CP27" s="35">
        <f>CN27/10</f>
        <v>474.62299999999993</v>
      </c>
      <c r="CR27" s="15">
        <f>CR$4</f>
        <v>12</v>
      </c>
      <c r="CS27" s="13">
        <f t="shared" si="28"/>
        <v>220.75</v>
      </c>
      <c r="CT27" s="13">
        <f t="shared" si="29"/>
        <v>395.51916666666665</v>
      </c>
      <c r="CU27" s="13">
        <f t="shared" si="30"/>
        <v>39.551916666666664</v>
      </c>
      <c r="CW27" s="13">
        <f t="shared" si="31"/>
        <v>2649</v>
      </c>
      <c r="CX27" s="13">
        <f t="shared" si="32"/>
        <v>4746.2299999999996</v>
      </c>
      <c r="CY27" s="13">
        <f t="shared" si="33"/>
        <v>474.62299999999993</v>
      </c>
    </row>
    <row r="28" spans="1:103" outlineLevel="1" x14ac:dyDescent="0.2">
      <c r="A28" s="43"/>
      <c r="B28" s="10"/>
      <c r="C28" s="3" t="s">
        <v>79</v>
      </c>
      <c r="D28" s="3" t="s">
        <v>113</v>
      </c>
      <c r="E28" s="6" t="s">
        <v>19</v>
      </c>
      <c r="F28" s="3" t="s">
        <v>25</v>
      </c>
      <c r="G28" s="5" t="s">
        <v>50</v>
      </c>
      <c r="H28" s="52" t="b">
        <v>0</v>
      </c>
      <c r="J28" s="46" t="s">
        <v>91</v>
      </c>
      <c r="K28" s="46" t="s">
        <v>91</v>
      </c>
      <c r="L28" s="46" t="s">
        <v>91</v>
      </c>
      <c r="M28" s="56" t="b">
        <v>0</v>
      </c>
      <c r="Q28" s="51" t="b">
        <v>1</v>
      </c>
      <c r="R28" s="50" t="s">
        <v>53</v>
      </c>
      <c r="S28" s="55" t="b">
        <v>1</v>
      </c>
      <c r="T28" s="49">
        <v>13</v>
      </c>
      <c r="U28" s="47">
        <v>1.4999999999999999E-2</v>
      </c>
      <c r="V28" s="49">
        <v>75</v>
      </c>
      <c r="W28" s="49">
        <v>-75</v>
      </c>
      <c r="X28" s="47">
        <v>50</v>
      </c>
      <c r="Y28" s="47">
        <v>5</v>
      </c>
      <c r="Z28" s="51" t="b">
        <v>1</v>
      </c>
      <c r="AA28" s="50" t="s">
        <v>92</v>
      </c>
      <c r="AB28" s="54">
        <v>2</v>
      </c>
      <c r="AC28" s="56" t="b">
        <v>0</v>
      </c>
      <c r="AE28" s="56" t="b">
        <v>0</v>
      </c>
      <c r="AG28" s="55" t="b">
        <v>1</v>
      </c>
      <c r="AH28" s="48">
        <v>5</v>
      </c>
      <c r="AI28" s="48">
        <v>13</v>
      </c>
      <c r="AJ28" s="48">
        <v>34</v>
      </c>
      <c r="AK28" s="48">
        <v>89</v>
      </c>
      <c r="AL28" s="52" t="b">
        <v>0</v>
      </c>
      <c r="AM28" s="51" t="b">
        <v>1</v>
      </c>
      <c r="AN28" s="53" t="s">
        <v>34</v>
      </c>
      <c r="AO28" s="60">
        <v>1.0000000000000001E-5</v>
      </c>
      <c r="AP28" s="51" t="b">
        <v>1</v>
      </c>
      <c r="AQ28" s="60">
        <v>1.0000000000000001E-5</v>
      </c>
      <c r="AR28" s="49">
        <v>5</v>
      </c>
      <c r="AS28" s="49">
        <v>8</v>
      </c>
      <c r="AT28" s="49">
        <v>5</v>
      </c>
      <c r="AU28" s="51" t="b">
        <v>1</v>
      </c>
      <c r="AV28" s="47">
        <v>3</v>
      </c>
      <c r="AW28" s="62">
        <v>5</v>
      </c>
      <c r="AX28" s="47">
        <v>1</v>
      </c>
      <c r="AY28" s="51" t="b">
        <v>1</v>
      </c>
      <c r="AZ28" s="45" t="s">
        <v>73</v>
      </c>
      <c r="BA28" s="45">
        <v>4</v>
      </c>
      <c r="BB28" s="49">
        <v>0.05</v>
      </c>
      <c r="BC28" s="49">
        <v>0.5</v>
      </c>
      <c r="BD28" s="52" t="b">
        <v>0</v>
      </c>
      <c r="BE28" s="45" t="s">
        <v>98</v>
      </c>
      <c r="BF28" s="51" t="b">
        <v>1</v>
      </c>
      <c r="BG28" s="45" t="s">
        <v>71</v>
      </c>
      <c r="BH28" s="54">
        <v>0.02</v>
      </c>
      <c r="BI28" s="70" t="s">
        <v>5</v>
      </c>
      <c r="BJ28" s="51" t="b">
        <v>1</v>
      </c>
      <c r="BK28" s="72">
        <v>1.5</v>
      </c>
      <c r="BL28" s="52" t="b">
        <v>0</v>
      </c>
      <c r="BM28" s="70" t="s">
        <v>6</v>
      </c>
      <c r="BN28" s="51" t="b">
        <v>1</v>
      </c>
      <c r="BO28" s="70" t="s">
        <v>15</v>
      </c>
      <c r="BP28" s="71">
        <v>1</v>
      </c>
      <c r="BQ28" s="71">
        <v>0.5</v>
      </c>
      <c r="BR28" s="75" t="str">
        <f t="shared" si="34"/>
        <v>5/ 13/ 34/ 89</v>
      </c>
      <c r="BS28" s="75" t="str">
        <f>AR28&amp;" / "&amp;AS28&amp;" / "&amp;AT28</f>
        <v>5 / 8 / 5</v>
      </c>
      <c r="BT28" s="75" t="str">
        <f>BB28&amp;" / "&amp;BC28</f>
        <v>0.05 / 0.5</v>
      </c>
      <c r="BU28" s="7">
        <v>408</v>
      </c>
      <c r="BV28" s="7">
        <v>228</v>
      </c>
      <c r="BW28" s="7">
        <v>184</v>
      </c>
      <c r="BX28" s="27">
        <f>BV28-BW28</f>
        <v>44</v>
      </c>
      <c r="BY28" s="7">
        <v>49</v>
      </c>
      <c r="BZ28" s="21">
        <f>BU28-SUM(BW28:BY28)</f>
        <v>131</v>
      </c>
      <c r="CA28" s="98">
        <f t="shared" si="26"/>
        <v>0.55882352941176472</v>
      </c>
      <c r="CB28" s="99">
        <f t="shared" si="27"/>
        <v>0.12009803921568628</v>
      </c>
      <c r="CC28" s="20">
        <v>4.09</v>
      </c>
      <c r="CD28" s="20">
        <v>16.93</v>
      </c>
      <c r="CE28" s="20">
        <v>0.36</v>
      </c>
      <c r="CF28" s="77">
        <f>BK28</f>
        <v>1.5</v>
      </c>
      <c r="CG28" s="20">
        <v>0.64</v>
      </c>
      <c r="CH28" s="20">
        <v>0.44</v>
      </c>
      <c r="CI28" s="22">
        <v>3679.2</v>
      </c>
      <c r="CJ28" s="20">
        <v>16.14</v>
      </c>
      <c r="CK28" s="20">
        <v>13.28</v>
      </c>
      <c r="CL28" s="20">
        <v>-4.2</v>
      </c>
      <c r="CM28" s="74">
        <v>1000</v>
      </c>
      <c r="CN28" s="22">
        <v>6906.1</v>
      </c>
      <c r="CO28" s="35">
        <f>CM28+CN28</f>
        <v>7906.1</v>
      </c>
      <c r="CP28" s="35">
        <f>CN28/10</f>
        <v>690.61</v>
      </c>
      <c r="CR28" s="15">
        <f>CR$4</f>
        <v>12</v>
      </c>
      <c r="CS28" s="13">
        <f t="shared" si="28"/>
        <v>306.59999999999997</v>
      </c>
      <c r="CT28" s="13">
        <f t="shared" si="29"/>
        <v>575.50833333333333</v>
      </c>
      <c r="CU28" s="13">
        <f t="shared" si="30"/>
        <v>57.55083333333333</v>
      </c>
      <c r="CW28" s="13">
        <f t="shared" si="31"/>
        <v>3679.2</v>
      </c>
      <c r="CX28" s="13">
        <f t="shared" si="32"/>
        <v>6906.1</v>
      </c>
      <c r="CY28" s="13">
        <f t="shared" si="33"/>
        <v>690.61</v>
      </c>
    </row>
    <row r="29" spans="1:103" s="37" customFormat="1" x14ac:dyDescent="0.2">
      <c r="G29" s="84"/>
      <c r="H29" s="85"/>
      <c r="I29" s="85"/>
      <c r="J29" s="86"/>
      <c r="K29" s="86"/>
      <c r="L29" s="86"/>
      <c r="M29" s="63"/>
      <c r="N29" s="63"/>
      <c r="O29" s="63"/>
      <c r="P29" s="63"/>
      <c r="Q29" s="85"/>
      <c r="R29" s="85"/>
      <c r="S29" s="63"/>
      <c r="T29" s="63"/>
      <c r="U29" s="63"/>
      <c r="V29" s="63"/>
      <c r="W29" s="63"/>
      <c r="X29" s="63"/>
      <c r="Y29" s="63"/>
      <c r="Z29" s="85"/>
      <c r="AA29" s="85"/>
      <c r="AB29" s="85"/>
      <c r="AC29" s="87"/>
      <c r="AD29" s="87"/>
      <c r="AE29" s="63"/>
      <c r="AF29" s="63"/>
      <c r="AG29" s="63"/>
      <c r="AH29" s="63"/>
      <c r="AI29" s="63"/>
      <c r="AJ29" s="63"/>
      <c r="AK29" s="63"/>
      <c r="AL29" s="85"/>
      <c r="AM29" s="85"/>
      <c r="AN29" s="85"/>
      <c r="AO29" s="60"/>
      <c r="AP29" s="85"/>
      <c r="AQ29" s="88"/>
      <c r="AR29" s="85"/>
      <c r="AS29" s="89"/>
      <c r="AT29" s="90"/>
      <c r="AU29" s="85"/>
      <c r="AV29" s="63"/>
      <c r="AW29" s="63"/>
      <c r="AX29" s="63"/>
      <c r="AY29" s="85"/>
      <c r="AZ29" s="85"/>
      <c r="BA29" s="85"/>
      <c r="BB29" s="90"/>
      <c r="BC29" s="91"/>
      <c r="BD29" s="85"/>
      <c r="BE29" s="85"/>
      <c r="BF29" s="85"/>
      <c r="BG29" s="85"/>
      <c r="BH29" s="85"/>
      <c r="BI29" s="91"/>
      <c r="BJ29" s="85"/>
      <c r="BK29" s="92"/>
      <c r="BL29" s="85"/>
      <c r="BM29" s="91"/>
      <c r="BN29" s="85"/>
      <c r="BO29" s="91"/>
      <c r="BP29" s="93"/>
      <c r="BQ29" s="93"/>
      <c r="BR29" s="93"/>
      <c r="BS29" s="94"/>
      <c r="BT29" s="94"/>
      <c r="BU29" s="95"/>
      <c r="CB29" s="97"/>
      <c r="CF29" s="96"/>
    </row>
    <row r="30" spans="1:103" x14ac:dyDescent="0.2">
      <c r="A30" s="43">
        <v>250707</v>
      </c>
      <c r="B30" s="10" t="s">
        <v>121</v>
      </c>
      <c r="C30" s="3" t="s">
        <v>17</v>
      </c>
      <c r="D30" s="3" t="s">
        <v>113</v>
      </c>
      <c r="E30" s="6" t="s">
        <v>19</v>
      </c>
      <c r="F30" s="3" t="s">
        <v>25</v>
      </c>
      <c r="G30" s="5" t="s">
        <v>50</v>
      </c>
      <c r="H30" s="52" t="b">
        <v>0</v>
      </c>
      <c r="J30" s="46" t="s">
        <v>91</v>
      </c>
      <c r="K30" s="46" t="s">
        <v>91</v>
      </c>
      <c r="L30" s="46" t="s">
        <v>91</v>
      </c>
      <c r="M30" s="56" t="b">
        <v>0</v>
      </c>
      <c r="Q30" s="51" t="b">
        <v>1</v>
      </c>
      <c r="R30" s="50" t="s">
        <v>53</v>
      </c>
      <c r="S30" s="55" t="b">
        <v>1</v>
      </c>
      <c r="T30" s="49">
        <v>13</v>
      </c>
      <c r="U30" s="47">
        <v>1.4999999999999999E-2</v>
      </c>
      <c r="V30" s="49">
        <v>75</v>
      </c>
      <c r="W30" s="49">
        <v>-75</v>
      </c>
      <c r="X30" s="47">
        <v>50</v>
      </c>
      <c r="Y30" s="47">
        <v>5</v>
      </c>
      <c r="Z30" s="51" t="b">
        <v>1</v>
      </c>
      <c r="AA30" s="50" t="s">
        <v>92</v>
      </c>
      <c r="AB30" s="54">
        <v>2</v>
      </c>
      <c r="AC30" s="56" t="b">
        <v>0</v>
      </c>
      <c r="AE30" s="56" t="b">
        <v>0</v>
      </c>
      <c r="AG30" s="55" t="b">
        <v>1</v>
      </c>
      <c r="AH30" s="48">
        <v>5</v>
      </c>
      <c r="AI30" s="48">
        <v>8</v>
      </c>
      <c r="AJ30" s="48">
        <v>11</v>
      </c>
      <c r="AK30" s="48">
        <v>13</v>
      </c>
      <c r="AL30" s="52" t="b">
        <v>0</v>
      </c>
      <c r="AM30" s="51" t="b">
        <v>1</v>
      </c>
      <c r="AN30" s="53" t="s">
        <v>34</v>
      </c>
      <c r="AO30" s="60">
        <v>1.0000000000000001E-5</v>
      </c>
      <c r="AP30" s="51" t="b">
        <v>1</v>
      </c>
      <c r="AQ30" s="60">
        <v>1.0000000000000001E-5</v>
      </c>
      <c r="AR30" s="49">
        <v>5</v>
      </c>
      <c r="AS30" s="49">
        <v>8</v>
      </c>
      <c r="AT30" s="49">
        <v>5</v>
      </c>
      <c r="AU30" s="51" t="b">
        <v>1</v>
      </c>
      <c r="AV30" s="47">
        <v>3</v>
      </c>
      <c r="AW30" s="62">
        <v>5</v>
      </c>
      <c r="AX30" s="47">
        <v>1</v>
      </c>
      <c r="AY30" s="51" t="b">
        <v>1</v>
      </c>
      <c r="AZ30" s="45" t="s">
        <v>73</v>
      </c>
      <c r="BA30" s="45">
        <v>4</v>
      </c>
      <c r="BB30" s="49">
        <v>0.05</v>
      </c>
      <c r="BC30" s="49">
        <v>0.5</v>
      </c>
      <c r="BD30" s="52" t="b">
        <v>0</v>
      </c>
      <c r="BE30" s="45" t="s">
        <v>98</v>
      </c>
      <c r="BF30" s="51" t="b">
        <v>1</v>
      </c>
      <c r="BG30" s="45" t="s">
        <v>71</v>
      </c>
      <c r="BH30" s="54">
        <v>0.02</v>
      </c>
      <c r="BI30" s="70" t="s">
        <v>5</v>
      </c>
      <c r="BJ30" s="51" t="b">
        <v>1</v>
      </c>
      <c r="BK30" s="72">
        <v>1.5</v>
      </c>
      <c r="BL30" s="52" t="b">
        <v>0</v>
      </c>
      <c r="BM30" s="70" t="s">
        <v>6</v>
      </c>
      <c r="BN30" s="51" t="b">
        <v>1</v>
      </c>
      <c r="BO30" s="70" t="s">
        <v>15</v>
      </c>
      <c r="BP30" s="71">
        <v>1</v>
      </c>
      <c r="BQ30" s="71">
        <v>0.5</v>
      </c>
      <c r="BR30" s="75" t="str">
        <f t="shared" ref="BR30" si="35">AH30&amp;"/ "&amp;AI30&amp;"/ "&amp;AJ30&amp;"/ "&amp;AK30</f>
        <v>5/ 8/ 11/ 13</v>
      </c>
      <c r="BS30" s="75" t="str">
        <f t="shared" ref="BS30:BS37" si="36">AR30&amp;" / "&amp;AS30&amp;" / "&amp;AT30</f>
        <v>5 / 8 / 5</v>
      </c>
      <c r="BT30" s="75" t="str">
        <f t="shared" ref="BT30:BT37" si="37">BB30&amp;" / "&amp;BC30</f>
        <v>0.05 / 0.5</v>
      </c>
      <c r="BU30" s="7">
        <v>631</v>
      </c>
      <c r="BV30" s="7">
        <v>372</v>
      </c>
      <c r="BW30" s="7">
        <v>298</v>
      </c>
      <c r="BX30" s="27">
        <f t="shared" ref="BX30:BX37" si="38">BV30-BW30</f>
        <v>74</v>
      </c>
      <c r="BY30" s="7">
        <v>68</v>
      </c>
      <c r="BZ30" s="21">
        <f t="shared" ref="BZ30:BZ37" si="39">BU30-SUM(BW30:BY30)</f>
        <v>191</v>
      </c>
      <c r="CA30" s="98">
        <f>IF(BU30=0,0,BV30/BU30)</f>
        <v>0.58954041204437402</v>
      </c>
      <c r="CB30" s="99">
        <f>IF(BU30=0,0,BY30/BU30)</f>
        <v>0.10776545166402536</v>
      </c>
      <c r="CC30" s="20">
        <v>5.01</v>
      </c>
      <c r="CD30" s="20">
        <v>31.52</v>
      </c>
      <c r="CE30" s="20">
        <v>0.42</v>
      </c>
      <c r="CF30" s="77">
        <f t="shared" ref="CF30:CF37" si="40">BK30</f>
        <v>1.5</v>
      </c>
      <c r="CG30" s="20">
        <v>0.67</v>
      </c>
      <c r="CH30" s="20">
        <v>0.48</v>
      </c>
      <c r="CI30" s="22">
        <v>10224.6</v>
      </c>
      <c r="CJ30" s="20">
        <v>27.49</v>
      </c>
      <c r="CK30" s="20">
        <v>26.45</v>
      </c>
      <c r="CL30" s="20">
        <v>-3.96</v>
      </c>
      <c r="CM30" s="74">
        <v>1000</v>
      </c>
      <c r="CN30" s="22">
        <v>19888.18</v>
      </c>
      <c r="CO30" s="35">
        <f t="shared" ref="CO30:CO37" si="41">CM30+CN30</f>
        <v>20888.18</v>
      </c>
      <c r="CP30" s="35">
        <f t="shared" ref="CP30:CP37" si="42">CN30/10</f>
        <v>1988.818</v>
      </c>
      <c r="CR30" s="15">
        <f t="shared" ref="CR30:CR37" si="43">CR$4</f>
        <v>12</v>
      </c>
      <c r="CS30" s="13">
        <f t="shared" ref="CS30:CS37" si="44">CI30/CR30</f>
        <v>852.05000000000007</v>
      </c>
      <c r="CT30" s="13">
        <f t="shared" ref="CT30:CT37" si="45">CN30/CR30</f>
        <v>1657.3483333333334</v>
      </c>
      <c r="CU30" s="13">
        <f t="shared" ref="CU30:CU37" si="46">CT30/10</f>
        <v>165.73483333333334</v>
      </c>
      <c r="CW30" s="13">
        <f t="shared" ref="CW30:CW37" si="47">CI30</f>
        <v>10224.6</v>
      </c>
      <c r="CX30" s="13">
        <f t="shared" ref="CX30:CX37" si="48">CN30</f>
        <v>19888.18</v>
      </c>
      <c r="CY30" s="13">
        <f t="shared" ref="CY30:CY37" si="49">CP30</f>
        <v>1988.818</v>
      </c>
    </row>
    <row r="31" spans="1:103" outlineLevel="1" x14ac:dyDescent="0.2">
      <c r="A31" s="43"/>
      <c r="B31" s="10"/>
      <c r="C31" s="3" t="s">
        <v>17</v>
      </c>
      <c r="D31" s="3" t="s">
        <v>113</v>
      </c>
      <c r="E31" s="6" t="s">
        <v>19</v>
      </c>
      <c r="F31" s="3" t="s">
        <v>25</v>
      </c>
      <c r="G31" s="5" t="s">
        <v>50</v>
      </c>
      <c r="H31" s="52" t="b">
        <v>0</v>
      </c>
      <c r="J31" s="46" t="s">
        <v>91</v>
      </c>
      <c r="K31" s="46" t="s">
        <v>91</v>
      </c>
      <c r="L31" s="46" t="s">
        <v>91</v>
      </c>
      <c r="M31" s="56" t="b">
        <v>0</v>
      </c>
      <c r="Q31" s="51" t="b">
        <v>1</v>
      </c>
      <c r="R31" s="50" t="s">
        <v>53</v>
      </c>
      <c r="S31" s="55" t="b">
        <v>1</v>
      </c>
      <c r="T31" s="49">
        <v>13</v>
      </c>
      <c r="U31" s="47">
        <v>1.4999999999999999E-2</v>
      </c>
      <c r="V31" s="49">
        <v>75</v>
      </c>
      <c r="W31" s="49">
        <v>-75</v>
      </c>
      <c r="X31" s="47">
        <v>50</v>
      </c>
      <c r="Y31" s="47">
        <v>5</v>
      </c>
      <c r="Z31" s="51" t="b">
        <v>1</v>
      </c>
      <c r="AA31" s="50" t="s">
        <v>92</v>
      </c>
      <c r="AB31" s="54">
        <v>2</v>
      </c>
      <c r="AC31" s="56" t="b">
        <v>0</v>
      </c>
      <c r="AE31" s="56" t="b">
        <v>0</v>
      </c>
      <c r="AG31" s="55" t="b">
        <v>1</v>
      </c>
      <c r="AH31" s="48">
        <v>5</v>
      </c>
      <c r="AI31" s="48">
        <v>8</v>
      </c>
      <c r="AJ31" s="48">
        <v>11</v>
      </c>
      <c r="AK31" s="48">
        <v>13</v>
      </c>
      <c r="AL31" s="52" t="b">
        <v>0</v>
      </c>
      <c r="AM31" s="51" t="b">
        <v>1</v>
      </c>
      <c r="AN31" s="53" t="s">
        <v>34</v>
      </c>
      <c r="AO31" s="60">
        <v>1.0000000000000001E-5</v>
      </c>
      <c r="AP31" s="51" t="b">
        <v>1</v>
      </c>
      <c r="AQ31" s="60">
        <v>1.0000000000000001E-5</v>
      </c>
      <c r="AR31" s="56">
        <v>5</v>
      </c>
      <c r="AS31" s="56">
        <v>13</v>
      </c>
      <c r="AT31" s="56">
        <v>5</v>
      </c>
      <c r="AU31" s="51" t="b">
        <v>1</v>
      </c>
      <c r="AV31" s="47">
        <v>3</v>
      </c>
      <c r="AW31" s="62">
        <v>5</v>
      </c>
      <c r="AX31" s="47">
        <v>1</v>
      </c>
      <c r="AY31" s="51" t="b">
        <v>1</v>
      </c>
      <c r="AZ31" s="45" t="s">
        <v>73</v>
      </c>
      <c r="BA31" s="45">
        <v>4</v>
      </c>
      <c r="BB31" s="49">
        <v>0.05</v>
      </c>
      <c r="BC31" s="49">
        <v>0.5</v>
      </c>
      <c r="BD31" s="52" t="b">
        <v>0</v>
      </c>
      <c r="BE31" s="45" t="s">
        <v>98</v>
      </c>
      <c r="BF31" s="51" t="b">
        <v>1</v>
      </c>
      <c r="BG31" s="45" t="s">
        <v>71</v>
      </c>
      <c r="BH31" s="54">
        <v>0.02</v>
      </c>
      <c r="BI31" s="70" t="s">
        <v>5</v>
      </c>
      <c r="BJ31" s="51" t="b">
        <v>1</v>
      </c>
      <c r="BK31" s="72">
        <v>1.5</v>
      </c>
      <c r="BL31" s="52" t="b">
        <v>0</v>
      </c>
      <c r="BM31" s="70" t="s">
        <v>6</v>
      </c>
      <c r="BN31" s="51" t="b">
        <v>1</v>
      </c>
      <c r="BO31" s="70" t="s">
        <v>15</v>
      </c>
      <c r="BP31" s="71">
        <v>1</v>
      </c>
      <c r="BQ31" s="71">
        <v>0.5</v>
      </c>
      <c r="BR31" s="75" t="str">
        <f>AH31&amp;"/ "&amp;AI31&amp;"/ "&amp;AJ31&amp;"/ "&amp;AK31</f>
        <v>5/ 8/ 11/ 13</v>
      </c>
      <c r="BS31" s="75" t="str">
        <f t="shared" si="36"/>
        <v>5 / 13 / 5</v>
      </c>
      <c r="BT31" s="75" t="str">
        <f t="shared" si="37"/>
        <v>0.05 / 0.5</v>
      </c>
      <c r="BU31" s="7">
        <v>618</v>
      </c>
      <c r="BV31" s="7">
        <v>364</v>
      </c>
      <c r="BW31" s="7">
        <v>292</v>
      </c>
      <c r="BX31" s="27">
        <f t="shared" si="38"/>
        <v>72</v>
      </c>
      <c r="BY31" s="7">
        <v>65</v>
      </c>
      <c r="BZ31" s="21">
        <f t="shared" si="39"/>
        <v>189</v>
      </c>
      <c r="CA31" s="98">
        <f t="shared" ref="CA31:CA37" si="50">IF(BU31=0,0,BV31/BU31)</f>
        <v>0.5889967637540453</v>
      </c>
      <c r="CB31" s="99">
        <f>IF(BU31=0,0,BY31/BU31)</f>
        <v>0.10517799352750809</v>
      </c>
      <c r="CC31" s="20">
        <v>5.31</v>
      </c>
      <c r="CD31" s="20">
        <v>31.75</v>
      </c>
      <c r="CE31" s="20">
        <v>0.43</v>
      </c>
      <c r="CF31" s="77">
        <f t="shared" si="40"/>
        <v>1.5</v>
      </c>
      <c r="CG31" s="20">
        <v>0.67</v>
      </c>
      <c r="CH31" s="20">
        <v>0.48</v>
      </c>
      <c r="CI31" s="22">
        <v>9896.1</v>
      </c>
      <c r="CJ31" s="20">
        <v>27.19</v>
      </c>
      <c r="CK31" s="20">
        <v>25.84</v>
      </c>
      <c r="CL31" s="20">
        <v>-3.96</v>
      </c>
      <c r="CM31" s="74">
        <v>1000</v>
      </c>
      <c r="CN31" s="22">
        <v>19622.09</v>
      </c>
      <c r="CO31" s="35">
        <f t="shared" si="41"/>
        <v>20622.09</v>
      </c>
      <c r="CP31" s="35">
        <f t="shared" si="42"/>
        <v>1962.2090000000001</v>
      </c>
      <c r="CR31" s="15">
        <f t="shared" si="43"/>
        <v>12</v>
      </c>
      <c r="CS31" s="13">
        <f t="shared" si="44"/>
        <v>824.67500000000007</v>
      </c>
      <c r="CT31" s="13">
        <f t="shared" si="45"/>
        <v>1635.1741666666667</v>
      </c>
      <c r="CU31" s="13">
        <f t="shared" si="46"/>
        <v>163.51741666666666</v>
      </c>
      <c r="CW31" s="13">
        <f t="shared" si="47"/>
        <v>9896.1</v>
      </c>
      <c r="CX31" s="13">
        <f t="shared" si="48"/>
        <v>19622.09</v>
      </c>
      <c r="CY31" s="13">
        <f t="shared" si="49"/>
        <v>1962.2090000000001</v>
      </c>
    </row>
    <row r="32" spans="1:103" outlineLevel="1" x14ac:dyDescent="0.2">
      <c r="A32" s="43"/>
      <c r="B32" s="10"/>
      <c r="C32" s="3" t="s">
        <v>17</v>
      </c>
      <c r="D32" s="3" t="s">
        <v>113</v>
      </c>
      <c r="E32" s="6" t="s">
        <v>19</v>
      </c>
      <c r="F32" s="3" t="s">
        <v>25</v>
      </c>
      <c r="G32" s="5" t="s">
        <v>50</v>
      </c>
      <c r="H32" s="52" t="b">
        <v>0</v>
      </c>
      <c r="J32" s="46" t="s">
        <v>91</v>
      </c>
      <c r="K32" s="46" t="s">
        <v>91</v>
      </c>
      <c r="L32" s="46" t="s">
        <v>91</v>
      </c>
      <c r="M32" s="56" t="b">
        <v>0</v>
      </c>
      <c r="Q32" s="51" t="b">
        <v>1</v>
      </c>
      <c r="R32" s="50" t="s">
        <v>53</v>
      </c>
      <c r="S32" s="55" t="b">
        <v>1</v>
      </c>
      <c r="T32" s="49">
        <v>13</v>
      </c>
      <c r="U32" s="47">
        <v>1.4999999999999999E-2</v>
      </c>
      <c r="V32" s="49">
        <v>75</v>
      </c>
      <c r="W32" s="49">
        <v>-75</v>
      </c>
      <c r="X32" s="47">
        <v>50</v>
      </c>
      <c r="Y32" s="47">
        <v>5</v>
      </c>
      <c r="Z32" s="51" t="b">
        <v>1</v>
      </c>
      <c r="AA32" s="50" t="s">
        <v>92</v>
      </c>
      <c r="AB32" s="54">
        <v>2</v>
      </c>
      <c r="AC32" s="56" t="b">
        <v>0</v>
      </c>
      <c r="AE32" s="56" t="b">
        <v>0</v>
      </c>
      <c r="AG32" s="55" t="b">
        <v>1</v>
      </c>
      <c r="AH32" s="48">
        <v>5</v>
      </c>
      <c r="AI32" s="48">
        <v>8</v>
      </c>
      <c r="AJ32" s="48">
        <v>11</v>
      </c>
      <c r="AK32" s="48">
        <v>13</v>
      </c>
      <c r="AL32" s="52" t="b">
        <v>0</v>
      </c>
      <c r="AM32" s="51" t="b">
        <v>1</v>
      </c>
      <c r="AN32" s="53" t="s">
        <v>34</v>
      </c>
      <c r="AO32" s="60">
        <v>1.0000000000000001E-5</v>
      </c>
      <c r="AP32" s="51" t="b">
        <v>1</v>
      </c>
      <c r="AQ32" s="60">
        <v>1.0000000000000001E-5</v>
      </c>
      <c r="AR32" s="56">
        <v>5</v>
      </c>
      <c r="AS32" s="56">
        <v>13</v>
      </c>
      <c r="AT32" s="56">
        <v>8</v>
      </c>
      <c r="AU32" s="51" t="b">
        <v>1</v>
      </c>
      <c r="AV32" s="47">
        <v>3</v>
      </c>
      <c r="AW32" s="62">
        <v>5</v>
      </c>
      <c r="AX32" s="47">
        <v>1</v>
      </c>
      <c r="AY32" s="51" t="b">
        <v>1</v>
      </c>
      <c r="AZ32" s="45" t="s">
        <v>73</v>
      </c>
      <c r="BA32" s="45">
        <v>4</v>
      </c>
      <c r="BB32" s="49">
        <v>0.05</v>
      </c>
      <c r="BC32" s="49">
        <v>0.5</v>
      </c>
      <c r="BD32" s="52" t="b">
        <v>0</v>
      </c>
      <c r="BE32" s="45" t="s">
        <v>98</v>
      </c>
      <c r="BF32" s="51" t="b">
        <v>1</v>
      </c>
      <c r="BG32" s="45" t="s">
        <v>71</v>
      </c>
      <c r="BH32" s="54">
        <v>0.02</v>
      </c>
      <c r="BI32" s="70" t="s">
        <v>5</v>
      </c>
      <c r="BJ32" s="51" t="b">
        <v>1</v>
      </c>
      <c r="BK32" s="72">
        <v>1.5</v>
      </c>
      <c r="BL32" s="52" t="b">
        <v>0</v>
      </c>
      <c r="BM32" s="70" t="s">
        <v>6</v>
      </c>
      <c r="BN32" s="51" t="b">
        <v>1</v>
      </c>
      <c r="BO32" s="70" t="s">
        <v>15</v>
      </c>
      <c r="BP32" s="71">
        <v>1</v>
      </c>
      <c r="BQ32" s="71">
        <v>0.5</v>
      </c>
      <c r="BR32" s="75" t="str">
        <f>AH32&amp;"/ "&amp;AI32&amp;"/ "&amp;AJ32&amp;"/ "&amp;AK32</f>
        <v>5/ 8/ 11/ 13</v>
      </c>
      <c r="BS32" s="75" t="str">
        <f t="shared" si="36"/>
        <v>5 / 13 / 8</v>
      </c>
      <c r="BT32" s="75" t="str">
        <f t="shared" si="37"/>
        <v>0.05 / 0.5</v>
      </c>
      <c r="BU32" s="7">
        <v>651</v>
      </c>
      <c r="BV32" s="7">
        <v>379</v>
      </c>
      <c r="BW32" s="7">
        <v>303</v>
      </c>
      <c r="BX32" s="27">
        <f t="shared" si="38"/>
        <v>76</v>
      </c>
      <c r="BY32" s="7">
        <v>82</v>
      </c>
      <c r="BZ32" s="21">
        <f t="shared" si="39"/>
        <v>190</v>
      </c>
      <c r="CA32" s="98">
        <f t="shared" si="50"/>
        <v>0.5821812596006144</v>
      </c>
      <c r="CB32" s="99">
        <f>IF(BU32=0,0,BY32/BU32)</f>
        <v>0.1259600614439324</v>
      </c>
      <c r="CC32" s="20">
        <v>4.09</v>
      </c>
      <c r="CD32" s="20">
        <v>29.68</v>
      </c>
      <c r="CE32" s="20">
        <v>0.39</v>
      </c>
      <c r="CF32" s="77">
        <f t="shared" si="40"/>
        <v>1.5</v>
      </c>
      <c r="CG32" s="20">
        <v>0.67</v>
      </c>
      <c r="CH32" s="20">
        <v>0.49</v>
      </c>
      <c r="CI32" s="22">
        <v>10532.8</v>
      </c>
      <c r="CJ32" s="20">
        <v>27.79</v>
      </c>
      <c r="CK32" s="20">
        <v>26.86</v>
      </c>
      <c r="CL32" s="20">
        <v>-4.96</v>
      </c>
      <c r="CM32" s="74">
        <v>1000</v>
      </c>
      <c r="CN32" s="22">
        <v>19320.77</v>
      </c>
      <c r="CO32" s="35">
        <f t="shared" si="41"/>
        <v>20320.77</v>
      </c>
      <c r="CP32" s="35">
        <f t="shared" si="42"/>
        <v>1932.077</v>
      </c>
      <c r="CR32" s="15">
        <f t="shared" si="43"/>
        <v>12</v>
      </c>
      <c r="CS32" s="13">
        <f t="shared" si="44"/>
        <v>877.73333333333323</v>
      </c>
      <c r="CT32" s="13">
        <f t="shared" si="45"/>
        <v>1610.0641666666668</v>
      </c>
      <c r="CU32" s="13">
        <f t="shared" si="46"/>
        <v>161.00641666666667</v>
      </c>
      <c r="CW32" s="13">
        <f t="shared" si="47"/>
        <v>10532.8</v>
      </c>
      <c r="CX32" s="13">
        <f t="shared" si="48"/>
        <v>19320.77</v>
      </c>
      <c r="CY32" s="13">
        <f t="shared" si="49"/>
        <v>1932.077</v>
      </c>
    </row>
    <row r="33" spans="1:103" outlineLevel="1" x14ac:dyDescent="0.2">
      <c r="A33" s="43"/>
      <c r="B33" s="10"/>
      <c r="C33" s="3" t="s">
        <v>17</v>
      </c>
      <c r="D33" s="3" t="s">
        <v>113</v>
      </c>
      <c r="E33" s="6" t="s">
        <v>19</v>
      </c>
      <c r="F33" s="3" t="s">
        <v>25</v>
      </c>
      <c r="G33" s="5" t="s">
        <v>50</v>
      </c>
      <c r="H33" s="52" t="b">
        <v>0</v>
      </c>
      <c r="J33" s="46" t="s">
        <v>91</v>
      </c>
      <c r="K33" s="46" t="s">
        <v>91</v>
      </c>
      <c r="L33" s="46" t="s">
        <v>91</v>
      </c>
      <c r="M33" s="56" t="b">
        <v>0</v>
      </c>
      <c r="Q33" s="51" t="b">
        <v>1</v>
      </c>
      <c r="R33" s="50" t="s">
        <v>53</v>
      </c>
      <c r="S33" s="55" t="b">
        <v>1</v>
      </c>
      <c r="T33" s="49">
        <v>13</v>
      </c>
      <c r="U33" s="47">
        <v>1.4999999999999999E-2</v>
      </c>
      <c r="V33" s="49">
        <v>75</v>
      </c>
      <c r="W33" s="49">
        <v>-75</v>
      </c>
      <c r="X33" s="47">
        <v>50</v>
      </c>
      <c r="Y33" s="47">
        <v>5</v>
      </c>
      <c r="Z33" s="51" t="b">
        <v>1</v>
      </c>
      <c r="AA33" s="50" t="s">
        <v>92</v>
      </c>
      <c r="AB33" s="54">
        <v>2</v>
      </c>
      <c r="AC33" s="56" t="b">
        <v>0</v>
      </c>
      <c r="AE33" s="56" t="b">
        <v>0</v>
      </c>
      <c r="AG33" s="55" t="b">
        <v>1</v>
      </c>
      <c r="AH33" s="48">
        <v>5</v>
      </c>
      <c r="AI33" s="48">
        <v>8</v>
      </c>
      <c r="AJ33" s="48">
        <v>11</v>
      </c>
      <c r="AK33" s="48">
        <v>13</v>
      </c>
      <c r="AL33" s="52" t="b">
        <v>0</v>
      </c>
      <c r="AM33" s="51" t="b">
        <v>1</v>
      </c>
      <c r="AN33" s="53" t="s">
        <v>34</v>
      </c>
      <c r="AO33" s="60">
        <v>1.0000000000000001E-5</v>
      </c>
      <c r="AP33" s="51" t="b">
        <v>1</v>
      </c>
      <c r="AQ33" s="60">
        <v>1.0000000000000001E-5</v>
      </c>
      <c r="AR33" s="65">
        <v>8</v>
      </c>
      <c r="AS33" s="65">
        <v>13</v>
      </c>
      <c r="AT33" s="65">
        <v>8</v>
      </c>
      <c r="AU33" s="51" t="b">
        <v>1</v>
      </c>
      <c r="AV33" s="47">
        <v>3</v>
      </c>
      <c r="AW33" s="62">
        <v>5</v>
      </c>
      <c r="AX33" s="47">
        <v>1</v>
      </c>
      <c r="AY33" s="51" t="b">
        <v>1</v>
      </c>
      <c r="AZ33" s="45" t="s">
        <v>73</v>
      </c>
      <c r="BA33" s="45">
        <v>4</v>
      </c>
      <c r="BB33" s="49">
        <v>0.05</v>
      </c>
      <c r="BC33" s="49">
        <v>0.5</v>
      </c>
      <c r="BD33" s="52" t="b">
        <v>0</v>
      </c>
      <c r="BE33" s="45" t="s">
        <v>98</v>
      </c>
      <c r="BF33" s="51" t="b">
        <v>1</v>
      </c>
      <c r="BG33" s="45" t="s">
        <v>71</v>
      </c>
      <c r="BH33" s="54">
        <v>0.02</v>
      </c>
      <c r="BI33" s="70" t="s">
        <v>5</v>
      </c>
      <c r="BJ33" s="51" t="b">
        <v>1</v>
      </c>
      <c r="BK33" s="72">
        <v>1.5</v>
      </c>
      <c r="BL33" s="52" t="b">
        <v>0</v>
      </c>
      <c r="BM33" s="70" t="s">
        <v>6</v>
      </c>
      <c r="BN33" s="51" t="b">
        <v>1</v>
      </c>
      <c r="BO33" s="70" t="s">
        <v>15</v>
      </c>
      <c r="BP33" s="71">
        <v>1</v>
      </c>
      <c r="BQ33" s="71">
        <v>0.5</v>
      </c>
      <c r="BR33" s="75" t="str">
        <f t="shared" ref="BR33:BR37" si="51">AH33&amp;"/ "&amp;AI33&amp;"/ "&amp;AJ33&amp;"/ "&amp;AK33</f>
        <v>5/ 8/ 11/ 13</v>
      </c>
      <c r="BS33" s="75" t="str">
        <f t="shared" si="36"/>
        <v>8 / 13 / 8</v>
      </c>
      <c r="BT33" s="75" t="str">
        <f t="shared" si="37"/>
        <v>0.05 / 0.5</v>
      </c>
      <c r="BU33" s="7">
        <v>642</v>
      </c>
      <c r="BV33" s="7">
        <v>375</v>
      </c>
      <c r="BW33" s="7">
        <v>300</v>
      </c>
      <c r="BX33" s="27">
        <f t="shared" si="38"/>
        <v>75</v>
      </c>
      <c r="BY33" s="7">
        <v>80</v>
      </c>
      <c r="BZ33" s="21">
        <f t="shared" si="39"/>
        <v>187</v>
      </c>
      <c r="CA33" s="98">
        <f t="shared" si="50"/>
        <v>0.58411214953271029</v>
      </c>
      <c r="CB33" s="99">
        <f t="shared" ref="CB33:CB37" si="52">IF(BU33=0,0,BY33/BU33)</f>
        <v>0.12461059190031153</v>
      </c>
      <c r="CC33" s="20">
        <v>4.18</v>
      </c>
      <c r="CD33" s="20">
        <v>30.25</v>
      </c>
      <c r="CE33" s="20">
        <v>0.39</v>
      </c>
      <c r="CF33" s="77">
        <f t="shared" si="40"/>
        <v>1.5</v>
      </c>
      <c r="CG33" s="20">
        <v>0.68</v>
      </c>
      <c r="CH33" s="20">
        <v>0.5</v>
      </c>
      <c r="CI33" s="22">
        <v>10438.1</v>
      </c>
      <c r="CJ33" s="20">
        <v>27.83</v>
      </c>
      <c r="CK33" s="20">
        <v>26.58</v>
      </c>
      <c r="CL33" s="20">
        <v>-4.96</v>
      </c>
      <c r="CM33" s="74">
        <v>1000</v>
      </c>
      <c r="CN33" s="22">
        <v>19417.2</v>
      </c>
      <c r="CO33" s="35">
        <f t="shared" si="41"/>
        <v>20417.2</v>
      </c>
      <c r="CP33" s="35">
        <f t="shared" si="42"/>
        <v>1941.72</v>
      </c>
      <c r="CR33" s="15">
        <f t="shared" si="43"/>
        <v>12</v>
      </c>
      <c r="CS33" s="13">
        <f t="shared" si="44"/>
        <v>869.8416666666667</v>
      </c>
      <c r="CT33" s="13">
        <f t="shared" si="45"/>
        <v>1618.1000000000001</v>
      </c>
      <c r="CU33" s="13">
        <f t="shared" si="46"/>
        <v>161.81</v>
      </c>
      <c r="CW33" s="13">
        <f t="shared" si="47"/>
        <v>10438.1</v>
      </c>
      <c r="CX33" s="13">
        <f t="shared" si="48"/>
        <v>19417.2</v>
      </c>
      <c r="CY33" s="13">
        <f t="shared" si="49"/>
        <v>1941.72</v>
      </c>
    </row>
    <row r="34" spans="1:103" outlineLevel="1" x14ac:dyDescent="0.2">
      <c r="A34" s="43"/>
      <c r="B34" s="10"/>
      <c r="C34" s="3" t="s">
        <v>17</v>
      </c>
      <c r="D34" s="3" t="s">
        <v>113</v>
      </c>
      <c r="E34" s="6" t="s">
        <v>19</v>
      </c>
      <c r="F34" s="3" t="s">
        <v>25</v>
      </c>
      <c r="G34" s="5" t="s">
        <v>50</v>
      </c>
      <c r="H34" s="52" t="b">
        <v>0</v>
      </c>
      <c r="J34" s="46" t="s">
        <v>91</v>
      </c>
      <c r="K34" s="46" t="s">
        <v>91</v>
      </c>
      <c r="L34" s="46" t="s">
        <v>91</v>
      </c>
      <c r="M34" s="56" t="b">
        <v>0</v>
      </c>
      <c r="Q34" s="51" t="b">
        <v>1</v>
      </c>
      <c r="R34" s="50" t="s">
        <v>53</v>
      </c>
      <c r="S34" s="55" t="b">
        <v>1</v>
      </c>
      <c r="T34" s="49">
        <v>13</v>
      </c>
      <c r="U34" s="47">
        <v>1.4999999999999999E-2</v>
      </c>
      <c r="V34" s="49">
        <v>75</v>
      </c>
      <c r="W34" s="49">
        <v>-75</v>
      </c>
      <c r="X34" s="47">
        <v>50</v>
      </c>
      <c r="Y34" s="47">
        <v>5</v>
      </c>
      <c r="Z34" s="51" t="b">
        <v>1</v>
      </c>
      <c r="AA34" s="50" t="s">
        <v>92</v>
      </c>
      <c r="AB34" s="54">
        <v>2</v>
      </c>
      <c r="AC34" s="56" t="b">
        <v>0</v>
      </c>
      <c r="AE34" s="56" t="b">
        <v>0</v>
      </c>
      <c r="AG34" s="55" t="b">
        <v>1</v>
      </c>
      <c r="AH34" s="48">
        <v>5</v>
      </c>
      <c r="AI34" s="48">
        <v>8</v>
      </c>
      <c r="AJ34" s="48">
        <v>11</v>
      </c>
      <c r="AK34" s="48">
        <v>13</v>
      </c>
      <c r="AL34" s="52" t="b">
        <v>0</v>
      </c>
      <c r="AM34" s="51" t="b">
        <v>1</v>
      </c>
      <c r="AN34" s="53" t="s">
        <v>34</v>
      </c>
      <c r="AO34" s="60">
        <v>1.0000000000000001E-5</v>
      </c>
      <c r="AP34" s="51" t="b">
        <v>1</v>
      </c>
      <c r="AQ34" s="60">
        <v>1.0000000000000001E-5</v>
      </c>
      <c r="AR34" s="65">
        <v>8</v>
      </c>
      <c r="AS34" s="65">
        <v>13</v>
      </c>
      <c r="AT34" s="65">
        <v>11</v>
      </c>
      <c r="AU34" s="51" t="b">
        <v>1</v>
      </c>
      <c r="AV34" s="47">
        <v>3</v>
      </c>
      <c r="AW34" s="62">
        <v>5</v>
      </c>
      <c r="AX34" s="47">
        <v>1</v>
      </c>
      <c r="AY34" s="51" t="b">
        <v>1</v>
      </c>
      <c r="AZ34" s="45" t="s">
        <v>73</v>
      </c>
      <c r="BA34" s="45">
        <v>4</v>
      </c>
      <c r="BB34" s="49">
        <v>0.05</v>
      </c>
      <c r="BC34" s="49">
        <v>0.5</v>
      </c>
      <c r="BD34" s="52" t="b">
        <v>0</v>
      </c>
      <c r="BE34" s="45" t="s">
        <v>98</v>
      </c>
      <c r="BF34" s="51" t="b">
        <v>1</v>
      </c>
      <c r="BG34" s="45" t="s">
        <v>71</v>
      </c>
      <c r="BH34" s="54">
        <v>0.02</v>
      </c>
      <c r="BI34" s="70" t="s">
        <v>5</v>
      </c>
      <c r="BJ34" s="51" t="b">
        <v>1</v>
      </c>
      <c r="BK34" s="72">
        <v>1.5</v>
      </c>
      <c r="BL34" s="52" t="b">
        <v>0</v>
      </c>
      <c r="BM34" s="70" t="s">
        <v>6</v>
      </c>
      <c r="BN34" s="51" t="b">
        <v>1</v>
      </c>
      <c r="BO34" s="70" t="s">
        <v>15</v>
      </c>
      <c r="BP34" s="71">
        <v>1</v>
      </c>
      <c r="BQ34" s="71">
        <v>0.5</v>
      </c>
      <c r="BR34" s="75" t="str">
        <f t="shared" si="51"/>
        <v>5/ 8/ 11/ 13</v>
      </c>
      <c r="BS34" s="75" t="str">
        <f t="shared" si="36"/>
        <v>8 / 13 / 11</v>
      </c>
      <c r="BT34" s="75" t="str">
        <f t="shared" si="37"/>
        <v>0.05 / 0.5</v>
      </c>
      <c r="BU34" s="7">
        <v>639</v>
      </c>
      <c r="BV34" s="7">
        <v>374</v>
      </c>
      <c r="BW34" s="7">
        <v>300</v>
      </c>
      <c r="BX34" s="27">
        <f t="shared" si="38"/>
        <v>74</v>
      </c>
      <c r="BY34" s="7">
        <v>80</v>
      </c>
      <c r="BZ34" s="21">
        <f t="shared" si="39"/>
        <v>185</v>
      </c>
      <c r="CA34" s="98">
        <f t="shared" si="50"/>
        <v>0.58528951486697967</v>
      </c>
      <c r="CB34" s="99">
        <f t="shared" si="52"/>
        <v>0.12519561815336464</v>
      </c>
      <c r="CC34" s="20">
        <v>4.17</v>
      </c>
      <c r="CD34" s="20">
        <v>30.49</v>
      </c>
      <c r="CE34" s="20">
        <v>0.4</v>
      </c>
      <c r="CF34" s="77">
        <f t="shared" si="40"/>
        <v>1.5</v>
      </c>
      <c r="CG34" s="20">
        <v>0.68</v>
      </c>
      <c r="CH34" s="20">
        <v>0.5</v>
      </c>
      <c r="CI34" s="22">
        <v>10399.799999999999</v>
      </c>
      <c r="CJ34" s="20">
        <v>27.81</v>
      </c>
      <c r="CK34" s="20">
        <v>26.61</v>
      </c>
      <c r="CL34" s="20">
        <v>-4.96</v>
      </c>
      <c r="CM34" s="74">
        <v>1000</v>
      </c>
      <c r="CN34" s="22">
        <v>19484.25</v>
      </c>
      <c r="CO34" s="35">
        <f t="shared" si="41"/>
        <v>20484.25</v>
      </c>
      <c r="CP34" s="35">
        <f t="shared" si="42"/>
        <v>1948.425</v>
      </c>
      <c r="CR34" s="15">
        <f t="shared" si="43"/>
        <v>12</v>
      </c>
      <c r="CS34" s="13">
        <f t="shared" si="44"/>
        <v>866.65</v>
      </c>
      <c r="CT34" s="13">
        <f t="shared" si="45"/>
        <v>1623.6875</v>
      </c>
      <c r="CU34" s="13">
        <f t="shared" si="46"/>
        <v>162.36875000000001</v>
      </c>
      <c r="CW34" s="13">
        <f t="shared" si="47"/>
        <v>10399.799999999999</v>
      </c>
      <c r="CX34" s="13">
        <f t="shared" si="48"/>
        <v>19484.25</v>
      </c>
      <c r="CY34" s="13">
        <f t="shared" si="49"/>
        <v>1948.425</v>
      </c>
    </row>
    <row r="35" spans="1:103" outlineLevel="1" x14ac:dyDescent="0.2">
      <c r="A35" s="43"/>
      <c r="B35" s="10"/>
      <c r="C35" s="3" t="s">
        <v>17</v>
      </c>
      <c r="D35" s="3" t="s">
        <v>113</v>
      </c>
      <c r="E35" s="6" t="s">
        <v>19</v>
      </c>
      <c r="F35" s="3" t="s">
        <v>25</v>
      </c>
      <c r="G35" s="5" t="s">
        <v>50</v>
      </c>
      <c r="H35" s="52" t="b">
        <v>0</v>
      </c>
      <c r="J35" s="46" t="s">
        <v>91</v>
      </c>
      <c r="K35" s="46" t="s">
        <v>91</v>
      </c>
      <c r="L35" s="46" t="s">
        <v>91</v>
      </c>
      <c r="M35" s="56" t="b">
        <v>0</v>
      </c>
      <c r="Q35" s="51" t="b">
        <v>1</v>
      </c>
      <c r="R35" s="50" t="s">
        <v>53</v>
      </c>
      <c r="S35" s="55" t="b">
        <v>1</v>
      </c>
      <c r="T35" s="49">
        <v>13</v>
      </c>
      <c r="U35" s="47">
        <v>1.4999999999999999E-2</v>
      </c>
      <c r="V35" s="49">
        <v>75</v>
      </c>
      <c r="W35" s="49">
        <v>-75</v>
      </c>
      <c r="X35" s="47">
        <v>50</v>
      </c>
      <c r="Y35" s="47">
        <v>5</v>
      </c>
      <c r="Z35" s="51" t="b">
        <v>1</v>
      </c>
      <c r="AA35" s="50" t="s">
        <v>92</v>
      </c>
      <c r="AB35" s="54">
        <v>2</v>
      </c>
      <c r="AC35" s="56" t="b">
        <v>0</v>
      </c>
      <c r="AE35" s="56" t="b">
        <v>0</v>
      </c>
      <c r="AG35" s="55" t="b">
        <v>1</v>
      </c>
      <c r="AH35" s="48">
        <v>5</v>
      </c>
      <c r="AI35" s="48">
        <v>8</v>
      </c>
      <c r="AJ35" s="48">
        <v>11</v>
      </c>
      <c r="AK35" s="48">
        <v>13</v>
      </c>
      <c r="AL35" s="52" t="b">
        <v>0</v>
      </c>
      <c r="AM35" s="51" t="b">
        <v>1</v>
      </c>
      <c r="AN35" s="53" t="s">
        <v>34</v>
      </c>
      <c r="AO35" s="60">
        <v>1.0000000000000001E-5</v>
      </c>
      <c r="AP35" s="51" t="b">
        <v>1</v>
      </c>
      <c r="AQ35" s="60">
        <v>1.0000000000000001E-5</v>
      </c>
      <c r="AR35" s="66">
        <v>8</v>
      </c>
      <c r="AS35" s="66">
        <v>17</v>
      </c>
      <c r="AT35" s="66">
        <v>9</v>
      </c>
      <c r="AU35" s="51" t="b">
        <v>1</v>
      </c>
      <c r="AV35" s="47">
        <v>3</v>
      </c>
      <c r="AW35" s="62">
        <v>5</v>
      </c>
      <c r="AX35" s="47">
        <v>1</v>
      </c>
      <c r="AY35" s="51" t="b">
        <v>1</v>
      </c>
      <c r="AZ35" s="45" t="s">
        <v>73</v>
      </c>
      <c r="BA35" s="45">
        <v>4</v>
      </c>
      <c r="BB35" s="49">
        <v>0.05</v>
      </c>
      <c r="BC35" s="49">
        <v>0.5</v>
      </c>
      <c r="BD35" s="52" t="b">
        <v>0</v>
      </c>
      <c r="BE35" s="45" t="s">
        <v>98</v>
      </c>
      <c r="BF35" s="51" t="b">
        <v>1</v>
      </c>
      <c r="BG35" s="45" t="s">
        <v>71</v>
      </c>
      <c r="BH35" s="54">
        <v>0.02</v>
      </c>
      <c r="BI35" s="70" t="s">
        <v>5</v>
      </c>
      <c r="BJ35" s="51" t="b">
        <v>1</v>
      </c>
      <c r="BK35" s="72">
        <v>1.5</v>
      </c>
      <c r="BL35" s="52" t="b">
        <v>0</v>
      </c>
      <c r="BM35" s="70" t="s">
        <v>6</v>
      </c>
      <c r="BN35" s="51" t="b">
        <v>1</v>
      </c>
      <c r="BO35" s="70" t="s">
        <v>15</v>
      </c>
      <c r="BP35" s="71">
        <v>1</v>
      </c>
      <c r="BQ35" s="71">
        <v>0.5</v>
      </c>
      <c r="BR35" s="75" t="str">
        <f t="shared" si="51"/>
        <v>5/ 8/ 11/ 13</v>
      </c>
      <c r="BS35" s="75" t="str">
        <f t="shared" si="36"/>
        <v>8 / 17 / 9</v>
      </c>
      <c r="BT35" s="75" t="str">
        <f t="shared" si="37"/>
        <v>0.05 / 0.5</v>
      </c>
      <c r="BU35" s="7">
        <v>639</v>
      </c>
      <c r="BV35" s="7">
        <v>376</v>
      </c>
      <c r="BW35" s="7">
        <v>303</v>
      </c>
      <c r="BX35" s="27">
        <f t="shared" si="38"/>
        <v>73</v>
      </c>
      <c r="BY35" s="7">
        <v>79</v>
      </c>
      <c r="BZ35" s="21">
        <f t="shared" si="39"/>
        <v>184</v>
      </c>
      <c r="CA35" s="98">
        <f t="shared" si="50"/>
        <v>0.58841940532081383</v>
      </c>
      <c r="CB35" s="99">
        <f t="shared" si="52"/>
        <v>0.12363067292644757</v>
      </c>
      <c r="CC35" s="20">
        <v>4.2699999999999996</v>
      </c>
      <c r="CD35" s="20">
        <v>30.84</v>
      </c>
      <c r="CE35" s="20">
        <v>0.4</v>
      </c>
      <c r="CF35" s="77">
        <f t="shared" si="40"/>
        <v>1.5</v>
      </c>
      <c r="CG35" s="20">
        <v>0.68</v>
      </c>
      <c r="CH35" s="20">
        <v>0.5</v>
      </c>
      <c r="CI35" s="22">
        <v>10400.299999999999</v>
      </c>
      <c r="CJ35" s="20">
        <v>27.66</v>
      </c>
      <c r="CK35" s="20">
        <v>26.49</v>
      </c>
      <c r="CL35" s="20">
        <v>-4.96</v>
      </c>
      <c r="CM35" s="74">
        <v>1000</v>
      </c>
      <c r="CN35" s="22">
        <v>19704.47</v>
      </c>
      <c r="CO35" s="35">
        <f t="shared" si="41"/>
        <v>20704.47</v>
      </c>
      <c r="CP35" s="35">
        <f t="shared" si="42"/>
        <v>1970.4470000000001</v>
      </c>
      <c r="CR35" s="15">
        <f t="shared" si="43"/>
        <v>12</v>
      </c>
      <c r="CS35" s="13">
        <f t="shared" si="44"/>
        <v>866.69166666666661</v>
      </c>
      <c r="CT35" s="13">
        <f t="shared" si="45"/>
        <v>1642.0391666666667</v>
      </c>
      <c r="CU35" s="13">
        <f t="shared" si="46"/>
        <v>164.20391666666666</v>
      </c>
      <c r="CW35" s="13">
        <f t="shared" si="47"/>
        <v>10400.299999999999</v>
      </c>
      <c r="CX35" s="13">
        <f t="shared" si="48"/>
        <v>19704.47</v>
      </c>
      <c r="CY35" s="13">
        <f t="shared" si="49"/>
        <v>1970.4470000000001</v>
      </c>
    </row>
    <row r="36" spans="1:103" outlineLevel="1" x14ac:dyDescent="0.2">
      <c r="A36" s="43"/>
      <c r="B36" s="10"/>
      <c r="C36" s="3" t="s">
        <v>17</v>
      </c>
      <c r="D36" s="3" t="s">
        <v>113</v>
      </c>
      <c r="E36" s="6" t="s">
        <v>19</v>
      </c>
      <c r="F36" s="3" t="s">
        <v>25</v>
      </c>
      <c r="G36" s="5" t="s">
        <v>50</v>
      </c>
      <c r="H36" s="52" t="b">
        <v>0</v>
      </c>
      <c r="J36" s="46" t="s">
        <v>91</v>
      </c>
      <c r="K36" s="46" t="s">
        <v>91</v>
      </c>
      <c r="L36" s="46" t="s">
        <v>91</v>
      </c>
      <c r="M36" s="56" t="b">
        <v>0</v>
      </c>
      <c r="Q36" s="51" t="b">
        <v>1</v>
      </c>
      <c r="R36" s="50" t="s">
        <v>53</v>
      </c>
      <c r="S36" s="55" t="b">
        <v>1</v>
      </c>
      <c r="T36" s="49">
        <v>13</v>
      </c>
      <c r="U36" s="47">
        <v>1.4999999999999999E-2</v>
      </c>
      <c r="V36" s="49">
        <v>75</v>
      </c>
      <c r="W36" s="49">
        <v>-75</v>
      </c>
      <c r="X36" s="47">
        <v>50</v>
      </c>
      <c r="Y36" s="47">
        <v>5</v>
      </c>
      <c r="Z36" s="51" t="b">
        <v>1</v>
      </c>
      <c r="AA36" s="50" t="s">
        <v>92</v>
      </c>
      <c r="AB36" s="54">
        <v>2</v>
      </c>
      <c r="AC36" s="56" t="b">
        <v>0</v>
      </c>
      <c r="AE36" s="56" t="b">
        <v>0</v>
      </c>
      <c r="AG36" s="55" t="b">
        <v>1</v>
      </c>
      <c r="AH36" s="48">
        <v>5</v>
      </c>
      <c r="AI36" s="48">
        <v>8</v>
      </c>
      <c r="AJ36" s="48">
        <v>11</v>
      </c>
      <c r="AK36" s="48">
        <v>13</v>
      </c>
      <c r="AL36" s="52" t="b">
        <v>0</v>
      </c>
      <c r="AM36" s="51" t="b">
        <v>1</v>
      </c>
      <c r="AN36" s="53" t="s">
        <v>34</v>
      </c>
      <c r="AO36" s="60">
        <v>1.0000000000000001E-5</v>
      </c>
      <c r="AP36" s="51" t="b">
        <v>1</v>
      </c>
      <c r="AQ36" s="60">
        <v>1.0000000000000001E-5</v>
      </c>
      <c r="AR36" s="67">
        <v>12</v>
      </c>
      <c r="AS36" s="67">
        <v>26</v>
      </c>
      <c r="AT36" s="67">
        <v>9</v>
      </c>
      <c r="AU36" s="51" t="b">
        <v>1</v>
      </c>
      <c r="AV36" s="47">
        <v>3</v>
      </c>
      <c r="AW36" s="62">
        <v>5</v>
      </c>
      <c r="AX36" s="47">
        <v>1</v>
      </c>
      <c r="AY36" s="51" t="b">
        <v>1</v>
      </c>
      <c r="AZ36" s="45" t="s">
        <v>73</v>
      </c>
      <c r="BA36" s="45">
        <v>4</v>
      </c>
      <c r="BB36" s="49">
        <v>0.05</v>
      </c>
      <c r="BC36" s="49">
        <v>0.5</v>
      </c>
      <c r="BD36" s="52" t="b">
        <v>0</v>
      </c>
      <c r="BE36" s="45" t="s">
        <v>98</v>
      </c>
      <c r="BF36" s="51" t="b">
        <v>1</v>
      </c>
      <c r="BG36" s="45" t="s">
        <v>71</v>
      </c>
      <c r="BH36" s="54">
        <v>0.02</v>
      </c>
      <c r="BI36" s="70" t="s">
        <v>5</v>
      </c>
      <c r="BJ36" s="51" t="b">
        <v>1</v>
      </c>
      <c r="BK36" s="72">
        <v>1.5</v>
      </c>
      <c r="BL36" s="52" t="b">
        <v>0</v>
      </c>
      <c r="BM36" s="70" t="s">
        <v>6</v>
      </c>
      <c r="BN36" s="51" t="b">
        <v>1</v>
      </c>
      <c r="BO36" s="70" t="s">
        <v>15</v>
      </c>
      <c r="BP36" s="71">
        <v>1</v>
      </c>
      <c r="BQ36" s="71">
        <v>0.5</v>
      </c>
      <c r="BR36" s="75" t="str">
        <f t="shared" si="51"/>
        <v>5/ 8/ 11/ 13</v>
      </c>
      <c r="BS36" s="75" t="str">
        <f t="shared" si="36"/>
        <v>12 / 26 / 9</v>
      </c>
      <c r="BT36" s="75" t="str">
        <f t="shared" si="37"/>
        <v>0.05 / 0.5</v>
      </c>
      <c r="BU36" s="7">
        <v>652</v>
      </c>
      <c r="BV36" s="7">
        <v>377</v>
      </c>
      <c r="BW36" s="7">
        <v>299</v>
      </c>
      <c r="BX36" s="27">
        <f t="shared" si="38"/>
        <v>78</v>
      </c>
      <c r="BY36" s="7">
        <v>82</v>
      </c>
      <c r="BZ36" s="21">
        <f t="shared" si="39"/>
        <v>193</v>
      </c>
      <c r="CA36" s="98">
        <f t="shared" si="50"/>
        <v>0.57822085889570551</v>
      </c>
      <c r="CB36" s="99">
        <f t="shared" si="52"/>
        <v>0.12576687116564417</v>
      </c>
      <c r="CC36" s="20">
        <v>4.17</v>
      </c>
      <c r="CD36" s="20">
        <v>31.98</v>
      </c>
      <c r="CE36" s="20">
        <v>0.4</v>
      </c>
      <c r="CF36" s="77">
        <f t="shared" si="40"/>
        <v>1.5</v>
      </c>
      <c r="CG36" s="20">
        <v>0.7</v>
      </c>
      <c r="CH36" s="20">
        <v>0.51</v>
      </c>
      <c r="CI36" s="22">
        <v>10474.6</v>
      </c>
      <c r="CJ36" s="20">
        <v>27.78</v>
      </c>
      <c r="CK36" s="20">
        <v>26.23</v>
      </c>
      <c r="CL36" s="20">
        <v>-5.42</v>
      </c>
      <c r="CM36" s="74">
        <v>1000</v>
      </c>
      <c r="CN36" s="30">
        <v>20847.5</v>
      </c>
      <c r="CO36" s="38">
        <f t="shared" si="41"/>
        <v>21847.5</v>
      </c>
      <c r="CP36" s="38">
        <f t="shared" si="42"/>
        <v>2084.75</v>
      </c>
      <c r="CR36" s="15">
        <f t="shared" si="43"/>
        <v>12</v>
      </c>
      <c r="CS36" s="13">
        <f t="shared" si="44"/>
        <v>872.88333333333333</v>
      </c>
      <c r="CT36" s="13">
        <f t="shared" si="45"/>
        <v>1737.2916666666667</v>
      </c>
      <c r="CU36" s="13">
        <f t="shared" si="46"/>
        <v>173.72916666666669</v>
      </c>
      <c r="CW36" s="13">
        <f t="shared" si="47"/>
        <v>10474.6</v>
      </c>
      <c r="CX36" s="13">
        <f t="shared" si="48"/>
        <v>20847.5</v>
      </c>
      <c r="CY36" s="13">
        <f t="shared" si="49"/>
        <v>2084.75</v>
      </c>
    </row>
    <row r="37" spans="1:103" outlineLevel="1" x14ac:dyDescent="0.2">
      <c r="A37" s="43"/>
      <c r="B37" s="10"/>
      <c r="C37" s="3" t="s">
        <v>17</v>
      </c>
      <c r="D37" s="3" t="s">
        <v>113</v>
      </c>
      <c r="E37" s="6" t="s">
        <v>19</v>
      </c>
      <c r="F37" s="3" t="s">
        <v>25</v>
      </c>
      <c r="G37" s="5" t="s">
        <v>50</v>
      </c>
      <c r="H37" s="52" t="b">
        <v>0</v>
      </c>
      <c r="J37" s="46" t="s">
        <v>91</v>
      </c>
      <c r="K37" s="46" t="s">
        <v>91</v>
      </c>
      <c r="L37" s="46" t="s">
        <v>91</v>
      </c>
      <c r="M37" s="56" t="b">
        <v>0</v>
      </c>
      <c r="Q37" s="51" t="b">
        <v>1</v>
      </c>
      <c r="R37" s="50" t="s">
        <v>53</v>
      </c>
      <c r="S37" s="55" t="b">
        <v>1</v>
      </c>
      <c r="T37" s="49">
        <v>13</v>
      </c>
      <c r="U37" s="47">
        <v>1.4999999999999999E-2</v>
      </c>
      <c r="V37" s="49">
        <v>75</v>
      </c>
      <c r="W37" s="49">
        <v>-75</v>
      </c>
      <c r="X37" s="47">
        <v>50</v>
      </c>
      <c r="Y37" s="47">
        <v>5</v>
      </c>
      <c r="Z37" s="51" t="b">
        <v>1</v>
      </c>
      <c r="AA37" s="50" t="s">
        <v>92</v>
      </c>
      <c r="AB37" s="54">
        <v>2</v>
      </c>
      <c r="AC37" s="56" t="b">
        <v>0</v>
      </c>
      <c r="AE37" s="56" t="b">
        <v>0</v>
      </c>
      <c r="AG37" s="55" t="b">
        <v>1</v>
      </c>
      <c r="AH37" s="48">
        <v>5</v>
      </c>
      <c r="AI37" s="48">
        <v>8</v>
      </c>
      <c r="AJ37" s="48">
        <v>11</v>
      </c>
      <c r="AK37" s="48">
        <v>13</v>
      </c>
      <c r="AL37" s="52" t="b">
        <v>0</v>
      </c>
      <c r="AM37" s="51" t="b">
        <v>1</v>
      </c>
      <c r="AN37" s="53" t="s">
        <v>34</v>
      </c>
      <c r="AO37" s="60">
        <v>1.0000000000000001E-5</v>
      </c>
      <c r="AP37" s="51" t="b">
        <v>1</v>
      </c>
      <c r="AQ37" s="60">
        <v>1.0000000000000001E-5</v>
      </c>
      <c r="AR37" s="56">
        <v>21</v>
      </c>
      <c r="AS37" s="56">
        <v>34</v>
      </c>
      <c r="AT37" s="56">
        <v>9</v>
      </c>
      <c r="AU37" s="51" t="b">
        <v>1</v>
      </c>
      <c r="AV37" s="47">
        <v>3</v>
      </c>
      <c r="AW37" s="62">
        <v>5</v>
      </c>
      <c r="AX37" s="47">
        <v>1</v>
      </c>
      <c r="AY37" s="51" t="b">
        <v>1</v>
      </c>
      <c r="AZ37" s="45" t="s">
        <v>73</v>
      </c>
      <c r="BA37" s="45">
        <v>4</v>
      </c>
      <c r="BB37" s="49">
        <v>0.05</v>
      </c>
      <c r="BC37" s="49">
        <v>0.5</v>
      </c>
      <c r="BD37" s="52" t="b">
        <v>0</v>
      </c>
      <c r="BE37" s="45" t="s">
        <v>98</v>
      </c>
      <c r="BF37" s="51" t="b">
        <v>1</v>
      </c>
      <c r="BG37" s="45" t="s">
        <v>71</v>
      </c>
      <c r="BH37" s="54">
        <v>0.02</v>
      </c>
      <c r="BI37" s="70" t="s">
        <v>5</v>
      </c>
      <c r="BJ37" s="51" t="b">
        <v>1</v>
      </c>
      <c r="BK37" s="72">
        <v>1.5</v>
      </c>
      <c r="BL37" s="52" t="b">
        <v>0</v>
      </c>
      <c r="BM37" s="70" t="s">
        <v>6</v>
      </c>
      <c r="BN37" s="51" t="b">
        <v>1</v>
      </c>
      <c r="BO37" s="70" t="s">
        <v>15</v>
      </c>
      <c r="BP37" s="71">
        <v>1</v>
      </c>
      <c r="BQ37" s="71">
        <v>0.5</v>
      </c>
      <c r="BR37" s="75" t="str">
        <f t="shared" si="51"/>
        <v>5/ 8/ 11/ 13</v>
      </c>
      <c r="BS37" s="75" t="str">
        <f t="shared" si="36"/>
        <v>21 / 34 / 9</v>
      </c>
      <c r="BT37" s="75" t="str">
        <f t="shared" si="37"/>
        <v>0.05 / 0.5</v>
      </c>
      <c r="BU37" s="7">
        <v>648</v>
      </c>
      <c r="BV37" s="7">
        <v>369</v>
      </c>
      <c r="BW37" s="7">
        <v>293</v>
      </c>
      <c r="BX37" s="27">
        <f t="shared" si="38"/>
        <v>76</v>
      </c>
      <c r="BY37" s="7">
        <v>84</v>
      </c>
      <c r="BZ37" s="21">
        <f t="shared" si="39"/>
        <v>195</v>
      </c>
      <c r="CA37" s="98">
        <f t="shared" si="50"/>
        <v>0.56944444444444442</v>
      </c>
      <c r="CB37" s="99">
        <f t="shared" si="52"/>
        <v>0.12962962962962962</v>
      </c>
      <c r="CC37" s="20">
        <v>3.94</v>
      </c>
      <c r="CD37" s="20">
        <v>30.82</v>
      </c>
      <c r="CE37" s="20">
        <v>0.39</v>
      </c>
      <c r="CF37" s="77">
        <f t="shared" si="40"/>
        <v>1.5</v>
      </c>
      <c r="CG37" s="20">
        <v>0.7</v>
      </c>
      <c r="CH37" s="20">
        <v>0.52</v>
      </c>
      <c r="CI37" s="22">
        <v>10318.1</v>
      </c>
      <c r="CJ37" s="20">
        <v>27.96</v>
      </c>
      <c r="CK37" s="20">
        <v>26.62</v>
      </c>
      <c r="CL37" s="20">
        <v>-5.42</v>
      </c>
      <c r="CM37" s="74">
        <v>1000</v>
      </c>
      <c r="CN37" s="29">
        <v>19970.57</v>
      </c>
      <c r="CO37" s="36">
        <f t="shared" si="41"/>
        <v>20970.57</v>
      </c>
      <c r="CP37" s="36">
        <f t="shared" si="42"/>
        <v>1997.057</v>
      </c>
      <c r="CR37" s="15">
        <f t="shared" si="43"/>
        <v>12</v>
      </c>
      <c r="CS37" s="13">
        <f t="shared" si="44"/>
        <v>859.8416666666667</v>
      </c>
      <c r="CT37" s="13">
        <f t="shared" si="45"/>
        <v>1664.2141666666666</v>
      </c>
      <c r="CU37" s="13">
        <f t="shared" si="46"/>
        <v>166.42141666666666</v>
      </c>
      <c r="CW37" s="13">
        <f t="shared" si="47"/>
        <v>10318.1</v>
      </c>
      <c r="CX37" s="13">
        <f t="shared" si="48"/>
        <v>19970.57</v>
      </c>
      <c r="CY37" s="13">
        <f t="shared" si="49"/>
        <v>1997.057</v>
      </c>
    </row>
    <row r="38" spans="1:103" outlineLevel="1" x14ac:dyDescent="0.2">
      <c r="G38" s="39"/>
      <c r="AE38" s="47"/>
      <c r="AO38" s="50"/>
      <c r="AQ38" s="57"/>
      <c r="BR38" s="73"/>
    </row>
    <row r="39" spans="1:103" x14ac:dyDescent="0.2">
      <c r="A39" s="43"/>
      <c r="B39" s="10" t="s">
        <v>122</v>
      </c>
      <c r="C39" s="3" t="s">
        <v>17</v>
      </c>
      <c r="D39" s="3" t="s">
        <v>113</v>
      </c>
      <c r="E39" s="6" t="s">
        <v>19</v>
      </c>
      <c r="F39" s="3" t="s">
        <v>25</v>
      </c>
      <c r="G39" s="5" t="s">
        <v>50</v>
      </c>
      <c r="H39" s="52" t="b">
        <v>0</v>
      </c>
      <c r="J39" s="46" t="s">
        <v>91</v>
      </c>
      <c r="K39" s="46" t="s">
        <v>91</v>
      </c>
      <c r="L39" s="46" t="s">
        <v>91</v>
      </c>
      <c r="M39" s="56" t="b">
        <v>0</v>
      </c>
      <c r="Q39" s="51" t="b">
        <v>1</v>
      </c>
      <c r="R39" s="50" t="s">
        <v>53</v>
      </c>
      <c r="S39" s="55" t="b">
        <v>1</v>
      </c>
      <c r="T39" s="49">
        <v>13</v>
      </c>
      <c r="U39" s="47">
        <v>1.4999999999999999E-2</v>
      </c>
      <c r="V39" s="49">
        <v>75</v>
      </c>
      <c r="W39" s="49">
        <v>-75</v>
      </c>
      <c r="X39" s="47">
        <v>50</v>
      </c>
      <c r="Y39" s="47">
        <v>5</v>
      </c>
      <c r="Z39" s="51" t="b">
        <v>1</v>
      </c>
      <c r="AA39" s="50" t="s">
        <v>92</v>
      </c>
      <c r="AB39" s="54">
        <v>2</v>
      </c>
      <c r="AC39" s="56" t="b">
        <v>0</v>
      </c>
      <c r="AE39" s="56" t="b">
        <v>0</v>
      </c>
      <c r="AG39" s="55" t="b">
        <v>1</v>
      </c>
      <c r="AH39" s="48">
        <v>5</v>
      </c>
      <c r="AI39" s="48">
        <v>8</v>
      </c>
      <c r="AJ39" s="48">
        <v>13</v>
      </c>
      <c r="AK39" s="48">
        <v>21</v>
      </c>
      <c r="AL39" s="52" t="b">
        <v>0</v>
      </c>
      <c r="AM39" s="51" t="b">
        <v>1</v>
      </c>
      <c r="AN39" s="53" t="s">
        <v>34</v>
      </c>
      <c r="AO39" s="60">
        <v>1.0000000000000001E-5</v>
      </c>
      <c r="AP39" s="51" t="b">
        <v>1</v>
      </c>
      <c r="AQ39" s="60">
        <v>1.0000000000000001E-5</v>
      </c>
      <c r="AR39" s="49">
        <v>5</v>
      </c>
      <c r="AS39" s="49">
        <v>8</v>
      </c>
      <c r="AT39" s="49">
        <v>5</v>
      </c>
      <c r="AU39" s="51" t="b">
        <v>1</v>
      </c>
      <c r="AV39" s="47">
        <v>3</v>
      </c>
      <c r="AW39" s="62">
        <v>5</v>
      </c>
      <c r="AX39" s="47">
        <v>1</v>
      </c>
      <c r="AY39" s="51" t="b">
        <v>1</v>
      </c>
      <c r="AZ39" s="45" t="s">
        <v>73</v>
      </c>
      <c r="BA39" s="45">
        <v>4</v>
      </c>
      <c r="BB39" s="49">
        <v>0.05</v>
      </c>
      <c r="BC39" s="49">
        <v>0.5</v>
      </c>
      <c r="BD39" s="52" t="b">
        <v>0</v>
      </c>
      <c r="BE39" s="45" t="s">
        <v>98</v>
      </c>
      <c r="BF39" s="51" t="b">
        <v>1</v>
      </c>
      <c r="BG39" s="45" t="s">
        <v>71</v>
      </c>
      <c r="BH39" s="54">
        <v>0.02</v>
      </c>
      <c r="BI39" s="70" t="s">
        <v>5</v>
      </c>
      <c r="BJ39" s="51" t="b">
        <v>1</v>
      </c>
      <c r="BK39" s="72">
        <v>1.5</v>
      </c>
      <c r="BL39" s="52" t="b">
        <v>0</v>
      </c>
      <c r="BM39" s="70" t="s">
        <v>6</v>
      </c>
      <c r="BN39" s="51" t="b">
        <v>1</v>
      </c>
      <c r="BO39" s="70" t="s">
        <v>15</v>
      </c>
      <c r="BP39" s="71">
        <v>1</v>
      </c>
      <c r="BQ39" s="71">
        <v>0.5</v>
      </c>
      <c r="BR39" s="75" t="str">
        <f t="shared" ref="BR39" si="53">AH39&amp;"/ "&amp;AI39&amp;"/ "&amp;AJ39&amp;"/ "&amp;AK39</f>
        <v>5/ 8/ 13/ 21</v>
      </c>
      <c r="BS39" s="75" t="str">
        <f t="shared" ref="BS39:BS46" si="54">AR39&amp;" / "&amp;AS39&amp;" / "&amp;AT39</f>
        <v>5 / 8 / 5</v>
      </c>
      <c r="BT39" s="75" t="str">
        <f t="shared" ref="BT39:BT46" si="55">BB39&amp;" / "&amp;BC39</f>
        <v>0.05 / 0.5</v>
      </c>
      <c r="BU39" s="7">
        <v>576</v>
      </c>
      <c r="BV39" s="7">
        <v>343</v>
      </c>
      <c r="BW39" s="7">
        <v>281</v>
      </c>
      <c r="BX39" s="27">
        <f t="shared" ref="BX39:BX46" si="56">BV39-BW39</f>
        <v>62</v>
      </c>
      <c r="BY39" s="7">
        <v>55</v>
      </c>
      <c r="BZ39" s="21">
        <f t="shared" ref="BZ39:BZ46" si="57">BU39-SUM(BW39:BY39)</f>
        <v>178</v>
      </c>
      <c r="CA39" s="98">
        <f>IF(BU39=0,0,BV39/BU39)</f>
        <v>0.59548611111111116</v>
      </c>
      <c r="CB39" s="99">
        <f>IF(BU39=0,0,BY39/BU39)</f>
        <v>9.5486111111111105E-2</v>
      </c>
      <c r="CC39" s="20">
        <v>6.16</v>
      </c>
      <c r="CD39" s="20">
        <v>31.03</v>
      </c>
      <c r="CE39" s="20">
        <v>0.45</v>
      </c>
      <c r="CF39" s="77">
        <f t="shared" ref="CF39:CF46" si="58">BK39</f>
        <v>1.5</v>
      </c>
      <c r="CG39" s="20">
        <v>0.65</v>
      </c>
      <c r="CH39" s="20">
        <v>0.47</v>
      </c>
      <c r="CI39" s="22">
        <v>9463</v>
      </c>
      <c r="CJ39" s="20">
        <v>27.59</v>
      </c>
      <c r="CK39" s="20">
        <v>26.1</v>
      </c>
      <c r="CL39" s="20">
        <v>-4</v>
      </c>
      <c r="CM39" s="74">
        <v>1000</v>
      </c>
      <c r="CN39" s="100">
        <v>17837.740000000002</v>
      </c>
      <c r="CO39" s="101">
        <f t="shared" ref="CO39:CO46" si="59">CM39+CN39</f>
        <v>18837.740000000002</v>
      </c>
      <c r="CP39" s="101">
        <f t="shared" ref="CP39:CP46" si="60">CN39/10</f>
        <v>1783.7740000000001</v>
      </c>
      <c r="CR39" s="15">
        <f t="shared" ref="CR39:CR46" si="61">CR$4</f>
        <v>12</v>
      </c>
      <c r="CS39" s="13">
        <f t="shared" ref="CS39:CS46" si="62">CI39/CR39</f>
        <v>788.58333333333337</v>
      </c>
      <c r="CT39" s="13">
        <f t="shared" ref="CT39:CT46" si="63">CN39/CR39</f>
        <v>1486.4783333333335</v>
      </c>
      <c r="CU39" s="13">
        <f t="shared" ref="CU39:CU46" si="64">CT39/10</f>
        <v>148.64783333333335</v>
      </c>
      <c r="CW39" s="13">
        <f t="shared" ref="CW39:CW46" si="65">CI39</f>
        <v>9463</v>
      </c>
      <c r="CX39" s="13">
        <f t="shared" ref="CX39:CX46" si="66">CN39</f>
        <v>17837.740000000002</v>
      </c>
      <c r="CY39" s="13">
        <f t="shared" ref="CY39:CY46" si="67">CP39</f>
        <v>1783.7740000000001</v>
      </c>
    </row>
    <row r="40" spans="1:103" outlineLevel="1" x14ac:dyDescent="0.2">
      <c r="A40" s="43"/>
      <c r="B40" s="10"/>
      <c r="C40" s="3" t="s">
        <v>17</v>
      </c>
      <c r="D40" s="3" t="s">
        <v>113</v>
      </c>
      <c r="E40" s="6" t="s">
        <v>19</v>
      </c>
      <c r="F40" s="3" t="s">
        <v>25</v>
      </c>
      <c r="G40" s="5" t="s">
        <v>50</v>
      </c>
      <c r="H40" s="52" t="b">
        <v>0</v>
      </c>
      <c r="J40" s="46" t="s">
        <v>91</v>
      </c>
      <c r="K40" s="46" t="s">
        <v>91</v>
      </c>
      <c r="L40" s="46" t="s">
        <v>91</v>
      </c>
      <c r="M40" s="56" t="b">
        <v>0</v>
      </c>
      <c r="Q40" s="51" t="b">
        <v>1</v>
      </c>
      <c r="R40" s="50" t="s">
        <v>53</v>
      </c>
      <c r="S40" s="55" t="b">
        <v>1</v>
      </c>
      <c r="T40" s="49">
        <v>13</v>
      </c>
      <c r="U40" s="47">
        <v>1.4999999999999999E-2</v>
      </c>
      <c r="V40" s="49">
        <v>75</v>
      </c>
      <c r="W40" s="49">
        <v>-75</v>
      </c>
      <c r="X40" s="47">
        <v>50</v>
      </c>
      <c r="Y40" s="47">
        <v>5</v>
      </c>
      <c r="Z40" s="51" t="b">
        <v>1</v>
      </c>
      <c r="AA40" s="50" t="s">
        <v>92</v>
      </c>
      <c r="AB40" s="54">
        <v>2</v>
      </c>
      <c r="AC40" s="56" t="b">
        <v>0</v>
      </c>
      <c r="AE40" s="56" t="b">
        <v>0</v>
      </c>
      <c r="AG40" s="55" t="b">
        <v>1</v>
      </c>
      <c r="AH40" s="48">
        <v>5</v>
      </c>
      <c r="AI40" s="48">
        <v>8</v>
      </c>
      <c r="AJ40" s="48">
        <v>13</v>
      </c>
      <c r="AK40" s="48">
        <v>21</v>
      </c>
      <c r="AL40" s="52" t="b">
        <v>0</v>
      </c>
      <c r="AM40" s="51" t="b">
        <v>1</v>
      </c>
      <c r="AN40" s="53" t="s">
        <v>34</v>
      </c>
      <c r="AO40" s="60">
        <v>1.0000000000000001E-5</v>
      </c>
      <c r="AP40" s="51" t="b">
        <v>1</v>
      </c>
      <c r="AQ40" s="60">
        <v>1.0000000000000001E-5</v>
      </c>
      <c r="AR40" s="56">
        <v>5</v>
      </c>
      <c r="AS40" s="56">
        <v>13</v>
      </c>
      <c r="AT40" s="56">
        <v>5</v>
      </c>
      <c r="AU40" s="51" t="b">
        <v>1</v>
      </c>
      <c r="AV40" s="47">
        <v>3</v>
      </c>
      <c r="AW40" s="62">
        <v>5</v>
      </c>
      <c r="AX40" s="47">
        <v>1</v>
      </c>
      <c r="AY40" s="51" t="b">
        <v>1</v>
      </c>
      <c r="AZ40" s="45" t="s">
        <v>73</v>
      </c>
      <c r="BA40" s="45">
        <v>4</v>
      </c>
      <c r="BB40" s="49">
        <v>0.05</v>
      </c>
      <c r="BC40" s="49">
        <v>0.5</v>
      </c>
      <c r="BD40" s="52" t="b">
        <v>0</v>
      </c>
      <c r="BE40" s="45" t="s">
        <v>98</v>
      </c>
      <c r="BF40" s="51" t="b">
        <v>1</v>
      </c>
      <c r="BG40" s="45" t="s">
        <v>71</v>
      </c>
      <c r="BH40" s="54">
        <v>0.02</v>
      </c>
      <c r="BI40" s="70" t="s">
        <v>5</v>
      </c>
      <c r="BJ40" s="51" t="b">
        <v>1</v>
      </c>
      <c r="BK40" s="72">
        <v>1.5</v>
      </c>
      <c r="BL40" s="52" t="b">
        <v>0</v>
      </c>
      <c r="BM40" s="70" t="s">
        <v>6</v>
      </c>
      <c r="BN40" s="51" t="b">
        <v>1</v>
      </c>
      <c r="BO40" s="70" t="s">
        <v>15</v>
      </c>
      <c r="BP40" s="71">
        <v>1</v>
      </c>
      <c r="BQ40" s="71">
        <v>0.5</v>
      </c>
      <c r="BR40" s="75" t="str">
        <f t="shared" ref="BR40:BR41" si="68">AH40&amp;"/ "&amp;AI40&amp;"/ "&amp;AJ40&amp;"/ "&amp;AK40</f>
        <v>5/ 8/ 13/ 21</v>
      </c>
      <c r="BS40" s="75" t="str">
        <f t="shared" si="54"/>
        <v>5 / 13 / 5</v>
      </c>
      <c r="BT40" s="75" t="str">
        <f t="shared" si="55"/>
        <v>0.05 / 0.5</v>
      </c>
      <c r="BU40" s="7">
        <v>597</v>
      </c>
      <c r="BV40" s="7">
        <v>348</v>
      </c>
      <c r="BW40" s="7">
        <v>286</v>
      </c>
      <c r="BX40" s="27">
        <f t="shared" si="56"/>
        <v>62</v>
      </c>
      <c r="BY40" s="7">
        <v>68</v>
      </c>
      <c r="BZ40" s="21">
        <f t="shared" si="57"/>
        <v>181</v>
      </c>
      <c r="CA40" s="98">
        <f t="shared" ref="CA40:CA46" si="69">IF(BU40=0,0,BV40/BU40)</f>
        <v>0.58291457286432158</v>
      </c>
      <c r="CB40" s="99">
        <f t="shared" ref="CB40:CB46" si="70">IF(BU40=0,0,BY40/BU40)</f>
        <v>0.11390284757118928</v>
      </c>
      <c r="CC40" s="20">
        <v>4.8099999999999996</v>
      </c>
      <c r="CD40" s="20">
        <v>28.31</v>
      </c>
      <c r="CE40" s="20">
        <v>0.41</v>
      </c>
      <c r="CF40" s="77">
        <f t="shared" si="58"/>
        <v>1.5</v>
      </c>
      <c r="CG40" s="20">
        <v>0.65</v>
      </c>
      <c r="CH40" s="20">
        <v>0.48</v>
      </c>
      <c r="CI40" s="22">
        <v>9613.7999999999993</v>
      </c>
      <c r="CJ40" s="20">
        <v>27.63</v>
      </c>
      <c r="CK40" s="20">
        <v>25.97</v>
      </c>
      <c r="CL40" s="20">
        <v>-4</v>
      </c>
      <c r="CM40" s="74">
        <v>1000</v>
      </c>
      <c r="CN40" s="22">
        <v>16902</v>
      </c>
      <c r="CO40" s="35">
        <f t="shared" si="59"/>
        <v>17902</v>
      </c>
      <c r="CP40" s="35">
        <f t="shared" si="60"/>
        <v>1690.2</v>
      </c>
      <c r="CR40" s="15">
        <f t="shared" si="61"/>
        <v>12</v>
      </c>
      <c r="CS40" s="13">
        <f t="shared" si="62"/>
        <v>801.15</v>
      </c>
      <c r="CT40" s="13">
        <f t="shared" si="63"/>
        <v>1408.5</v>
      </c>
      <c r="CU40" s="13">
        <f t="shared" si="64"/>
        <v>140.85</v>
      </c>
      <c r="CW40" s="13">
        <f t="shared" si="65"/>
        <v>9613.7999999999993</v>
      </c>
      <c r="CX40" s="13">
        <f t="shared" si="66"/>
        <v>16902</v>
      </c>
      <c r="CY40" s="13">
        <f t="shared" si="67"/>
        <v>1690.2</v>
      </c>
    </row>
    <row r="41" spans="1:103" outlineLevel="1" x14ac:dyDescent="0.2">
      <c r="A41" s="43"/>
      <c r="B41" s="10"/>
      <c r="C41" s="3" t="s">
        <v>17</v>
      </c>
      <c r="D41" s="3" t="s">
        <v>113</v>
      </c>
      <c r="E41" s="6" t="s">
        <v>19</v>
      </c>
      <c r="F41" s="3" t="s">
        <v>25</v>
      </c>
      <c r="G41" s="5" t="s">
        <v>50</v>
      </c>
      <c r="H41" s="52" t="b">
        <v>0</v>
      </c>
      <c r="J41" s="46" t="s">
        <v>91</v>
      </c>
      <c r="K41" s="46" t="s">
        <v>91</v>
      </c>
      <c r="L41" s="46" t="s">
        <v>91</v>
      </c>
      <c r="M41" s="56" t="b">
        <v>0</v>
      </c>
      <c r="Q41" s="51" t="b">
        <v>1</v>
      </c>
      <c r="R41" s="50" t="s">
        <v>53</v>
      </c>
      <c r="S41" s="55" t="b">
        <v>1</v>
      </c>
      <c r="T41" s="49">
        <v>13</v>
      </c>
      <c r="U41" s="47">
        <v>1.4999999999999999E-2</v>
      </c>
      <c r="V41" s="49">
        <v>75</v>
      </c>
      <c r="W41" s="49">
        <v>-75</v>
      </c>
      <c r="X41" s="47">
        <v>50</v>
      </c>
      <c r="Y41" s="47">
        <v>5</v>
      </c>
      <c r="Z41" s="51" t="b">
        <v>1</v>
      </c>
      <c r="AA41" s="50" t="s">
        <v>92</v>
      </c>
      <c r="AB41" s="54">
        <v>2</v>
      </c>
      <c r="AC41" s="56" t="b">
        <v>0</v>
      </c>
      <c r="AE41" s="56" t="b">
        <v>0</v>
      </c>
      <c r="AG41" s="55" t="b">
        <v>1</v>
      </c>
      <c r="AH41" s="48">
        <v>5</v>
      </c>
      <c r="AI41" s="48">
        <v>8</v>
      </c>
      <c r="AJ41" s="48">
        <v>13</v>
      </c>
      <c r="AK41" s="48">
        <v>21</v>
      </c>
      <c r="AL41" s="52" t="b">
        <v>0</v>
      </c>
      <c r="AM41" s="51" t="b">
        <v>1</v>
      </c>
      <c r="AN41" s="53" t="s">
        <v>34</v>
      </c>
      <c r="AO41" s="60">
        <v>1.0000000000000001E-5</v>
      </c>
      <c r="AP41" s="51" t="b">
        <v>1</v>
      </c>
      <c r="AQ41" s="60">
        <v>1.0000000000000001E-5</v>
      </c>
      <c r="AR41" s="56">
        <v>5</v>
      </c>
      <c r="AS41" s="56">
        <v>13</v>
      </c>
      <c r="AT41" s="56">
        <v>8</v>
      </c>
      <c r="AU41" s="51" t="b">
        <v>1</v>
      </c>
      <c r="AV41" s="47">
        <v>3</v>
      </c>
      <c r="AW41" s="62">
        <v>5</v>
      </c>
      <c r="AX41" s="47">
        <v>1</v>
      </c>
      <c r="AY41" s="51" t="b">
        <v>1</v>
      </c>
      <c r="AZ41" s="45" t="s">
        <v>73</v>
      </c>
      <c r="BA41" s="45">
        <v>4</v>
      </c>
      <c r="BB41" s="49">
        <v>0.05</v>
      </c>
      <c r="BC41" s="49">
        <v>0.5</v>
      </c>
      <c r="BD41" s="52" t="b">
        <v>0</v>
      </c>
      <c r="BE41" s="45" t="s">
        <v>98</v>
      </c>
      <c r="BF41" s="51" t="b">
        <v>1</v>
      </c>
      <c r="BG41" s="45" t="s">
        <v>71</v>
      </c>
      <c r="BH41" s="54">
        <v>0.02</v>
      </c>
      <c r="BI41" s="70" t="s">
        <v>5</v>
      </c>
      <c r="BJ41" s="51" t="b">
        <v>1</v>
      </c>
      <c r="BK41" s="72">
        <v>1.5</v>
      </c>
      <c r="BL41" s="52" t="b">
        <v>0</v>
      </c>
      <c r="BM41" s="70" t="s">
        <v>6</v>
      </c>
      <c r="BN41" s="51" t="b">
        <v>1</v>
      </c>
      <c r="BO41" s="70" t="s">
        <v>15</v>
      </c>
      <c r="BP41" s="71">
        <v>1</v>
      </c>
      <c r="BQ41" s="71">
        <v>0.5</v>
      </c>
      <c r="BR41" s="75" t="str">
        <f t="shared" si="68"/>
        <v>5/ 8/ 13/ 21</v>
      </c>
      <c r="BS41" s="75" t="str">
        <f t="shared" si="54"/>
        <v>5 / 13 / 8</v>
      </c>
      <c r="BT41" s="75" t="str">
        <f t="shared" si="55"/>
        <v>0.05 / 0.5</v>
      </c>
      <c r="BU41" s="7">
        <v>596</v>
      </c>
      <c r="BV41" s="7">
        <v>350</v>
      </c>
      <c r="BW41" s="7">
        <v>286</v>
      </c>
      <c r="BX41" s="27">
        <f t="shared" si="56"/>
        <v>64</v>
      </c>
      <c r="BY41" s="7">
        <v>69</v>
      </c>
      <c r="BZ41" s="21">
        <f t="shared" si="57"/>
        <v>177</v>
      </c>
      <c r="CA41" s="98">
        <f t="shared" si="69"/>
        <v>0.58724832214765099</v>
      </c>
      <c r="CB41" s="99">
        <f t="shared" si="70"/>
        <v>0.11577181208053691</v>
      </c>
      <c r="CC41" s="20">
        <v>4.75</v>
      </c>
      <c r="CD41" s="20">
        <v>28.68</v>
      </c>
      <c r="CE41" s="20">
        <v>0.41</v>
      </c>
      <c r="CF41" s="77">
        <f t="shared" si="58"/>
        <v>1.5</v>
      </c>
      <c r="CG41" s="20">
        <v>0.65</v>
      </c>
      <c r="CH41" s="20">
        <v>0.47</v>
      </c>
      <c r="CI41" s="22">
        <v>9723.2999999999993</v>
      </c>
      <c r="CJ41" s="20">
        <v>27.78</v>
      </c>
      <c r="CK41" s="20">
        <v>26.39</v>
      </c>
      <c r="CL41" s="20">
        <v>-5.48</v>
      </c>
      <c r="CM41" s="74">
        <v>1000</v>
      </c>
      <c r="CN41" s="22">
        <v>17092.189999999999</v>
      </c>
      <c r="CO41" s="35">
        <f t="shared" si="59"/>
        <v>18092.189999999999</v>
      </c>
      <c r="CP41" s="35">
        <f t="shared" si="60"/>
        <v>1709.2189999999998</v>
      </c>
      <c r="CR41" s="15">
        <f t="shared" si="61"/>
        <v>12</v>
      </c>
      <c r="CS41" s="13">
        <f t="shared" si="62"/>
        <v>810.27499999999998</v>
      </c>
      <c r="CT41" s="13">
        <f t="shared" si="63"/>
        <v>1424.3491666666666</v>
      </c>
      <c r="CU41" s="13">
        <f t="shared" si="64"/>
        <v>142.43491666666665</v>
      </c>
      <c r="CW41" s="13">
        <f t="shared" si="65"/>
        <v>9723.2999999999993</v>
      </c>
      <c r="CX41" s="13">
        <f t="shared" si="66"/>
        <v>17092.189999999999</v>
      </c>
      <c r="CY41" s="13">
        <f t="shared" si="67"/>
        <v>1709.2189999999998</v>
      </c>
    </row>
    <row r="42" spans="1:103" outlineLevel="1" x14ac:dyDescent="0.2">
      <c r="A42" s="43"/>
      <c r="B42" s="10"/>
      <c r="C42" s="3" t="s">
        <v>17</v>
      </c>
      <c r="D42" s="3" t="s">
        <v>113</v>
      </c>
      <c r="E42" s="6" t="s">
        <v>19</v>
      </c>
      <c r="F42" s="3" t="s">
        <v>25</v>
      </c>
      <c r="G42" s="5" t="s">
        <v>50</v>
      </c>
      <c r="H42" s="52" t="b">
        <v>0</v>
      </c>
      <c r="J42" s="46" t="s">
        <v>91</v>
      </c>
      <c r="K42" s="46" t="s">
        <v>91</v>
      </c>
      <c r="L42" s="46" t="s">
        <v>91</v>
      </c>
      <c r="M42" s="56" t="b">
        <v>0</v>
      </c>
      <c r="Q42" s="51" t="b">
        <v>1</v>
      </c>
      <c r="R42" s="50" t="s">
        <v>53</v>
      </c>
      <c r="S42" s="55" t="b">
        <v>1</v>
      </c>
      <c r="T42" s="49">
        <v>13</v>
      </c>
      <c r="U42" s="47">
        <v>1.4999999999999999E-2</v>
      </c>
      <c r="V42" s="49">
        <v>75</v>
      </c>
      <c r="W42" s="49">
        <v>-75</v>
      </c>
      <c r="X42" s="47">
        <v>50</v>
      </c>
      <c r="Y42" s="47">
        <v>5</v>
      </c>
      <c r="Z42" s="51" t="b">
        <v>1</v>
      </c>
      <c r="AA42" s="50" t="s">
        <v>92</v>
      </c>
      <c r="AB42" s="54">
        <v>2</v>
      </c>
      <c r="AC42" s="56" t="b">
        <v>0</v>
      </c>
      <c r="AE42" s="56" t="b">
        <v>0</v>
      </c>
      <c r="AG42" s="55" t="b">
        <v>1</v>
      </c>
      <c r="AH42" s="48">
        <v>5</v>
      </c>
      <c r="AI42" s="48">
        <v>8</v>
      </c>
      <c r="AJ42" s="48">
        <v>13</v>
      </c>
      <c r="AK42" s="48">
        <v>21</v>
      </c>
      <c r="AL42" s="52" t="b">
        <v>0</v>
      </c>
      <c r="AM42" s="51" t="b">
        <v>1</v>
      </c>
      <c r="AN42" s="53" t="s">
        <v>34</v>
      </c>
      <c r="AO42" s="60">
        <v>1.0000000000000001E-5</v>
      </c>
      <c r="AP42" s="51" t="b">
        <v>1</v>
      </c>
      <c r="AQ42" s="60">
        <v>1.0000000000000001E-5</v>
      </c>
      <c r="AR42" s="65">
        <v>8</v>
      </c>
      <c r="AS42" s="65">
        <v>13</v>
      </c>
      <c r="AT42" s="65">
        <v>8</v>
      </c>
      <c r="AU42" s="51" t="b">
        <v>1</v>
      </c>
      <c r="AV42" s="47">
        <v>3</v>
      </c>
      <c r="AW42" s="62">
        <v>5</v>
      </c>
      <c r="AX42" s="47">
        <v>1</v>
      </c>
      <c r="AY42" s="51" t="b">
        <v>1</v>
      </c>
      <c r="AZ42" s="45" t="s">
        <v>73</v>
      </c>
      <c r="BA42" s="45">
        <v>4</v>
      </c>
      <c r="BB42" s="49">
        <v>0.05</v>
      </c>
      <c r="BC42" s="49">
        <v>0.5</v>
      </c>
      <c r="BD42" s="52" t="b">
        <v>0</v>
      </c>
      <c r="BE42" s="45" t="s">
        <v>98</v>
      </c>
      <c r="BF42" s="51" t="b">
        <v>1</v>
      </c>
      <c r="BG42" s="45" t="s">
        <v>71</v>
      </c>
      <c r="BH42" s="54">
        <v>0.02</v>
      </c>
      <c r="BI42" s="70" t="s">
        <v>5</v>
      </c>
      <c r="BJ42" s="51" t="b">
        <v>1</v>
      </c>
      <c r="BK42" s="72">
        <v>1.5</v>
      </c>
      <c r="BL42" s="52" t="b">
        <v>0</v>
      </c>
      <c r="BM42" s="70" t="s">
        <v>6</v>
      </c>
      <c r="BN42" s="51" t="b">
        <v>1</v>
      </c>
      <c r="BO42" s="70" t="s">
        <v>15</v>
      </c>
      <c r="BP42" s="71">
        <v>1</v>
      </c>
      <c r="BQ42" s="71">
        <v>0.5</v>
      </c>
      <c r="BR42" s="75" t="str">
        <f t="shared" ref="BR42:BR46" si="71">AH42&amp;"/ "&amp;AI42&amp;"/ "&amp;AJ42&amp;"/ "&amp;AK42</f>
        <v>5/ 8/ 13/ 21</v>
      </c>
      <c r="BS42" s="75" t="str">
        <f t="shared" si="54"/>
        <v>8 / 13 / 8</v>
      </c>
      <c r="BT42" s="75" t="str">
        <f t="shared" si="55"/>
        <v>0.05 / 0.5</v>
      </c>
      <c r="BU42" s="7">
        <v>596</v>
      </c>
      <c r="BV42" s="7">
        <v>350</v>
      </c>
      <c r="BW42" s="7">
        <v>286</v>
      </c>
      <c r="BX42" s="27">
        <f t="shared" si="56"/>
        <v>64</v>
      </c>
      <c r="BY42" s="7">
        <v>69</v>
      </c>
      <c r="BZ42" s="21">
        <f t="shared" si="57"/>
        <v>177</v>
      </c>
      <c r="CA42" s="98">
        <f t="shared" si="69"/>
        <v>0.58724832214765099</v>
      </c>
      <c r="CB42" s="99">
        <f t="shared" si="70"/>
        <v>0.11577181208053691</v>
      </c>
      <c r="CC42" s="20">
        <v>4.75</v>
      </c>
      <c r="CD42" s="20">
        <v>28.68</v>
      </c>
      <c r="CE42" s="20">
        <v>0.41</v>
      </c>
      <c r="CF42" s="77">
        <f t="shared" si="58"/>
        <v>1.5</v>
      </c>
      <c r="CG42" s="20">
        <v>0.65</v>
      </c>
      <c r="CH42" s="20">
        <v>0.47</v>
      </c>
      <c r="CI42" s="22">
        <v>9723.2999999999993</v>
      </c>
      <c r="CJ42" s="20">
        <v>27.78</v>
      </c>
      <c r="CK42" s="20">
        <v>26.39</v>
      </c>
      <c r="CL42" s="20">
        <v>-5.48</v>
      </c>
      <c r="CM42" s="74">
        <v>1000</v>
      </c>
      <c r="CN42" s="22">
        <v>17092.189999999999</v>
      </c>
      <c r="CO42" s="35">
        <f t="shared" si="59"/>
        <v>18092.189999999999</v>
      </c>
      <c r="CP42" s="35">
        <f t="shared" si="60"/>
        <v>1709.2189999999998</v>
      </c>
      <c r="CR42" s="15">
        <f t="shared" si="61"/>
        <v>12</v>
      </c>
      <c r="CS42" s="13">
        <f t="shared" si="62"/>
        <v>810.27499999999998</v>
      </c>
      <c r="CT42" s="13">
        <f t="shared" si="63"/>
        <v>1424.3491666666666</v>
      </c>
      <c r="CU42" s="13">
        <f t="shared" si="64"/>
        <v>142.43491666666665</v>
      </c>
      <c r="CW42" s="13">
        <f t="shared" si="65"/>
        <v>9723.2999999999993</v>
      </c>
      <c r="CX42" s="13">
        <f t="shared" si="66"/>
        <v>17092.189999999999</v>
      </c>
      <c r="CY42" s="13">
        <f t="shared" si="67"/>
        <v>1709.2189999999998</v>
      </c>
    </row>
    <row r="43" spans="1:103" outlineLevel="1" x14ac:dyDescent="0.2">
      <c r="A43" s="43"/>
      <c r="B43" s="10"/>
      <c r="C43" s="3" t="s">
        <v>17</v>
      </c>
      <c r="D43" s="3" t="s">
        <v>113</v>
      </c>
      <c r="E43" s="6" t="s">
        <v>19</v>
      </c>
      <c r="F43" s="3" t="s">
        <v>25</v>
      </c>
      <c r="G43" s="5" t="s">
        <v>50</v>
      </c>
      <c r="H43" s="52" t="b">
        <v>0</v>
      </c>
      <c r="J43" s="46" t="s">
        <v>91</v>
      </c>
      <c r="K43" s="46" t="s">
        <v>91</v>
      </c>
      <c r="L43" s="46" t="s">
        <v>91</v>
      </c>
      <c r="M43" s="56" t="b">
        <v>0</v>
      </c>
      <c r="Q43" s="51" t="b">
        <v>1</v>
      </c>
      <c r="R43" s="50" t="s">
        <v>53</v>
      </c>
      <c r="S43" s="55" t="b">
        <v>1</v>
      </c>
      <c r="T43" s="49">
        <v>13</v>
      </c>
      <c r="U43" s="47">
        <v>1.4999999999999999E-2</v>
      </c>
      <c r="V43" s="49">
        <v>75</v>
      </c>
      <c r="W43" s="49">
        <v>-75</v>
      </c>
      <c r="X43" s="47">
        <v>50</v>
      </c>
      <c r="Y43" s="47">
        <v>5</v>
      </c>
      <c r="Z43" s="51" t="b">
        <v>1</v>
      </c>
      <c r="AA43" s="50" t="s">
        <v>92</v>
      </c>
      <c r="AB43" s="54">
        <v>2</v>
      </c>
      <c r="AC43" s="56" t="b">
        <v>0</v>
      </c>
      <c r="AE43" s="56" t="b">
        <v>0</v>
      </c>
      <c r="AG43" s="55" t="b">
        <v>1</v>
      </c>
      <c r="AH43" s="48">
        <v>5</v>
      </c>
      <c r="AI43" s="48">
        <v>8</v>
      </c>
      <c r="AJ43" s="48">
        <v>13</v>
      </c>
      <c r="AK43" s="48">
        <v>21</v>
      </c>
      <c r="AL43" s="52" t="b">
        <v>0</v>
      </c>
      <c r="AM43" s="51" t="b">
        <v>1</v>
      </c>
      <c r="AN43" s="53" t="s">
        <v>34</v>
      </c>
      <c r="AO43" s="60">
        <v>1.0000000000000001E-5</v>
      </c>
      <c r="AP43" s="51" t="b">
        <v>1</v>
      </c>
      <c r="AQ43" s="60">
        <v>1.0000000000000001E-5</v>
      </c>
      <c r="AR43" s="65">
        <v>8</v>
      </c>
      <c r="AS43" s="65">
        <v>13</v>
      </c>
      <c r="AT43" s="65">
        <v>11</v>
      </c>
      <c r="AU43" s="51" t="b">
        <v>1</v>
      </c>
      <c r="AV43" s="47">
        <v>3</v>
      </c>
      <c r="AW43" s="62">
        <v>5</v>
      </c>
      <c r="AX43" s="47">
        <v>1</v>
      </c>
      <c r="AY43" s="51" t="b">
        <v>1</v>
      </c>
      <c r="AZ43" s="45" t="s">
        <v>73</v>
      </c>
      <c r="BA43" s="45">
        <v>4</v>
      </c>
      <c r="BB43" s="49">
        <v>0.05</v>
      </c>
      <c r="BC43" s="49">
        <v>0.5</v>
      </c>
      <c r="BD43" s="52" t="b">
        <v>0</v>
      </c>
      <c r="BE43" s="45" t="s">
        <v>98</v>
      </c>
      <c r="BF43" s="51" t="b">
        <v>1</v>
      </c>
      <c r="BG43" s="45" t="s">
        <v>71</v>
      </c>
      <c r="BH43" s="54">
        <v>0.02</v>
      </c>
      <c r="BI43" s="70" t="s">
        <v>5</v>
      </c>
      <c r="BJ43" s="51" t="b">
        <v>1</v>
      </c>
      <c r="BK43" s="72">
        <v>1.5</v>
      </c>
      <c r="BL43" s="52" t="b">
        <v>0</v>
      </c>
      <c r="BM43" s="70" t="s">
        <v>6</v>
      </c>
      <c r="BN43" s="51" t="b">
        <v>1</v>
      </c>
      <c r="BO43" s="70" t="s">
        <v>15</v>
      </c>
      <c r="BP43" s="71">
        <v>1</v>
      </c>
      <c r="BQ43" s="71">
        <v>0.5</v>
      </c>
      <c r="BR43" s="75" t="str">
        <f t="shared" si="71"/>
        <v>5/ 8/ 13/ 21</v>
      </c>
      <c r="BS43" s="75" t="str">
        <f t="shared" si="54"/>
        <v>8 / 13 / 11</v>
      </c>
      <c r="BT43" s="75" t="str">
        <f t="shared" si="55"/>
        <v>0.05 / 0.5</v>
      </c>
      <c r="BU43" s="7">
        <v>590</v>
      </c>
      <c r="BV43" s="7">
        <v>348</v>
      </c>
      <c r="BW43" s="7">
        <v>285</v>
      </c>
      <c r="BX43" s="27">
        <f t="shared" si="56"/>
        <v>63</v>
      </c>
      <c r="BY43" s="7">
        <v>67</v>
      </c>
      <c r="BZ43" s="21">
        <f t="shared" si="57"/>
        <v>175</v>
      </c>
      <c r="CA43" s="98">
        <f t="shared" si="69"/>
        <v>0.5898305084745763</v>
      </c>
      <c r="CB43" s="99">
        <f t="shared" si="70"/>
        <v>0.11355932203389831</v>
      </c>
      <c r="CC43" s="20">
        <v>4.88</v>
      </c>
      <c r="CD43" s="20">
        <v>29.13</v>
      </c>
      <c r="CE43" s="20">
        <v>0.41</v>
      </c>
      <c r="CF43" s="77">
        <f t="shared" si="58"/>
        <v>1.5</v>
      </c>
      <c r="CG43" s="20">
        <v>0.65</v>
      </c>
      <c r="CH43" s="20">
        <v>0.48</v>
      </c>
      <c r="CI43" s="22">
        <v>9646.9</v>
      </c>
      <c r="CJ43" s="20">
        <v>27.72</v>
      </c>
      <c r="CK43" s="20">
        <v>26.08</v>
      </c>
      <c r="CL43" s="20">
        <v>-5.48</v>
      </c>
      <c r="CM43" s="74">
        <v>1000</v>
      </c>
      <c r="CN43" s="22">
        <v>17188.259999999998</v>
      </c>
      <c r="CO43" s="35">
        <f t="shared" si="59"/>
        <v>18188.259999999998</v>
      </c>
      <c r="CP43" s="35">
        <f t="shared" si="60"/>
        <v>1718.8259999999998</v>
      </c>
      <c r="CR43" s="15">
        <f t="shared" si="61"/>
        <v>12</v>
      </c>
      <c r="CS43" s="13">
        <f t="shared" si="62"/>
        <v>803.9083333333333</v>
      </c>
      <c r="CT43" s="13">
        <f t="shared" si="63"/>
        <v>1432.3549999999998</v>
      </c>
      <c r="CU43" s="13">
        <f t="shared" si="64"/>
        <v>143.23549999999997</v>
      </c>
      <c r="CW43" s="13">
        <f t="shared" si="65"/>
        <v>9646.9</v>
      </c>
      <c r="CX43" s="13">
        <f t="shared" si="66"/>
        <v>17188.259999999998</v>
      </c>
      <c r="CY43" s="13">
        <f t="shared" si="67"/>
        <v>1718.8259999999998</v>
      </c>
    </row>
    <row r="44" spans="1:103" outlineLevel="1" x14ac:dyDescent="0.2">
      <c r="A44" s="43"/>
      <c r="B44" s="10"/>
      <c r="C44" s="3" t="s">
        <v>17</v>
      </c>
      <c r="D44" s="3" t="s">
        <v>113</v>
      </c>
      <c r="E44" s="6" t="s">
        <v>19</v>
      </c>
      <c r="F44" s="3" t="s">
        <v>25</v>
      </c>
      <c r="G44" s="5" t="s">
        <v>50</v>
      </c>
      <c r="H44" s="52" t="b">
        <v>0</v>
      </c>
      <c r="J44" s="46" t="s">
        <v>91</v>
      </c>
      <c r="K44" s="46" t="s">
        <v>91</v>
      </c>
      <c r="L44" s="46" t="s">
        <v>91</v>
      </c>
      <c r="M44" s="56" t="b">
        <v>0</v>
      </c>
      <c r="Q44" s="51" t="b">
        <v>1</v>
      </c>
      <c r="R44" s="50" t="s">
        <v>53</v>
      </c>
      <c r="S44" s="55" t="b">
        <v>1</v>
      </c>
      <c r="T44" s="49">
        <v>13</v>
      </c>
      <c r="U44" s="47">
        <v>1.4999999999999999E-2</v>
      </c>
      <c r="V44" s="49">
        <v>75</v>
      </c>
      <c r="W44" s="49">
        <v>-75</v>
      </c>
      <c r="X44" s="47">
        <v>50</v>
      </c>
      <c r="Y44" s="47">
        <v>5</v>
      </c>
      <c r="Z44" s="51" t="b">
        <v>1</v>
      </c>
      <c r="AA44" s="50" t="s">
        <v>92</v>
      </c>
      <c r="AB44" s="54">
        <v>2</v>
      </c>
      <c r="AC44" s="56" t="b">
        <v>0</v>
      </c>
      <c r="AE44" s="56" t="b">
        <v>0</v>
      </c>
      <c r="AG44" s="55" t="b">
        <v>1</v>
      </c>
      <c r="AH44" s="48">
        <v>5</v>
      </c>
      <c r="AI44" s="48">
        <v>8</v>
      </c>
      <c r="AJ44" s="48">
        <v>13</v>
      </c>
      <c r="AK44" s="48">
        <v>21</v>
      </c>
      <c r="AL44" s="52" t="b">
        <v>0</v>
      </c>
      <c r="AM44" s="51" t="b">
        <v>1</v>
      </c>
      <c r="AN44" s="53" t="s">
        <v>34</v>
      </c>
      <c r="AO44" s="60">
        <v>1.0000000000000001E-5</v>
      </c>
      <c r="AP44" s="51" t="b">
        <v>1</v>
      </c>
      <c r="AQ44" s="60">
        <v>1.0000000000000001E-5</v>
      </c>
      <c r="AR44" s="66">
        <v>8</v>
      </c>
      <c r="AS44" s="66">
        <v>17</v>
      </c>
      <c r="AT44" s="66">
        <v>9</v>
      </c>
      <c r="AU44" s="51" t="b">
        <v>1</v>
      </c>
      <c r="AV44" s="47">
        <v>3</v>
      </c>
      <c r="AW44" s="62">
        <v>5</v>
      </c>
      <c r="AX44" s="47">
        <v>1</v>
      </c>
      <c r="AY44" s="51" t="b">
        <v>1</v>
      </c>
      <c r="AZ44" s="45" t="s">
        <v>73</v>
      </c>
      <c r="BA44" s="45">
        <v>4</v>
      </c>
      <c r="BB44" s="49">
        <v>0.05</v>
      </c>
      <c r="BC44" s="49">
        <v>0.5</v>
      </c>
      <c r="BD44" s="52" t="b">
        <v>0</v>
      </c>
      <c r="BE44" s="45" t="s">
        <v>98</v>
      </c>
      <c r="BF44" s="51" t="b">
        <v>1</v>
      </c>
      <c r="BG44" s="45" t="s">
        <v>71</v>
      </c>
      <c r="BH44" s="54">
        <v>0.02</v>
      </c>
      <c r="BI44" s="70" t="s">
        <v>5</v>
      </c>
      <c r="BJ44" s="51" t="b">
        <v>1</v>
      </c>
      <c r="BK44" s="72">
        <v>1.5</v>
      </c>
      <c r="BL44" s="52" t="b">
        <v>0</v>
      </c>
      <c r="BM44" s="70" t="s">
        <v>6</v>
      </c>
      <c r="BN44" s="51" t="b">
        <v>1</v>
      </c>
      <c r="BO44" s="70" t="s">
        <v>15</v>
      </c>
      <c r="BP44" s="71">
        <v>1</v>
      </c>
      <c r="BQ44" s="71">
        <v>0.5</v>
      </c>
      <c r="BR44" s="75" t="str">
        <f t="shared" si="71"/>
        <v>5/ 8/ 13/ 21</v>
      </c>
      <c r="BS44" s="75" t="str">
        <f t="shared" si="54"/>
        <v>8 / 17 / 9</v>
      </c>
      <c r="BT44" s="75" t="str">
        <f t="shared" si="55"/>
        <v>0.05 / 0.5</v>
      </c>
      <c r="BU44" s="7">
        <v>582</v>
      </c>
      <c r="BV44" s="7">
        <v>346</v>
      </c>
      <c r="BW44" s="7">
        <v>285</v>
      </c>
      <c r="BX44" s="27">
        <f t="shared" si="56"/>
        <v>61</v>
      </c>
      <c r="BY44" s="7">
        <v>67</v>
      </c>
      <c r="BZ44" s="21">
        <f t="shared" si="57"/>
        <v>169</v>
      </c>
      <c r="CA44" s="98">
        <f t="shared" si="69"/>
        <v>0.59450171821305842</v>
      </c>
      <c r="CB44" s="99">
        <f t="shared" si="70"/>
        <v>0.11512027491408934</v>
      </c>
      <c r="CC44" s="20">
        <v>4.8899999999999997</v>
      </c>
      <c r="CD44" s="20">
        <v>29.27</v>
      </c>
      <c r="CE44" s="20">
        <v>0.42</v>
      </c>
      <c r="CF44" s="77">
        <f t="shared" si="58"/>
        <v>1.5</v>
      </c>
      <c r="CG44" s="20">
        <v>0.65</v>
      </c>
      <c r="CH44" s="20">
        <v>0.48</v>
      </c>
      <c r="CI44" s="22">
        <v>9527.6</v>
      </c>
      <c r="CJ44" s="20">
        <v>27.54</v>
      </c>
      <c r="CK44" s="20">
        <v>26.02</v>
      </c>
      <c r="CL44" s="20">
        <v>-5.48</v>
      </c>
      <c r="CM44" s="74">
        <v>1000</v>
      </c>
      <c r="CN44" s="22">
        <v>17032.53</v>
      </c>
      <c r="CO44" s="35">
        <f t="shared" si="59"/>
        <v>18032.53</v>
      </c>
      <c r="CP44" s="35">
        <f t="shared" si="60"/>
        <v>1703.2529999999999</v>
      </c>
      <c r="CR44" s="15">
        <f t="shared" si="61"/>
        <v>12</v>
      </c>
      <c r="CS44" s="13">
        <f t="shared" si="62"/>
        <v>793.9666666666667</v>
      </c>
      <c r="CT44" s="13">
        <f t="shared" si="63"/>
        <v>1419.3774999999998</v>
      </c>
      <c r="CU44" s="13">
        <f t="shared" si="64"/>
        <v>141.93774999999999</v>
      </c>
      <c r="CW44" s="13">
        <f t="shared" si="65"/>
        <v>9527.6</v>
      </c>
      <c r="CX44" s="13">
        <f t="shared" si="66"/>
        <v>17032.53</v>
      </c>
      <c r="CY44" s="13">
        <f t="shared" si="67"/>
        <v>1703.2529999999999</v>
      </c>
    </row>
    <row r="45" spans="1:103" outlineLevel="1" x14ac:dyDescent="0.2">
      <c r="A45" s="43"/>
      <c r="B45" s="10"/>
      <c r="C45" s="3" t="s">
        <v>17</v>
      </c>
      <c r="D45" s="3" t="s">
        <v>113</v>
      </c>
      <c r="E45" s="6" t="s">
        <v>19</v>
      </c>
      <c r="F45" s="3" t="s">
        <v>25</v>
      </c>
      <c r="G45" s="5" t="s">
        <v>50</v>
      </c>
      <c r="H45" s="52" t="b">
        <v>0</v>
      </c>
      <c r="J45" s="46" t="s">
        <v>91</v>
      </c>
      <c r="K45" s="46" t="s">
        <v>91</v>
      </c>
      <c r="L45" s="46" t="s">
        <v>91</v>
      </c>
      <c r="M45" s="56" t="b">
        <v>0</v>
      </c>
      <c r="Q45" s="51" t="b">
        <v>1</v>
      </c>
      <c r="R45" s="50" t="s">
        <v>53</v>
      </c>
      <c r="S45" s="55" t="b">
        <v>1</v>
      </c>
      <c r="T45" s="49">
        <v>13</v>
      </c>
      <c r="U45" s="47">
        <v>1.4999999999999999E-2</v>
      </c>
      <c r="V45" s="49">
        <v>75</v>
      </c>
      <c r="W45" s="49">
        <v>-75</v>
      </c>
      <c r="X45" s="47">
        <v>50</v>
      </c>
      <c r="Y45" s="47">
        <v>5</v>
      </c>
      <c r="Z45" s="51" t="b">
        <v>1</v>
      </c>
      <c r="AA45" s="50" t="s">
        <v>92</v>
      </c>
      <c r="AB45" s="54">
        <v>2</v>
      </c>
      <c r="AC45" s="56" t="b">
        <v>0</v>
      </c>
      <c r="AE45" s="56" t="b">
        <v>0</v>
      </c>
      <c r="AG45" s="55" t="b">
        <v>1</v>
      </c>
      <c r="AH45" s="48">
        <v>5</v>
      </c>
      <c r="AI45" s="48">
        <v>8</v>
      </c>
      <c r="AJ45" s="48">
        <v>13</v>
      </c>
      <c r="AK45" s="48">
        <v>21</v>
      </c>
      <c r="AL45" s="52" t="b">
        <v>0</v>
      </c>
      <c r="AM45" s="51" t="b">
        <v>1</v>
      </c>
      <c r="AN45" s="53" t="s">
        <v>34</v>
      </c>
      <c r="AO45" s="60">
        <v>1.0000000000000001E-5</v>
      </c>
      <c r="AP45" s="51" t="b">
        <v>1</v>
      </c>
      <c r="AQ45" s="60">
        <v>1.0000000000000001E-5</v>
      </c>
      <c r="AR45" s="67">
        <v>12</v>
      </c>
      <c r="AS45" s="67">
        <v>26</v>
      </c>
      <c r="AT45" s="67">
        <v>9</v>
      </c>
      <c r="AU45" s="51" t="b">
        <v>1</v>
      </c>
      <c r="AV45" s="47">
        <v>3</v>
      </c>
      <c r="AW45" s="62">
        <v>5</v>
      </c>
      <c r="AX45" s="47">
        <v>1</v>
      </c>
      <c r="AY45" s="51" t="b">
        <v>1</v>
      </c>
      <c r="AZ45" s="45" t="s">
        <v>73</v>
      </c>
      <c r="BA45" s="45">
        <v>4</v>
      </c>
      <c r="BB45" s="49">
        <v>0.05</v>
      </c>
      <c r="BC45" s="49">
        <v>0.5</v>
      </c>
      <c r="BD45" s="52" t="b">
        <v>0</v>
      </c>
      <c r="BE45" s="45" t="s">
        <v>98</v>
      </c>
      <c r="BF45" s="51" t="b">
        <v>1</v>
      </c>
      <c r="BG45" s="45" t="s">
        <v>71</v>
      </c>
      <c r="BH45" s="54">
        <v>0.02</v>
      </c>
      <c r="BI45" s="70" t="s">
        <v>5</v>
      </c>
      <c r="BJ45" s="51" t="b">
        <v>1</v>
      </c>
      <c r="BK45" s="72">
        <v>1.5</v>
      </c>
      <c r="BL45" s="52" t="b">
        <v>0</v>
      </c>
      <c r="BM45" s="70" t="s">
        <v>6</v>
      </c>
      <c r="BN45" s="51" t="b">
        <v>1</v>
      </c>
      <c r="BO45" s="70" t="s">
        <v>15</v>
      </c>
      <c r="BP45" s="71">
        <v>1</v>
      </c>
      <c r="BQ45" s="71">
        <v>0.5</v>
      </c>
      <c r="BR45" s="75" t="str">
        <f t="shared" si="71"/>
        <v>5/ 8/ 13/ 21</v>
      </c>
      <c r="BS45" s="75" t="str">
        <f t="shared" si="54"/>
        <v>12 / 26 / 9</v>
      </c>
      <c r="BT45" s="75" t="str">
        <f t="shared" si="55"/>
        <v>0.05 / 0.5</v>
      </c>
      <c r="BU45" s="7">
        <v>596</v>
      </c>
      <c r="BV45" s="7">
        <v>346</v>
      </c>
      <c r="BW45" s="7">
        <v>280</v>
      </c>
      <c r="BX45" s="27">
        <f t="shared" si="56"/>
        <v>66</v>
      </c>
      <c r="BY45" s="7">
        <v>71</v>
      </c>
      <c r="BZ45" s="21">
        <f t="shared" si="57"/>
        <v>179</v>
      </c>
      <c r="CA45" s="98">
        <f t="shared" si="69"/>
        <v>0.58053691275167785</v>
      </c>
      <c r="CB45" s="99">
        <f t="shared" si="70"/>
        <v>0.11912751677852348</v>
      </c>
      <c r="CC45" s="20">
        <v>4.6399999999999997</v>
      </c>
      <c r="CD45" s="20">
        <v>30.01</v>
      </c>
      <c r="CE45" s="20">
        <v>0.41</v>
      </c>
      <c r="CF45" s="77">
        <f t="shared" si="58"/>
        <v>1.5</v>
      </c>
      <c r="CG45" s="20">
        <v>0.67</v>
      </c>
      <c r="CH45" s="20">
        <v>0.48</v>
      </c>
      <c r="CI45" s="22">
        <v>9545.6</v>
      </c>
      <c r="CJ45" s="20">
        <v>27.59</v>
      </c>
      <c r="CK45" s="20">
        <v>25.76</v>
      </c>
      <c r="CL45" s="20">
        <v>-5.03</v>
      </c>
      <c r="CM45" s="74">
        <v>1000</v>
      </c>
      <c r="CN45" s="102">
        <v>17884.72</v>
      </c>
      <c r="CO45" s="103">
        <f t="shared" si="59"/>
        <v>18884.72</v>
      </c>
      <c r="CP45" s="103">
        <f t="shared" si="60"/>
        <v>1788.4720000000002</v>
      </c>
      <c r="CR45" s="15">
        <f t="shared" si="61"/>
        <v>12</v>
      </c>
      <c r="CS45" s="13">
        <f t="shared" si="62"/>
        <v>795.4666666666667</v>
      </c>
      <c r="CT45" s="13">
        <f t="shared" si="63"/>
        <v>1490.3933333333334</v>
      </c>
      <c r="CU45" s="13">
        <f t="shared" si="64"/>
        <v>149.03933333333333</v>
      </c>
      <c r="CW45" s="13">
        <f t="shared" si="65"/>
        <v>9545.6</v>
      </c>
      <c r="CX45" s="13">
        <f t="shared" si="66"/>
        <v>17884.72</v>
      </c>
      <c r="CY45" s="13">
        <f t="shared" si="67"/>
        <v>1788.4720000000002</v>
      </c>
    </row>
    <row r="46" spans="1:103" outlineLevel="1" x14ac:dyDescent="0.2">
      <c r="A46" s="43"/>
      <c r="B46" s="10"/>
      <c r="C46" s="3" t="s">
        <v>17</v>
      </c>
      <c r="D46" s="3" t="s">
        <v>113</v>
      </c>
      <c r="E46" s="6" t="s">
        <v>19</v>
      </c>
      <c r="F46" s="3" t="s">
        <v>25</v>
      </c>
      <c r="G46" s="5" t="s">
        <v>50</v>
      </c>
      <c r="H46" s="52" t="b">
        <v>0</v>
      </c>
      <c r="J46" s="46" t="s">
        <v>91</v>
      </c>
      <c r="K46" s="46" t="s">
        <v>91</v>
      </c>
      <c r="L46" s="46" t="s">
        <v>91</v>
      </c>
      <c r="M46" s="56" t="b">
        <v>0</v>
      </c>
      <c r="Q46" s="51" t="b">
        <v>1</v>
      </c>
      <c r="R46" s="50" t="s">
        <v>53</v>
      </c>
      <c r="S46" s="55" t="b">
        <v>1</v>
      </c>
      <c r="T46" s="49">
        <v>13</v>
      </c>
      <c r="U46" s="47">
        <v>1.4999999999999999E-2</v>
      </c>
      <c r="V46" s="49">
        <v>75</v>
      </c>
      <c r="W46" s="49">
        <v>-75</v>
      </c>
      <c r="X46" s="47">
        <v>50</v>
      </c>
      <c r="Y46" s="47">
        <v>5</v>
      </c>
      <c r="Z46" s="51" t="b">
        <v>1</v>
      </c>
      <c r="AA46" s="50" t="s">
        <v>92</v>
      </c>
      <c r="AB46" s="54">
        <v>2</v>
      </c>
      <c r="AC46" s="56" t="b">
        <v>0</v>
      </c>
      <c r="AE46" s="56" t="b">
        <v>0</v>
      </c>
      <c r="AG46" s="55" t="b">
        <v>1</v>
      </c>
      <c r="AH46" s="48">
        <v>5</v>
      </c>
      <c r="AI46" s="48">
        <v>8</v>
      </c>
      <c r="AJ46" s="48">
        <v>13</v>
      </c>
      <c r="AK46" s="48">
        <v>21</v>
      </c>
      <c r="AL46" s="52" t="b">
        <v>0</v>
      </c>
      <c r="AM46" s="51" t="b">
        <v>1</v>
      </c>
      <c r="AN46" s="53" t="s">
        <v>34</v>
      </c>
      <c r="AO46" s="60">
        <v>1.0000000000000001E-5</v>
      </c>
      <c r="AP46" s="51" t="b">
        <v>1</v>
      </c>
      <c r="AQ46" s="60">
        <v>1.0000000000000001E-5</v>
      </c>
      <c r="AR46" s="56">
        <v>21</v>
      </c>
      <c r="AS46" s="56">
        <v>34</v>
      </c>
      <c r="AT46" s="56">
        <v>9</v>
      </c>
      <c r="AU46" s="51" t="b">
        <v>1</v>
      </c>
      <c r="AV46" s="47">
        <v>3</v>
      </c>
      <c r="AW46" s="62">
        <v>5</v>
      </c>
      <c r="AX46" s="47">
        <v>1</v>
      </c>
      <c r="AY46" s="51" t="b">
        <v>1</v>
      </c>
      <c r="AZ46" s="45" t="s">
        <v>73</v>
      </c>
      <c r="BA46" s="45">
        <v>4</v>
      </c>
      <c r="BB46" s="49">
        <v>0.05</v>
      </c>
      <c r="BC46" s="49">
        <v>0.5</v>
      </c>
      <c r="BD46" s="52" t="b">
        <v>0</v>
      </c>
      <c r="BE46" s="45" t="s">
        <v>98</v>
      </c>
      <c r="BF46" s="51" t="b">
        <v>1</v>
      </c>
      <c r="BG46" s="45" t="s">
        <v>71</v>
      </c>
      <c r="BH46" s="54">
        <v>0.02</v>
      </c>
      <c r="BI46" s="70" t="s">
        <v>5</v>
      </c>
      <c r="BJ46" s="51" t="b">
        <v>1</v>
      </c>
      <c r="BK46" s="72">
        <v>1.5</v>
      </c>
      <c r="BL46" s="52" t="b">
        <v>0</v>
      </c>
      <c r="BM46" s="70" t="s">
        <v>6</v>
      </c>
      <c r="BN46" s="51" t="b">
        <v>1</v>
      </c>
      <c r="BO46" s="70" t="s">
        <v>15</v>
      </c>
      <c r="BP46" s="71">
        <v>1</v>
      </c>
      <c r="BQ46" s="71">
        <v>0.5</v>
      </c>
      <c r="BR46" s="75" t="str">
        <f t="shared" si="71"/>
        <v>5/ 8/ 13/ 21</v>
      </c>
      <c r="BS46" s="75" t="str">
        <f t="shared" si="54"/>
        <v>21 / 34 / 9</v>
      </c>
      <c r="BT46" s="75" t="str">
        <f t="shared" si="55"/>
        <v>0.05 / 0.5</v>
      </c>
      <c r="BU46" s="7">
        <v>598</v>
      </c>
      <c r="BV46" s="7">
        <v>339</v>
      </c>
      <c r="BW46" s="7">
        <v>275</v>
      </c>
      <c r="BX46" s="27">
        <f t="shared" si="56"/>
        <v>64</v>
      </c>
      <c r="BY46" s="7">
        <v>73</v>
      </c>
      <c r="BZ46" s="21">
        <f t="shared" si="57"/>
        <v>186</v>
      </c>
      <c r="CA46" s="98">
        <f t="shared" si="69"/>
        <v>0.56688963210702337</v>
      </c>
      <c r="CB46" s="99">
        <f t="shared" si="70"/>
        <v>0.12207357859531773</v>
      </c>
      <c r="CC46" s="20">
        <v>4.37</v>
      </c>
      <c r="CD46" s="20">
        <v>28.81</v>
      </c>
      <c r="CE46" s="20">
        <v>0.4</v>
      </c>
      <c r="CF46" s="77">
        <f t="shared" si="58"/>
        <v>1.5</v>
      </c>
      <c r="CG46" s="20">
        <v>0.67</v>
      </c>
      <c r="CH46" s="20">
        <v>0.51</v>
      </c>
      <c r="CI46" s="22">
        <v>9391.9</v>
      </c>
      <c r="CJ46" s="20">
        <v>27.7</v>
      </c>
      <c r="CK46" s="20">
        <v>26.15</v>
      </c>
      <c r="CL46" s="20">
        <v>-4.84</v>
      </c>
      <c r="CM46" s="74">
        <v>1000</v>
      </c>
      <c r="CN46" s="22">
        <v>17226.939999999999</v>
      </c>
      <c r="CO46" s="35">
        <f t="shared" si="59"/>
        <v>18226.939999999999</v>
      </c>
      <c r="CP46" s="35">
        <f t="shared" si="60"/>
        <v>1722.694</v>
      </c>
      <c r="CR46" s="15">
        <f t="shared" si="61"/>
        <v>12</v>
      </c>
      <c r="CS46" s="13">
        <f t="shared" si="62"/>
        <v>782.6583333333333</v>
      </c>
      <c r="CT46" s="13">
        <f t="shared" si="63"/>
        <v>1435.5783333333331</v>
      </c>
      <c r="CU46" s="13">
        <f t="shared" si="64"/>
        <v>143.55783333333332</v>
      </c>
      <c r="CW46" s="13">
        <f t="shared" si="65"/>
        <v>9391.9</v>
      </c>
      <c r="CX46" s="13">
        <f t="shared" si="66"/>
        <v>17226.939999999999</v>
      </c>
      <c r="CY46" s="13">
        <f t="shared" si="67"/>
        <v>1722.694</v>
      </c>
    </row>
    <row r="47" spans="1:103" outlineLevel="1" x14ac:dyDescent="0.2">
      <c r="B47" s="2"/>
    </row>
    <row r="48" spans="1:103" x14ac:dyDescent="0.2">
      <c r="A48" s="43"/>
      <c r="B48" s="10" t="s">
        <v>123</v>
      </c>
      <c r="C48" s="3" t="s">
        <v>17</v>
      </c>
      <c r="D48" s="3" t="s">
        <v>113</v>
      </c>
      <c r="E48" s="6" t="s">
        <v>19</v>
      </c>
      <c r="F48" s="3" t="s">
        <v>25</v>
      </c>
      <c r="G48" s="5" t="s">
        <v>50</v>
      </c>
      <c r="H48" s="52" t="b">
        <v>0</v>
      </c>
      <c r="J48" s="46" t="s">
        <v>91</v>
      </c>
      <c r="K48" s="46" t="s">
        <v>91</v>
      </c>
      <c r="L48" s="46" t="s">
        <v>91</v>
      </c>
      <c r="M48" s="56" t="b">
        <v>0</v>
      </c>
      <c r="Q48" s="51" t="b">
        <v>1</v>
      </c>
      <c r="R48" s="50" t="s">
        <v>53</v>
      </c>
      <c r="S48" s="55" t="b">
        <v>1</v>
      </c>
      <c r="T48" s="49">
        <v>13</v>
      </c>
      <c r="U48" s="47">
        <v>1.4999999999999999E-2</v>
      </c>
      <c r="V48" s="49">
        <v>75</v>
      </c>
      <c r="W48" s="49">
        <v>-75</v>
      </c>
      <c r="X48" s="47">
        <v>50</v>
      </c>
      <c r="Y48" s="47">
        <v>5</v>
      </c>
      <c r="Z48" s="51" t="b">
        <v>1</v>
      </c>
      <c r="AA48" s="50" t="s">
        <v>92</v>
      </c>
      <c r="AB48" s="54">
        <v>2</v>
      </c>
      <c r="AC48" s="56" t="b">
        <v>0</v>
      </c>
      <c r="AE48" s="56" t="b">
        <v>0</v>
      </c>
      <c r="AG48" s="55" t="b">
        <v>1</v>
      </c>
      <c r="AH48" s="48">
        <v>5</v>
      </c>
      <c r="AI48" s="48">
        <v>8</v>
      </c>
      <c r="AJ48" s="48">
        <v>13</v>
      </c>
      <c r="AK48" s="48">
        <v>34</v>
      </c>
      <c r="AL48" s="52" t="b">
        <v>0</v>
      </c>
      <c r="AM48" s="51" t="b">
        <v>1</v>
      </c>
      <c r="AN48" s="53" t="s">
        <v>34</v>
      </c>
      <c r="AO48" s="60">
        <v>1.0000000000000001E-5</v>
      </c>
      <c r="AP48" s="51" t="b">
        <v>1</v>
      </c>
      <c r="AQ48" s="60">
        <v>1.0000000000000001E-5</v>
      </c>
      <c r="AR48" s="49">
        <v>5</v>
      </c>
      <c r="AS48" s="49">
        <v>8</v>
      </c>
      <c r="AT48" s="49">
        <v>5</v>
      </c>
      <c r="AU48" s="51" t="b">
        <v>1</v>
      </c>
      <c r="AV48" s="47">
        <v>3</v>
      </c>
      <c r="AW48" s="62">
        <v>5</v>
      </c>
      <c r="AX48" s="47">
        <v>1</v>
      </c>
      <c r="AY48" s="51" t="b">
        <v>1</v>
      </c>
      <c r="AZ48" s="45" t="s">
        <v>73</v>
      </c>
      <c r="BA48" s="45">
        <v>4</v>
      </c>
      <c r="BB48" s="49">
        <v>0.05</v>
      </c>
      <c r="BC48" s="49">
        <v>0.5</v>
      </c>
      <c r="BD48" s="52" t="b">
        <v>0</v>
      </c>
      <c r="BE48" s="45" t="s">
        <v>98</v>
      </c>
      <c r="BF48" s="51" t="b">
        <v>1</v>
      </c>
      <c r="BG48" s="45" t="s">
        <v>71</v>
      </c>
      <c r="BH48" s="54">
        <v>0.02</v>
      </c>
      <c r="BI48" s="70" t="s">
        <v>5</v>
      </c>
      <c r="BJ48" s="51" t="b">
        <v>1</v>
      </c>
      <c r="BK48" s="72">
        <v>1.5</v>
      </c>
      <c r="BL48" s="52" t="b">
        <v>0</v>
      </c>
      <c r="BM48" s="70" t="s">
        <v>6</v>
      </c>
      <c r="BN48" s="51" t="b">
        <v>1</v>
      </c>
      <c r="BO48" s="70" t="s">
        <v>15</v>
      </c>
      <c r="BP48" s="71">
        <v>1</v>
      </c>
      <c r="BQ48" s="71">
        <v>0.5</v>
      </c>
      <c r="BR48" s="75" t="str">
        <f t="shared" ref="BR48:BR55" si="72">AH48&amp;"/ "&amp;AI48&amp;"/ "&amp;AJ48&amp;"/ "&amp;AK48</f>
        <v>5/ 8/ 13/ 34</v>
      </c>
      <c r="BS48" s="75" t="str">
        <f t="shared" ref="BS48:BS55" si="73">AR48&amp;" / "&amp;AS48&amp;" / "&amp;AT48</f>
        <v>5 / 8 / 5</v>
      </c>
      <c r="BT48" s="75" t="str">
        <f t="shared" ref="BT48:BT55" si="74">BB48&amp;" / "&amp;BC48</f>
        <v>0.05 / 0.5</v>
      </c>
      <c r="BU48" s="7">
        <v>541</v>
      </c>
      <c r="BV48" s="7">
        <v>319</v>
      </c>
      <c r="BW48" s="7">
        <v>257</v>
      </c>
      <c r="BX48" s="27">
        <f t="shared" ref="BX48:BX55" si="75">BV48-BW48</f>
        <v>62</v>
      </c>
      <c r="BY48" s="7">
        <v>61</v>
      </c>
      <c r="BZ48" s="21">
        <f t="shared" ref="BZ48:BZ55" si="76">BU48-SUM(BW48:BY48)</f>
        <v>161</v>
      </c>
      <c r="CA48" s="98">
        <f>IF(BU48=0,0,BV48/BU48)</f>
        <v>0.58964879852125696</v>
      </c>
      <c r="CB48" s="99">
        <f>IF(BU48=0,0,BY48/BU48)</f>
        <v>0.11275415896487985</v>
      </c>
      <c r="CC48" s="20">
        <v>5.38</v>
      </c>
      <c r="CD48" s="20">
        <v>27.33</v>
      </c>
      <c r="CE48" s="20">
        <v>0.41</v>
      </c>
      <c r="CF48" s="77">
        <f t="shared" ref="CF48:CF55" si="77">BK48</f>
        <v>1.5</v>
      </c>
      <c r="CG48" s="20">
        <v>0.65</v>
      </c>
      <c r="CH48" s="20">
        <v>0.48</v>
      </c>
      <c r="CI48" s="22">
        <v>8772.6</v>
      </c>
      <c r="CJ48" s="20">
        <v>27.5</v>
      </c>
      <c r="CK48" s="20">
        <v>26.47</v>
      </c>
      <c r="CL48" s="20">
        <v>-5.6</v>
      </c>
      <c r="CM48" s="74">
        <v>1000</v>
      </c>
      <c r="CN48" s="102">
        <v>14784.75</v>
      </c>
      <c r="CO48" s="103">
        <f t="shared" ref="CO48:CO55" si="78">CM48+CN48</f>
        <v>15784.75</v>
      </c>
      <c r="CP48" s="103">
        <f t="shared" ref="CP48:CP55" si="79">CN48/10</f>
        <v>1478.4749999999999</v>
      </c>
      <c r="CR48" s="15">
        <f t="shared" ref="CR48:CR55" si="80">CR$4</f>
        <v>12</v>
      </c>
      <c r="CS48" s="13">
        <f t="shared" ref="CS48:CS55" si="81">CI48/CR48</f>
        <v>731.05000000000007</v>
      </c>
      <c r="CT48" s="13">
        <f t="shared" ref="CT48:CT55" si="82">CN48/CR48</f>
        <v>1232.0625</v>
      </c>
      <c r="CU48" s="13">
        <f t="shared" ref="CU48:CU55" si="83">CT48/10</f>
        <v>123.20625</v>
      </c>
      <c r="CW48" s="13">
        <f t="shared" ref="CW48:CW55" si="84">CI48</f>
        <v>8772.6</v>
      </c>
      <c r="CX48" s="13">
        <f t="shared" ref="CX48:CX55" si="85">CN48</f>
        <v>14784.75</v>
      </c>
      <c r="CY48" s="13">
        <f t="shared" ref="CY48:CY55" si="86">CP48</f>
        <v>1478.4749999999999</v>
      </c>
    </row>
    <row r="49" spans="1:103" outlineLevel="1" x14ac:dyDescent="0.2">
      <c r="A49" s="43"/>
      <c r="B49" s="10"/>
      <c r="C49" s="3" t="s">
        <v>17</v>
      </c>
      <c r="D49" s="3" t="s">
        <v>113</v>
      </c>
      <c r="E49" s="6" t="s">
        <v>19</v>
      </c>
      <c r="F49" s="3" t="s">
        <v>25</v>
      </c>
      <c r="G49" s="5" t="s">
        <v>50</v>
      </c>
      <c r="H49" s="52" t="b">
        <v>0</v>
      </c>
      <c r="J49" s="46" t="s">
        <v>91</v>
      </c>
      <c r="K49" s="46" t="s">
        <v>91</v>
      </c>
      <c r="L49" s="46" t="s">
        <v>91</v>
      </c>
      <c r="M49" s="56" t="b">
        <v>0</v>
      </c>
      <c r="Q49" s="51" t="b">
        <v>1</v>
      </c>
      <c r="R49" s="50" t="s">
        <v>53</v>
      </c>
      <c r="S49" s="55" t="b">
        <v>1</v>
      </c>
      <c r="T49" s="49">
        <v>13</v>
      </c>
      <c r="U49" s="47">
        <v>1.4999999999999999E-2</v>
      </c>
      <c r="V49" s="49">
        <v>75</v>
      </c>
      <c r="W49" s="49">
        <v>-75</v>
      </c>
      <c r="X49" s="47">
        <v>50</v>
      </c>
      <c r="Y49" s="47">
        <v>5</v>
      </c>
      <c r="Z49" s="51" t="b">
        <v>1</v>
      </c>
      <c r="AA49" s="50" t="s">
        <v>92</v>
      </c>
      <c r="AB49" s="54">
        <v>2</v>
      </c>
      <c r="AC49" s="56" t="b">
        <v>0</v>
      </c>
      <c r="AE49" s="56" t="b">
        <v>0</v>
      </c>
      <c r="AG49" s="55" t="b">
        <v>1</v>
      </c>
      <c r="AH49" s="48">
        <v>5</v>
      </c>
      <c r="AI49" s="48">
        <v>8</v>
      </c>
      <c r="AJ49" s="48">
        <v>13</v>
      </c>
      <c r="AK49" s="48">
        <v>34</v>
      </c>
      <c r="AL49" s="52" t="b">
        <v>0</v>
      </c>
      <c r="AM49" s="51" t="b">
        <v>1</v>
      </c>
      <c r="AN49" s="53" t="s">
        <v>34</v>
      </c>
      <c r="AO49" s="60">
        <v>1.0000000000000001E-5</v>
      </c>
      <c r="AP49" s="51" t="b">
        <v>1</v>
      </c>
      <c r="AQ49" s="60">
        <v>1.0000000000000001E-5</v>
      </c>
      <c r="AR49" s="56">
        <v>5</v>
      </c>
      <c r="AS49" s="56">
        <v>13</v>
      </c>
      <c r="AT49" s="56">
        <v>5</v>
      </c>
      <c r="AU49" s="51" t="b">
        <v>1</v>
      </c>
      <c r="AV49" s="47">
        <v>3</v>
      </c>
      <c r="AW49" s="62">
        <v>5</v>
      </c>
      <c r="AX49" s="47">
        <v>1</v>
      </c>
      <c r="AY49" s="51" t="b">
        <v>1</v>
      </c>
      <c r="AZ49" s="45" t="s">
        <v>73</v>
      </c>
      <c r="BA49" s="45">
        <v>4</v>
      </c>
      <c r="BB49" s="49">
        <v>0.05</v>
      </c>
      <c r="BC49" s="49">
        <v>0.5</v>
      </c>
      <c r="BD49" s="52" t="b">
        <v>0</v>
      </c>
      <c r="BE49" s="45" t="s">
        <v>98</v>
      </c>
      <c r="BF49" s="51" t="b">
        <v>1</v>
      </c>
      <c r="BG49" s="45" t="s">
        <v>71</v>
      </c>
      <c r="BH49" s="54">
        <v>0.02</v>
      </c>
      <c r="BI49" s="70" t="s">
        <v>5</v>
      </c>
      <c r="BJ49" s="51" t="b">
        <v>1</v>
      </c>
      <c r="BK49" s="72">
        <v>1.5</v>
      </c>
      <c r="BL49" s="52" t="b">
        <v>0</v>
      </c>
      <c r="BM49" s="70" t="s">
        <v>6</v>
      </c>
      <c r="BN49" s="51" t="b">
        <v>1</v>
      </c>
      <c r="BO49" s="70" t="s">
        <v>15</v>
      </c>
      <c r="BP49" s="71">
        <v>1</v>
      </c>
      <c r="BQ49" s="71">
        <v>0.5</v>
      </c>
      <c r="BR49" s="75" t="str">
        <f t="shared" si="72"/>
        <v>5/ 8/ 13/ 34</v>
      </c>
      <c r="BS49" s="75" t="str">
        <f t="shared" si="73"/>
        <v>5 / 13 / 5</v>
      </c>
      <c r="BT49" s="75" t="str">
        <f t="shared" si="74"/>
        <v>0.05 / 0.5</v>
      </c>
      <c r="BU49" s="7">
        <v>561</v>
      </c>
      <c r="BV49" s="7">
        <v>326</v>
      </c>
      <c r="BW49" s="7">
        <v>264</v>
      </c>
      <c r="BX49" s="27">
        <f t="shared" si="75"/>
        <v>62</v>
      </c>
      <c r="BY49" s="7">
        <v>72</v>
      </c>
      <c r="BZ49" s="21">
        <f t="shared" si="76"/>
        <v>163</v>
      </c>
      <c r="CA49" s="98">
        <f t="shared" ref="CA49:CA55" si="87">IF(BU49=0,0,BV49/BU49)</f>
        <v>0.58110516934046341</v>
      </c>
      <c r="CB49" s="99">
        <f t="shared" ref="CB49:CB55" si="88">IF(BU49=0,0,BY49/BU49)</f>
        <v>0.12834224598930483</v>
      </c>
      <c r="CC49" s="20">
        <v>4.3499999999999996</v>
      </c>
      <c r="CD49" s="20">
        <v>25.49</v>
      </c>
      <c r="CE49" s="20">
        <v>0.38</v>
      </c>
      <c r="CF49" s="77">
        <f t="shared" si="77"/>
        <v>1.5</v>
      </c>
      <c r="CG49" s="20">
        <v>0.65</v>
      </c>
      <c r="CH49" s="20">
        <v>0.49</v>
      </c>
      <c r="CI49" s="22">
        <v>8988</v>
      </c>
      <c r="CJ49" s="20">
        <v>27.57</v>
      </c>
      <c r="CK49" s="20">
        <v>26.28</v>
      </c>
      <c r="CL49" s="20">
        <v>-4.21</v>
      </c>
      <c r="CM49" s="74">
        <v>1000</v>
      </c>
      <c r="CN49" s="22">
        <v>14298.83</v>
      </c>
      <c r="CO49" s="35">
        <f t="shared" si="78"/>
        <v>15298.83</v>
      </c>
      <c r="CP49" s="35">
        <f t="shared" si="79"/>
        <v>1429.883</v>
      </c>
      <c r="CR49" s="15">
        <f t="shared" si="80"/>
        <v>12</v>
      </c>
      <c r="CS49" s="13">
        <f t="shared" si="81"/>
        <v>749</v>
      </c>
      <c r="CT49" s="13">
        <f t="shared" si="82"/>
        <v>1191.5691666666667</v>
      </c>
      <c r="CU49" s="13">
        <f t="shared" si="83"/>
        <v>119.15691666666666</v>
      </c>
      <c r="CW49" s="13">
        <f t="shared" si="84"/>
        <v>8988</v>
      </c>
      <c r="CX49" s="13">
        <f t="shared" si="85"/>
        <v>14298.83</v>
      </c>
      <c r="CY49" s="13">
        <f t="shared" si="86"/>
        <v>1429.883</v>
      </c>
    </row>
    <row r="50" spans="1:103" outlineLevel="1" x14ac:dyDescent="0.2">
      <c r="A50" s="43"/>
      <c r="B50" s="10"/>
      <c r="C50" s="3" t="s">
        <v>17</v>
      </c>
      <c r="D50" s="3" t="s">
        <v>113</v>
      </c>
      <c r="E50" s="6" t="s">
        <v>19</v>
      </c>
      <c r="F50" s="3" t="s">
        <v>25</v>
      </c>
      <c r="G50" s="5" t="s">
        <v>50</v>
      </c>
      <c r="H50" s="52" t="b">
        <v>0</v>
      </c>
      <c r="J50" s="46" t="s">
        <v>91</v>
      </c>
      <c r="K50" s="46" t="s">
        <v>91</v>
      </c>
      <c r="L50" s="46" t="s">
        <v>91</v>
      </c>
      <c r="M50" s="56" t="b">
        <v>0</v>
      </c>
      <c r="Q50" s="51" t="b">
        <v>1</v>
      </c>
      <c r="R50" s="50" t="s">
        <v>53</v>
      </c>
      <c r="S50" s="55" t="b">
        <v>1</v>
      </c>
      <c r="T50" s="49">
        <v>13</v>
      </c>
      <c r="U50" s="47">
        <v>1.4999999999999999E-2</v>
      </c>
      <c r="V50" s="49">
        <v>75</v>
      </c>
      <c r="W50" s="49">
        <v>-75</v>
      </c>
      <c r="X50" s="47">
        <v>50</v>
      </c>
      <c r="Y50" s="47">
        <v>5</v>
      </c>
      <c r="Z50" s="51" t="b">
        <v>1</v>
      </c>
      <c r="AA50" s="50" t="s">
        <v>92</v>
      </c>
      <c r="AB50" s="54">
        <v>2</v>
      </c>
      <c r="AC50" s="56" t="b">
        <v>0</v>
      </c>
      <c r="AE50" s="56" t="b">
        <v>0</v>
      </c>
      <c r="AG50" s="55" t="b">
        <v>1</v>
      </c>
      <c r="AH50" s="48">
        <v>5</v>
      </c>
      <c r="AI50" s="48">
        <v>8</v>
      </c>
      <c r="AJ50" s="48">
        <v>13</v>
      </c>
      <c r="AK50" s="48">
        <v>34</v>
      </c>
      <c r="AL50" s="52" t="b">
        <v>0</v>
      </c>
      <c r="AM50" s="51" t="b">
        <v>1</v>
      </c>
      <c r="AN50" s="53" t="s">
        <v>34</v>
      </c>
      <c r="AO50" s="60">
        <v>1.0000000000000001E-5</v>
      </c>
      <c r="AP50" s="51" t="b">
        <v>1</v>
      </c>
      <c r="AQ50" s="60">
        <v>1.0000000000000001E-5</v>
      </c>
      <c r="AR50" s="56">
        <v>5</v>
      </c>
      <c r="AS50" s="56">
        <v>13</v>
      </c>
      <c r="AT50" s="56">
        <v>8</v>
      </c>
      <c r="AU50" s="51" t="b">
        <v>1</v>
      </c>
      <c r="AV50" s="47">
        <v>3</v>
      </c>
      <c r="AW50" s="62">
        <v>5</v>
      </c>
      <c r="AX50" s="47">
        <v>1</v>
      </c>
      <c r="AY50" s="51" t="b">
        <v>1</v>
      </c>
      <c r="AZ50" s="45" t="s">
        <v>73</v>
      </c>
      <c r="BA50" s="45">
        <v>4</v>
      </c>
      <c r="BB50" s="49">
        <v>0.05</v>
      </c>
      <c r="BC50" s="49">
        <v>0.5</v>
      </c>
      <c r="BD50" s="52" t="b">
        <v>0</v>
      </c>
      <c r="BE50" s="45" t="s">
        <v>98</v>
      </c>
      <c r="BF50" s="51" t="b">
        <v>1</v>
      </c>
      <c r="BG50" s="45" t="s">
        <v>71</v>
      </c>
      <c r="BH50" s="54">
        <v>0.02</v>
      </c>
      <c r="BI50" s="70" t="s">
        <v>5</v>
      </c>
      <c r="BJ50" s="51" t="b">
        <v>1</v>
      </c>
      <c r="BK50" s="72">
        <v>1.5</v>
      </c>
      <c r="BL50" s="52" t="b">
        <v>0</v>
      </c>
      <c r="BM50" s="70" t="s">
        <v>6</v>
      </c>
      <c r="BN50" s="51" t="b">
        <v>1</v>
      </c>
      <c r="BO50" s="70" t="s">
        <v>15</v>
      </c>
      <c r="BP50" s="71">
        <v>1</v>
      </c>
      <c r="BQ50" s="71">
        <v>0.5</v>
      </c>
      <c r="BR50" s="75" t="str">
        <f>AH50&amp;"/ "&amp;AI50&amp;"/ "&amp;AJ50&amp;"/ "&amp;AK50</f>
        <v>5/ 8/ 13/ 34</v>
      </c>
      <c r="BS50" s="75" t="str">
        <f t="shared" si="73"/>
        <v>5 / 13 / 8</v>
      </c>
      <c r="BT50" s="75" t="str">
        <f t="shared" si="74"/>
        <v>0.05 / 0.5</v>
      </c>
      <c r="BU50" s="7">
        <v>560</v>
      </c>
      <c r="BV50" s="7">
        <v>328</v>
      </c>
      <c r="BW50" s="7">
        <v>264</v>
      </c>
      <c r="BX50" s="27">
        <f t="shared" si="75"/>
        <v>64</v>
      </c>
      <c r="BY50" s="7">
        <v>73</v>
      </c>
      <c r="BZ50" s="21">
        <f t="shared" si="76"/>
        <v>159</v>
      </c>
      <c r="CA50" s="98">
        <f t="shared" si="87"/>
        <v>0.58571428571428574</v>
      </c>
      <c r="CB50" s="99">
        <f t="shared" si="88"/>
        <v>0.13035714285714287</v>
      </c>
      <c r="CC50" s="20">
        <v>4.32</v>
      </c>
      <c r="CD50" s="20">
        <v>25.87</v>
      </c>
      <c r="CE50" s="20">
        <v>0.38</v>
      </c>
      <c r="CF50" s="77">
        <f t="shared" si="77"/>
        <v>1.5</v>
      </c>
      <c r="CG50" s="20">
        <v>0.65</v>
      </c>
      <c r="CH50" s="20">
        <v>0.48</v>
      </c>
      <c r="CI50" s="22">
        <v>9097.5</v>
      </c>
      <c r="CJ50" s="20">
        <v>27.74</v>
      </c>
      <c r="CK50" s="20">
        <v>26.73</v>
      </c>
      <c r="CL50" s="20">
        <v>-5.48</v>
      </c>
      <c r="CM50" s="74">
        <v>1000</v>
      </c>
      <c r="CN50" s="22">
        <v>14488.82</v>
      </c>
      <c r="CO50" s="35">
        <f t="shared" si="78"/>
        <v>15488.82</v>
      </c>
      <c r="CP50" s="35">
        <f t="shared" si="79"/>
        <v>1448.8820000000001</v>
      </c>
      <c r="CR50" s="15">
        <f t="shared" si="80"/>
        <v>12</v>
      </c>
      <c r="CS50" s="13">
        <f t="shared" si="81"/>
        <v>758.125</v>
      </c>
      <c r="CT50" s="13">
        <f t="shared" si="82"/>
        <v>1207.4016666666666</v>
      </c>
      <c r="CU50" s="13">
        <f t="shared" si="83"/>
        <v>120.74016666666667</v>
      </c>
      <c r="CW50" s="13">
        <f t="shared" si="84"/>
        <v>9097.5</v>
      </c>
      <c r="CX50" s="13">
        <f t="shared" si="85"/>
        <v>14488.82</v>
      </c>
      <c r="CY50" s="13">
        <f t="shared" si="86"/>
        <v>1448.8820000000001</v>
      </c>
    </row>
    <row r="51" spans="1:103" outlineLevel="1" x14ac:dyDescent="0.2">
      <c r="A51" s="43"/>
      <c r="B51" s="10"/>
      <c r="C51" s="3" t="s">
        <v>17</v>
      </c>
      <c r="D51" s="3" t="s">
        <v>113</v>
      </c>
      <c r="E51" s="6" t="s">
        <v>19</v>
      </c>
      <c r="F51" s="3" t="s">
        <v>25</v>
      </c>
      <c r="G51" s="5" t="s">
        <v>50</v>
      </c>
      <c r="H51" s="52" t="b">
        <v>0</v>
      </c>
      <c r="J51" s="46" t="s">
        <v>91</v>
      </c>
      <c r="K51" s="46" t="s">
        <v>91</v>
      </c>
      <c r="L51" s="46" t="s">
        <v>91</v>
      </c>
      <c r="M51" s="56" t="b">
        <v>0</v>
      </c>
      <c r="Q51" s="51" t="b">
        <v>1</v>
      </c>
      <c r="R51" s="50" t="s">
        <v>53</v>
      </c>
      <c r="S51" s="55" t="b">
        <v>1</v>
      </c>
      <c r="T51" s="49">
        <v>13</v>
      </c>
      <c r="U51" s="47">
        <v>1.4999999999999999E-2</v>
      </c>
      <c r="V51" s="49">
        <v>75</v>
      </c>
      <c r="W51" s="49">
        <v>-75</v>
      </c>
      <c r="X51" s="47">
        <v>50</v>
      </c>
      <c r="Y51" s="47">
        <v>5</v>
      </c>
      <c r="Z51" s="51" t="b">
        <v>1</v>
      </c>
      <c r="AA51" s="50" t="s">
        <v>92</v>
      </c>
      <c r="AB51" s="54">
        <v>2</v>
      </c>
      <c r="AC51" s="56" t="b">
        <v>0</v>
      </c>
      <c r="AE51" s="56" t="b">
        <v>0</v>
      </c>
      <c r="AG51" s="55" t="b">
        <v>1</v>
      </c>
      <c r="AH51" s="48">
        <v>5</v>
      </c>
      <c r="AI51" s="48">
        <v>8</v>
      </c>
      <c r="AJ51" s="48">
        <v>13</v>
      </c>
      <c r="AK51" s="48">
        <v>34</v>
      </c>
      <c r="AL51" s="52" t="b">
        <v>0</v>
      </c>
      <c r="AM51" s="51" t="b">
        <v>1</v>
      </c>
      <c r="AN51" s="53" t="s">
        <v>34</v>
      </c>
      <c r="AO51" s="60">
        <v>1.0000000000000001E-5</v>
      </c>
      <c r="AP51" s="51" t="b">
        <v>1</v>
      </c>
      <c r="AQ51" s="60">
        <v>1.0000000000000001E-5</v>
      </c>
      <c r="AR51" s="65">
        <v>8</v>
      </c>
      <c r="AS51" s="65">
        <v>13</v>
      </c>
      <c r="AT51" s="65">
        <v>8</v>
      </c>
      <c r="AU51" s="51" t="b">
        <v>1</v>
      </c>
      <c r="AV51" s="47">
        <v>3</v>
      </c>
      <c r="AW51" s="62">
        <v>5</v>
      </c>
      <c r="AX51" s="47">
        <v>1</v>
      </c>
      <c r="AY51" s="51" t="b">
        <v>1</v>
      </c>
      <c r="AZ51" s="45" t="s">
        <v>73</v>
      </c>
      <c r="BA51" s="45">
        <v>4</v>
      </c>
      <c r="BB51" s="49">
        <v>0.05</v>
      </c>
      <c r="BC51" s="49">
        <v>0.5</v>
      </c>
      <c r="BD51" s="52" t="b">
        <v>0</v>
      </c>
      <c r="BE51" s="45" t="s">
        <v>98</v>
      </c>
      <c r="BF51" s="51" t="b">
        <v>1</v>
      </c>
      <c r="BG51" s="45" t="s">
        <v>71</v>
      </c>
      <c r="BH51" s="54">
        <v>0.02</v>
      </c>
      <c r="BI51" s="70" t="s">
        <v>5</v>
      </c>
      <c r="BJ51" s="51" t="b">
        <v>1</v>
      </c>
      <c r="BK51" s="72">
        <v>1.5</v>
      </c>
      <c r="BL51" s="52" t="b">
        <v>0</v>
      </c>
      <c r="BM51" s="70" t="s">
        <v>6</v>
      </c>
      <c r="BN51" s="51" t="b">
        <v>1</v>
      </c>
      <c r="BO51" s="70" t="s">
        <v>15</v>
      </c>
      <c r="BP51" s="71">
        <v>1</v>
      </c>
      <c r="BQ51" s="71">
        <v>0.5</v>
      </c>
      <c r="BR51" s="75" t="str">
        <f t="shared" si="72"/>
        <v>5/ 8/ 13/ 34</v>
      </c>
      <c r="BS51" s="75" t="str">
        <f t="shared" si="73"/>
        <v>8 / 13 / 8</v>
      </c>
      <c r="BT51" s="75" t="str">
        <f t="shared" si="74"/>
        <v>0.05 / 0.5</v>
      </c>
      <c r="BU51" s="7">
        <v>550</v>
      </c>
      <c r="BV51" s="7">
        <v>323</v>
      </c>
      <c r="BW51" s="7">
        <v>260</v>
      </c>
      <c r="BX51" s="27">
        <f t="shared" si="75"/>
        <v>63</v>
      </c>
      <c r="BY51" s="7">
        <v>71</v>
      </c>
      <c r="BZ51" s="21">
        <f t="shared" si="76"/>
        <v>156</v>
      </c>
      <c r="CA51" s="98">
        <f t="shared" si="87"/>
        <v>0.58727272727272728</v>
      </c>
      <c r="CB51" s="99">
        <f t="shared" si="88"/>
        <v>0.12909090909090909</v>
      </c>
      <c r="CC51" s="20">
        <v>4.4400000000000004</v>
      </c>
      <c r="CD51" s="20">
        <v>26.43</v>
      </c>
      <c r="CE51" s="20">
        <v>0.39</v>
      </c>
      <c r="CF51" s="77">
        <f t="shared" si="77"/>
        <v>1.5</v>
      </c>
      <c r="CG51" s="20">
        <v>0.66</v>
      </c>
      <c r="CH51" s="20">
        <v>0.5</v>
      </c>
      <c r="CI51" s="22">
        <v>8992.6</v>
      </c>
      <c r="CJ51" s="20">
        <v>27.84</v>
      </c>
      <c r="CK51" s="20">
        <v>26.43</v>
      </c>
      <c r="CL51" s="20">
        <v>-5.48</v>
      </c>
      <c r="CM51" s="74">
        <v>1000</v>
      </c>
      <c r="CN51" s="22">
        <v>14535.96</v>
      </c>
      <c r="CO51" s="35">
        <f t="shared" si="78"/>
        <v>15535.96</v>
      </c>
      <c r="CP51" s="35">
        <f t="shared" si="79"/>
        <v>1453.596</v>
      </c>
      <c r="CR51" s="15">
        <f t="shared" si="80"/>
        <v>12</v>
      </c>
      <c r="CS51" s="13">
        <f t="shared" si="81"/>
        <v>749.38333333333333</v>
      </c>
      <c r="CT51" s="13">
        <f t="shared" si="82"/>
        <v>1211.33</v>
      </c>
      <c r="CU51" s="13">
        <f t="shared" si="83"/>
        <v>121.133</v>
      </c>
      <c r="CW51" s="13">
        <f t="shared" si="84"/>
        <v>8992.6</v>
      </c>
      <c r="CX51" s="13">
        <f t="shared" si="85"/>
        <v>14535.96</v>
      </c>
      <c r="CY51" s="13">
        <f t="shared" si="86"/>
        <v>1453.596</v>
      </c>
    </row>
    <row r="52" spans="1:103" outlineLevel="1" x14ac:dyDescent="0.2">
      <c r="A52" s="43"/>
      <c r="B52" s="10"/>
      <c r="C52" s="3" t="s">
        <v>17</v>
      </c>
      <c r="D52" s="3" t="s">
        <v>113</v>
      </c>
      <c r="E52" s="6" t="s">
        <v>19</v>
      </c>
      <c r="F52" s="3" t="s">
        <v>25</v>
      </c>
      <c r="G52" s="5" t="s">
        <v>50</v>
      </c>
      <c r="H52" s="52" t="b">
        <v>0</v>
      </c>
      <c r="J52" s="46" t="s">
        <v>91</v>
      </c>
      <c r="K52" s="46" t="s">
        <v>91</v>
      </c>
      <c r="L52" s="46" t="s">
        <v>91</v>
      </c>
      <c r="M52" s="56" t="b">
        <v>0</v>
      </c>
      <c r="Q52" s="51" t="b">
        <v>1</v>
      </c>
      <c r="R52" s="50" t="s">
        <v>53</v>
      </c>
      <c r="S52" s="55" t="b">
        <v>1</v>
      </c>
      <c r="T52" s="49">
        <v>13</v>
      </c>
      <c r="U52" s="47">
        <v>1.4999999999999999E-2</v>
      </c>
      <c r="V52" s="49">
        <v>75</v>
      </c>
      <c r="W52" s="49">
        <v>-75</v>
      </c>
      <c r="X52" s="47">
        <v>50</v>
      </c>
      <c r="Y52" s="47">
        <v>5</v>
      </c>
      <c r="Z52" s="51" t="b">
        <v>1</v>
      </c>
      <c r="AA52" s="50" t="s">
        <v>92</v>
      </c>
      <c r="AB52" s="54">
        <v>2</v>
      </c>
      <c r="AC52" s="56" t="b">
        <v>0</v>
      </c>
      <c r="AE52" s="56" t="b">
        <v>0</v>
      </c>
      <c r="AG52" s="55" t="b">
        <v>1</v>
      </c>
      <c r="AH52" s="48">
        <v>5</v>
      </c>
      <c r="AI52" s="48">
        <v>8</v>
      </c>
      <c r="AJ52" s="48">
        <v>13</v>
      </c>
      <c r="AK52" s="48">
        <v>34</v>
      </c>
      <c r="AL52" s="52" t="b">
        <v>0</v>
      </c>
      <c r="AM52" s="51" t="b">
        <v>1</v>
      </c>
      <c r="AN52" s="53" t="s">
        <v>34</v>
      </c>
      <c r="AO52" s="60">
        <v>1.0000000000000001E-5</v>
      </c>
      <c r="AP52" s="51" t="b">
        <v>1</v>
      </c>
      <c r="AQ52" s="60">
        <v>1.0000000000000001E-5</v>
      </c>
      <c r="AR52" s="65">
        <v>8</v>
      </c>
      <c r="AS52" s="65">
        <v>13</v>
      </c>
      <c r="AT52" s="65">
        <v>11</v>
      </c>
      <c r="AU52" s="51" t="b">
        <v>1</v>
      </c>
      <c r="AV52" s="47">
        <v>3</v>
      </c>
      <c r="AW52" s="62">
        <v>5</v>
      </c>
      <c r="AX52" s="47">
        <v>1</v>
      </c>
      <c r="AY52" s="51" t="b">
        <v>1</v>
      </c>
      <c r="AZ52" s="45" t="s">
        <v>73</v>
      </c>
      <c r="BA52" s="45">
        <v>4</v>
      </c>
      <c r="BB52" s="49">
        <v>0.05</v>
      </c>
      <c r="BC52" s="49">
        <v>0.5</v>
      </c>
      <c r="BD52" s="52" t="b">
        <v>0</v>
      </c>
      <c r="BE52" s="45" t="s">
        <v>98</v>
      </c>
      <c r="BF52" s="51" t="b">
        <v>1</v>
      </c>
      <c r="BG52" s="45" t="s">
        <v>71</v>
      </c>
      <c r="BH52" s="54">
        <v>0.02</v>
      </c>
      <c r="BI52" s="70" t="s">
        <v>5</v>
      </c>
      <c r="BJ52" s="51" t="b">
        <v>1</v>
      </c>
      <c r="BK52" s="72">
        <v>1.5</v>
      </c>
      <c r="BL52" s="52" t="b">
        <v>0</v>
      </c>
      <c r="BM52" s="70" t="s">
        <v>6</v>
      </c>
      <c r="BN52" s="51" t="b">
        <v>1</v>
      </c>
      <c r="BO52" s="70" t="s">
        <v>15</v>
      </c>
      <c r="BP52" s="71">
        <v>1</v>
      </c>
      <c r="BQ52" s="71">
        <v>0.5</v>
      </c>
      <c r="BR52" s="75" t="str">
        <f t="shared" si="72"/>
        <v>5/ 8/ 13/ 34</v>
      </c>
      <c r="BS52" s="75" t="str">
        <f t="shared" si="73"/>
        <v>8 / 13 / 11</v>
      </c>
      <c r="BT52" s="75" t="str">
        <f t="shared" si="74"/>
        <v>0.05 / 0.5</v>
      </c>
      <c r="BU52" s="7">
        <v>545</v>
      </c>
      <c r="BV52" s="7">
        <v>321</v>
      </c>
      <c r="BW52" s="7">
        <v>260</v>
      </c>
      <c r="BX52" s="27">
        <f t="shared" si="75"/>
        <v>61</v>
      </c>
      <c r="BY52" s="7">
        <v>72</v>
      </c>
      <c r="BZ52" s="21">
        <f t="shared" si="76"/>
        <v>152</v>
      </c>
      <c r="CA52" s="98">
        <f t="shared" si="87"/>
        <v>0.58899082568807337</v>
      </c>
      <c r="CB52" s="99">
        <f t="shared" si="88"/>
        <v>0.13211009174311927</v>
      </c>
      <c r="CC52" s="20">
        <v>4.32</v>
      </c>
      <c r="CD52" s="20">
        <v>25.77</v>
      </c>
      <c r="CE52" s="20">
        <v>0.39</v>
      </c>
      <c r="CF52" s="77">
        <f t="shared" si="77"/>
        <v>1.5</v>
      </c>
      <c r="CG52" s="20">
        <v>0.65</v>
      </c>
      <c r="CH52" s="20">
        <v>0.49</v>
      </c>
      <c r="CI52" s="22">
        <v>8904.7000000000007</v>
      </c>
      <c r="CJ52" s="20">
        <v>27.74</v>
      </c>
      <c r="CK52" s="20">
        <v>26.54</v>
      </c>
      <c r="CL52" s="20">
        <v>-5.48</v>
      </c>
      <c r="CM52" s="74">
        <v>1000</v>
      </c>
      <c r="CN52" s="22">
        <v>14042.83</v>
      </c>
      <c r="CO52" s="35">
        <f t="shared" si="78"/>
        <v>15042.83</v>
      </c>
      <c r="CP52" s="35">
        <f t="shared" si="79"/>
        <v>1404.2829999999999</v>
      </c>
      <c r="CR52" s="15">
        <f t="shared" si="80"/>
        <v>12</v>
      </c>
      <c r="CS52" s="13">
        <f t="shared" si="81"/>
        <v>742.05833333333339</v>
      </c>
      <c r="CT52" s="13">
        <f t="shared" si="82"/>
        <v>1170.2358333333334</v>
      </c>
      <c r="CU52" s="13">
        <f t="shared" si="83"/>
        <v>117.02358333333333</v>
      </c>
      <c r="CW52" s="13">
        <f t="shared" si="84"/>
        <v>8904.7000000000007</v>
      </c>
      <c r="CX52" s="13">
        <f t="shared" si="85"/>
        <v>14042.83</v>
      </c>
      <c r="CY52" s="13">
        <f t="shared" si="86"/>
        <v>1404.2829999999999</v>
      </c>
    </row>
    <row r="53" spans="1:103" outlineLevel="1" x14ac:dyDescent="0.2">
      <c r="A53" s="43"/>
      <c r="B53" s="10"/>
      <c r="C53" s="3" t="s">
        <v>17</v>
      </c>
      <c r="D53" s="3" t="s">
        <v>113</v>
      </c>
      <c r="E53" s="6" t="s">
        <v>19</v>
      </c>
      <c r="F53" s="3" t="s">
        <v>25</v>
      </c>
      <c r="G53" s="5" t="s">
        <v>50</v>
      </c>
      <c r="H53" s="52" t="b">
        <v>0</v>
      </c>
      <c r="J53" s="46" t="s">
        <v>91</v>
      </c>
      <c r="K53" s="46" t="s">
        <v>91</v>
      </c>
      <c r="L53" s="46" t="s">
        <v>91</v>
      </c>
      <c r="M53" s="56" t="b">
        <v>0</v>
      </c>
      <c r="Q53" s="51" t="b">
        <v>1</v>
      </c>
      <c r="R53" s="50" t="s">
        <v>53</v>
      </c>
      <c r="S53" s="55" t="b">
        <v>1</v>
      </c>
      <c r="T53" s="49">
        <v>13</v>
      </c>
      <c r="U53" s="47">
        <v>1.4999999999999999E-2</v>
      </c>
      <c r="V53" s="49">
        <v>75</v>
      </c>
      <c r="W53" s="49">
        <v>-75</v>
      </c>
      <c r="X53" s="47">
        <v>50</v>
      </c>
      <c r="Y53" s="47">
        <v>5</v>
      </c>
      <c r="Z53" s="51" t="b">
        <v>1</v>
      </c>
      <c r="AA53" s="50" t="s">
        <v>92</v>
      </c>
      <c r="AB53" s="54">
        <v>2</v>
      </c>
      <c r="AC53" s="56" t="b">
        <v>0</v>
      </c>
      <c r="AE53" s="56" t="b">
        <v>0</v>
      </c>
      <c r="AG53" s="55" t="b">
        <v>1</v>
      </c>
      <c r="AH53" s="48">
        <v>5</v>
      </c>
      <c r="AI53" s="48">
        <v>8</v>
      </c>
      <c r="AJ53" s="48">
        <v>13</v>
      </c>
      <c r="AK53" s="48">
        <v>34</v>
      </c>
      <c r="AL53" s="52" t="b">
        <v>0</v>
      </c>
      <c r="AM53" s="51" t="b">
        <v>1</v>
      </c>
      <c r="AN53" s="53" t="s">
        <v>34</v>
      </c>
      <c r="AO53" s="60">
        <v>1.0000000000000001E-5</v>
      </c>
      <c r="AP53" s="51" t="b">
        <v>1</v>
      </c>
      <c r="AQ53" s="60">
        <v>1.0000000000000001E-5</v>
      </c>
      <c r="AR53" s="66">
        <v>8</v>
      </c>
      <c r="AS53" s="66">
        <v>17</v>
      </c>
      <c r="AT53" s="66">
        <v>9</v>
      </c>
      <c r="AU53" s="51" t="b">
        <v>1</v>
      </c>
      <c r="AV53" s="47">
        <v>3</v>
      </c>
      <c r="AW53" s="62">
        <v>5</v>
      </c>
      <c r="AX53" s="47">
        <v>1</v>
      </c>
      <c r="AY53" s="51" t="b">
        <v>1</v>
      </c>
      <c r="AZ53" s="45" t="s">
        <v>73</v>
      </c>
      <c r="BA53" s="45">
        <v>4</v>
      </c>
      <c r="BB53" s="49">
        <v>0.05</v>
      </c>
      <c r="BC53" s="49">
        <v>0.5</v>
      </c>
      <c r="BD53" s="52" t="b">
        <v>0</v>
      </c>
      <c r="BE53" s="45" t="s">
        <v>98</v>
      </c>
      <c r="BF53" s="51" t="b">
        <v>1</v>
      </c>
      <c r="BG53" s="45" t="s">
        <v>71</v>
      </c>
      <c r="BH53" s="54">
        <v>0.02</v>
      </c>
      <c r="BI53" s="70" t="s">
        <v>5</v>
      </c>
      <c r="BJ53" s="51" t="b">
        <v>1</v>
      </c>
      <c r="BK53" s="72">
        <v>1.5</v>
      </c>
      <c r="BL53" s="52" t="b">
        <v>0</v>
      </c>
      <c r="BM53" s="70" t="s">
        <v>6</v>
      </c>
      <c r="BN53" s="51" t="b">
        <v>1</v>
      </c>
      <c r="BO53" s="70" t="s">
        <v>15</v>
      </c>
      <c r="BP53" s="71">
        <v>1</v>
      </c>
      <c r="BQ53" s="71">
        <v>0.5</v>
      </c>
      <c r="BR53" s="75" t="str">
        <f t="shared" si="72"/>
        <v>5/ 8/ 13/ 34</v>
      </c>
      <c r="BS53" s="75" t="str">
        <f t="shared" si="73"/>
        <v>8 / 17 / 9</v>
      </c>
      <c r="BT53" s="75" t="str">
        <f t="shared" si="74"/>
        <v>0.05 / 0.5</v>
      </c>
      <c r="BU53" s="7">
        <v>545</v>
      </c>
      <c r="BV53" s="7">
        <v>323</v>
      </c>
      <c r="BW53" s="7">
        <v>263</v>
      </c>
      <c r="BX53" s="27">
        <f t="shared" si="75"/>
        <v>60</v>
      </c>
      <c r="BY53" s="7">
        <v>71</v>
      </c>
      <c r="BZ53" s="21">
        <f t="shared" si="76"/>
        <v>151</v>
      </c>
      <c r="CA53" s="98">
        <f t="shared" si="87"/>
        <v>0.59266055045871557</v>
      </c>
      <c r="CB53" s="99">
        <f t="shared" si="88"/>
        <v>0.13027522935779817</v>
      </c>
      <c r="CC53" s="20">
        <v>4.45</v>
      </c>
      <c r="CD53" s="20">
        <v>26.11</v>
      </c>
      <c r="CE53" s="20">
        <v>0.39</v>
      </c>
      <c r="CF53" s="77">
        <f t="shared" si="77"/>
        <v>1.5</v>
      </c>
      <c r="CG53" s="20">
        <v>0.65</v>
      </c>
      <c r="CH53" s="20">
        <v>0.49</v>
      </c>
      <c r="CI53" s="22">
        <v>8885.9</v>
      </c>
      <c r="CJ53" s="20">
        <v>27.51</v>
      </c>
      <c r="CK53" s="20">
        <v>26.37</v>
      </c>
      <c r="CL53" s="20">
        <v>-5.48</v>
      </c>
      <c r="CM53" s="74">
        <v>1000</v>
      </c>
      <c r="CN53" s="22">
        <v>14227.13</v>
      </c>
      <c r="CO53" s="35">
        <f t="shared" si="78"/>
        <v>15227.13</v>
      </c>
      <c r="CP53" s="35">
        <f t="shared" si="79"/>
        <v>1422.713</v>
      </c>
      <c r="CR53" s="15">
        <f t="shared" si="80"/>
        <v>12</v>
      </c>
      <c r="CS53" s="13">
        <f t="shared" si="81"/>
        <v>740.49166666666667</v>
      </c>
      <c r="CT53" s="13">
        <f t="shared" si="82"/>
        <v>1185.5941666666665</v>
      </c>
      <c r="CU53" s="13">
        <f t="shared" si="83"/>
        <v>118.55941666666665</v>
      </c>
      <c r="CW53" s="13">
        <f t="shared" si="84"/>
        <v>8885.9</v>
      </c>
      <c r="CX53" s="13">
        <f t="shared" si="85"/>
        <v>14227.13</v>
      </c>
      <c r="CY53" s="13">
        <f t="shared" si="86"/>
        <v>1422.713</v>
      </c>
    </row>
    <row r="54" spans="1:103" outlineLevel="1" x14ac:dyDescent="0.2">
      <c r="A54" s="43"/>
      <c r="B54" s="10"/>
      <c r="C54" s="3" t="s">
        <v>17</v>
      </c>
      <c r="D54" s="3" t="s">
        <v>113</v>
      </c>
      <c r="E54" s="6" t="s">
        <v>19</v>
      </c>
      <c r="F54" s="3" t="s">
        <v>25</v>
      </c>
      <c r="G54" s="5" t="s">
        <v>50</v>
      </c>
      <c r="H54" s="52" t="b">
        <v>0</v>
      </c>
      <c r="J54" s="46" t="s">
        <v>91</v>
      </c>
      <c r="K54" s="46" t="s">
        <v>91</v>
      </c>
      <c r="L54" s="46" t="s">
        <v>91</v>
      </c>
      <c r="M54" s="56" t="b">
        <v>0</v>
      </c>
      <c r="Q54" s="51" t="b">
        <v>1</v>
      </c>
      <c r="R54" s="50" t="s">
        <v>53</v>
      </c>
      <c r="S54" s="55" t="b">
        <v>1</v>
      </c>
      <c r="T54" s="49">
        <v>13</v>
      </c>
      <c r="U54" s="47">
        <v>1.4999999999999999E-2</v>
      </c>
      <c r="V54" s="49">
        <v>75</v>
      </c>
      <c r="W54" s="49">
        <v>-75</v>
      </c>
      <c r="X54" s="47">
        <v>50</v>
      </c>
      <c r="Y54" s="47">
        <v>5</v>
      </c>
      <c r="Z54" s="51" t="b">
        <v>1</v>
      </c>
      <c r="AA54" s="50" t="s">
        <v>92</v>
      </c>
      <c r="AB54" s="54">
        <v>2</v>
      </c>
      <c r="AC54" s="56" t="b">
        <v>0</v>
      </c>
      <c r="AE54" s="56" t="b">
        <v>0</v>
      </c>
      <c r="AG54" s="55" t="b">
        <v>1</v>
      </c>
      <c r="AH54" s="48">
        <v>5</v>
      </c>
      <c r="AI54" s="48">
        <v>8</v>
      </c>
      <c r="AJ54" s="48">
        <v>13</v>
      </c>
      <c r="AK54" s="48">
        <v>34</v>
      </c>
      <c r="AL54" s="52" t="b">
        <v>0</v>
      </c>
      <c r="AM54" s="51" t="b">
        <v>1</v>
      </c>
      <c r="AN54" s="53" t="s">
        <v>34</v>
      </c>
      <c r="AO54" s="60">
        <v>1.0000000000000001E-5</v>
      </c>
      <c r="AP54" s="51" t="b">
        <v>1</v>
      </c>
      <c r="AQ54" s="60">
        <v>1.0000000000000001E-5</v>
      </c>
      <c r="AR54" s="67">
        <v>12</v>
      </c>
      <c r="AS54" s="67">
        <v>26</v>
      </c>
      <c r="AT54" s="67">
        <v>9</v>
      </c>
      <c r="AU54" s="51" t="b">
        <v>1</v>
      </c>
      <c r="AV54" s="47">
        <v>3</v>
      </c>
      <c r="AW54" s="62">
        <v>5</v>
      </c>
      <c r="AX54" s="47">
        <v>1</v>
      </c>
      <c r="AY54" s="51" t="b">
        <v>1</v>
      </c>
      <c r="AZ54" s="45" t="s">
        <v>73</v>
      </c>
      <c r="BA54" s="45">
        <v>4</v>
      </c>
      <c r="BB54" s="49">
        <v>0.05</v>
      </c>
      <c r="BC54" s="49">
        <v>0.5</v>
      </c>
      <c r="BD54" s="52" t="b">
        <v>0</v>
      </c>
      <c r="BE54" s="45" t="s">
        <v>98</v>
      </c>
      <c r="BF54" s="51" t="b">
        <v>1</v>
      </c>
      <c r="BG54" s="45" t="s">
        <v>71</v>
      </c>
      <c r="BH54" s="54">
        <v>0.02</v>
      </c>
      <c r="BI54" s="70" t="s">
        <v>5</v>
      </c>
      <c r="BJ54" s="51" t="b">
        <v>1</v>
      </c>
      <c r="BK54" s="72">
        <v>1.5</v>
      </c>
      <c r="BL54" s="52" t="b">
        <v>0</v>
      </c>
      <c r="BM54" s="70" t="s">
        <v>6</v>
      </c>
      <c r="BN54" s="51" t="b">
        <v>1</v>
      </c>
      <c r="BO54" s="70" t="s">
        <v>15</v>
      </c>
      <c r="BP54" s="71">
        <v>1</v>
      </c>
      <c r="BQ54" s="71">
        <v>0.5</v>
      </c>
      <c r="BR54" s="75" t="str">
        <f t="shared" si="72"/>
        <v>5/ 8/ 13/ 34</v>
      </c>
      <c r="BS54" s="75" t="str">
        <f t="shared" si="73"/>
        <v>12 / 26 / 9</v>
      </c>
      <c r="BT54" s="75" t="str">
        <f t="shared" si="74"/>
        <v>0.05 / 0.5</v>
      </c>
      <c r="BU54" s="7">
        <v>557</v>
      </c>
      <c r="BV54" s="7">
        <v>322</v>
      </c>
      <c r="BW54" s="7">
        <v>258</v>
      </c>
      <c r="BX54" s="27">
        <f t="shared" si="75"/>
        <v>64</v>
      </c>
      <c r="BY54" s="7">
        <v>75</v>
      </c>
      <c r="BZ54" s="21">
        <f t="shared" si="76"/>
        <v>160</v>
      </c>
      <c r="CA54" s="98">
        <f t="shared" si="87"/>
        <v>0.57809694793536803</v>
      </c>
      <c r="CB54" s="99">
        <f t="shared" si="88"/>
        <v>0.13464991023339318</v>
      </c>
      <c r="CC54" s="20">
        <v>4.13</v>
      </c>
      <c r="CD54" s="20">
        <v>26.52</v>
      </c>
      <c r="CE54" s="20">
        <v>0.38</v>
      </c>
      <c r="CF54" s="77">
        <f t="shared" si="77"/>
        <v>1.5</v>
      </c>
      <c r="CG54" s="20">
        <v>0.67</v>
      </c>
      <c r="CH54" s="20">
        <v>0.49</v>
      </c>
      <c r="CI54" s="22">
        <v>8817.6</v>
      </c>
      <c r="CJ54" s="20">
        <v>27.38</v>
      </c>
      <c r="CK54" s="20">
        <v>25.94</v>
      </c>
      <c r="CL54" s="20">
        <v>-5.48</v>
      </c>
      <c r="CM54" s="74">
        <v>1000</v>
      </c>
      <c r="CN54" s="100">
        <v>14772.06</v>
      </c>
      <c r="CO54" s="101">
        <f t="shared" si="78"/>
        <v>15772.06</v>
      </c>
      <c r="CP54" s="101">
        <f t="shared" si="79"/>
        <v>1477.2059999999999</v>
      </c>
      <c r="CR54" s="15">
        <f t="shared" si="80"/>
        <v>12</v>
      </c>
      <c r="CS54" s="13">
        <f t="shared" si="81"/>
        <v>734.80000000000007</v>
      </c>
      <c r="CT54" s="13">
        <f t="shared" si="82"/>
        <v>1231.0049999999999</v>
      </c>
      <c r="CU54" s="13">
        <f t="shared" si="83"/>
        <v>123.10049999999998</v>
      </c>
      <c r="CW54" s="13">
        <f t="shared" si="84"/>
        <v>8817.6</v>
      </c>
      <c r="CX54" s="13">
        <f t="shared" si="85"/>
        <v>14772.06</v>
      </c>
      <c r="CY54" s="13">
        <f t="shared" si="86"/>
        <v>1477.2059999999999</v>
      </c>
    </row>
    <row r="55" spans="1:103" outlineLevel="1" x14ac:dyDescent="0.2">
      <c r="A55" s="43"/>
      <c r="B55" s="10"/>
      <c r="C55" s="3" t="s">
        <v>17</v>
      </c>
      <c r="D55" s="3" t="s">
        <v>113</v>
      </c>
      <c r="E55" s="6" t="s">
        <v>19</v>
      </c>
      <c r="F55" s="3" t="s">
        <v>25</v>
      </c>
      <c r="G55" s="5" t="s">
        <v>50</v>
      </c>
      <c r="H55" s="52" t="b">
        <v>0</v>
      </c>
      <c r="J55" s="46" t="s">
        <v>91</v>
      </c>
      <c r="K55" s="46" t="s">
        <v>91</v>
      </c>
      <c r="L55" s="46" t="s">
        <v>91</v>
      </c>
      <c r="M55" s="56" t="b">
        <v>0</v>
      </c>
      <c r="Q55" s="51" t="b">
        <v>1</v>
      </c>
      <c r="R55" s="50" t="s">
        <v>53</v>
      </c>
      <c r="S55" s="55" t="b">
        <v>1</v>
      </c>
      <c r="T55" s="49">
        <v>13</v>
      </c>
      <c r="U55" s="47">
        <v>1.4999999999999999E-2</v>
      </c>
      <c r="V55" s="49">
        <v>75</v>
      </c>
      <c r="W55" s="49">
        <v>-75</v>
      </c>
      <c r="X55" s="47">
        <v>50</v>
      </c>
      <c r="Y55" s="47">
        <v>5</v>
      </c>
      <c r="Z55" s="51" t="b">
        <v>1</v>
      </c>
      <c r="AA55" s="50" t="s">
        <v>92</v>
      </c>
      <c r="AB55" s="54">
        <v>2</v>
      </c>
      <c r="AC55" s="56" t="b">
        <v>0</v>
      </c>
      <c r="AE55" s="56" t="b">
        <v>0</v>
      </c>
      <c r="AG55" s="55" t="b">
        <v>1</v>
      </c>
      <c r="AH55" s="48">
        <v>5</v>
      </c>
      <c r="AI55" s="48">
        <v>8</v>
      </c>
      <c r="AJ55" s="48">
        <v>13</v>
      </c>
      <c r="AK55" s="48">
        <v>34</v>
      </c>
      <c r="AL55" s="52" t="b">
        <v>0</v>
      </c>
      <c r="AM55" s="51" t="b">
        <v>1</v>
      </c>
      <c r="AN55" s="53" t="s">
        <v>34</v>
      </c>
      <c r="AO55" s="60">
        <v>1.0000000000000001E-5</v>
      </c>
      <c r="AP55" s="51" t="b">
        <v>1</v>
      </c>
      <c r="AQ55" s="60">
        <v>1.0000000000000001E-5</v>
      </c>
      <c r="AR55" s="56">
        <v>21</v>
      </c>
      <c r="AS55" s="56">
        <v>34</v>
      </c>
      <c r="AT55" s="56">
        <v>9</v>
      </c>
      <c r="AU55" s="51" t="b">
        <v>1</v>
      </c>
      <c r="AV55" s="47">
        <v>3</v>
      </c>
      <c r="AW55" s="62">
        <v>5</v>
      </c>
      <c r="AX55" s="47">
        <v>1</v>
      </c>
      <c r="AY55" s="51" t="b">
        <v>1</v>
      </c>
      <c r="AZ55" s="45" t="s">
        <v>73</v>
      </c>
      <c r="BA55" s="45">
        <v>4</v>
      </c>
      <c r="BB55" s="49">
        <v>0.05</v>
      </c>
      <c r="BC55" s="49">
        <v>0.5</v>
      </c>
      <c r="BD55" s="52" t="b">
        <v>0</v>
      </c>
      <c r="BE55" s="45" t="s">
        <v>98</v>
      </c>
      <c r="BF55" s="51" t="b">
        <v>1</v>
      </c>
      <c r="BG55" s="45" t="s">
        <v>71</v>
      </c>
      <c r="BH55" s="54">
        <v>0.02</v>
      </c>
      <c r="BI55" s="70" t="s">
        <v>5</v>
      </c>
      <c r="BJ55" s="51" t="b">
        <v>1</v>
      </c>
      <c r="BK55" s="72">
        <v>1.5</v>
      </c>
      <c r="BL55" s="52" t="b">
        <v>0</v>
      </c>
      <c r="BM55" s="70" t="s">
        <v>6</v>
      </c>
      <c r="BN55" s="51" t="b">
        <v>1</v>
      </c>
      <c r="BO55" s="70" t="s">
        <v>15</v>
      </c>
      <c r="BP55" s="71">
        <v>1</v>
      </c>
      <c r="BQ55" s="71">
        <v>0.5</v>
      </c>
      <c r="BR55" s="75" t="str">
        <f t="shared" si="72"/>
        <v>5/ 8/ 13/ 34</v>
      </c>
      <c r="BS55" s="75" t="str">
        <f t="shared" si="73"/>
        <v>21 / 34 / 9</v>
      </c>
      <c r="BT55" s="75" t="str">
        <f t="shared" si="74"/>
        <v>0.05 / 0.5</v>
      </c>
      <c r="BU55" s="7">
        <v>555</v>
      </c>
      <c r="BV55" s="7">
        <v>312</v>
      </c>
      <c r="BW55" s="7">
        <v>250</v>
      </c>
      <c r="BX55" s="27">
        <f t="shared" si="75"/>
        <v>62</v>
      </c>
      <c r="BY55" s="7">
        <v>77</v>
      </c>
      <c r="BZ55" s="21">
        <f t="shared" si="76"/>
        <v>166</v>
      </c>
      <c r="CA55" s="98">
        <f t="shared" si="87"/>
        <v>0.56216216216216219</v>
      </c>
      <c r="CB55" s="99">
        <f t="shared" si="88"/>
        <v>0.13873873873873874</v>
      </c>
      <c r="CC55" s="20">
        <v>3.78</v>
      </c>
      <c r="CD55" s="20">
        <v>24.83</v>
      </c>
      <c r="CE55" s="20">
        <v>0.36</v>
      </c>
      <c r="CF55" s="77">
        <f t="shared" si="77"/>
        <v>1.5</v>
      </c>
      <c r="CG55" s="20">
        <v>0.67</v>
      </c>
      <c r="CH55" s="20">
        <v>0.5</v>
      </c>
      <c r="CI55" s="22">
        <v>8602.2000000000007</v>
      </c>
      <c r="CJ55" s="20">
        <v>27.57</v>
      </c>
      <c r="CK55" s="20">
        <v>26.46</v>
      </c>
      <c r="CL55" s="20">
        <v>-5.48</v>
      </c>
      <c r="CM55" s="74">
        <v>1000</v>
      </c>
      <c r="CN55" s="22">
        <v>13781.44</v>
      </c>
      <c r="CO55" s="35">
        <f t="shared" si="78"/>
        <v>14781.44</v>
      </c>
      <c r="CP55" s="35">
        <f t="shared" si="79"/>
        <v>1378.144</v>
      </c>
      <c r="CR55" s="15">
        <f t="shared" si="80"/>
        <v>12</v>
      </c>
      <c r="CS55" s="13">
        <f t="shared" si="81"/>
        <v>716.85</v>
      </c>
      <c r="CT55" s="13">
        <f t="shared" si="82"/>
        <v>1148.4533333333334</v>
      </c>
      <c r="CU55" s="13">
        <f t="shared" si="83"/>
        <v>114.84533333333334</v>
      </c>
      <c r="CW55" s="13">
        <f t="shared" si="84"/>
        <v>8602.2000000000007</v>
      </c>
      <c r="CX55" s="13">
        <f t="shared" si="85"/>
        <v>13781.44</v>
      </c>
      <c r="CY55" s="13">
        <f t="shared" si="86"/>
        <v>1378.144</v>
      </c>
    </row>
    <row r="56" spans="1:103" outlineLevel="1" x14ac:dyDescent="0.2">
      <c r="B56" s="2"/>
    </row>
    <row r="57" spans="1:103" x14ac:dyDescent="0.2">
      <c r="A57" s="43"/>
      <c r="B57" s="10" t="s">
        <v>124</v>
      </c>
      <c r="C57" s="3" t="s">
        <v>17</v>
      </c>
      <c r="D57" s="3" t="s">
        <v>113</v>
      </c>
      <c r="E57" s="6" t="s">
        <v>19</v>
      </c>
      <c r="F57" s="3" t="s">
        <v>25</v>
      </c>
      <c r="G57" s="5" t="s">
        <v>50</v>
      </c>
      <c r="H57" s="52" t="b">
        <v>0</v>
      </c>
      <c r="J57" s="46" t="s">
        <v>91</v>
      </c>
      <c r="K57" s="46" t="s">
        <v>91</v>
      </c>
      <c r="L57" s="46" t="s">
        <v>91</v>
      </c>
      <c r="M57" s="56" t="b">
        <v>0</v>
      </c>
      <c r="Q57" s="51" t="b">
        <v>1</v>
      </c>
      <c r="R57" s="50" t="s">
        <v>53</v>
      </c>
      <c r="S57" s="55" t="b">
        <v>1</v>
      </c>
      <c r="T57" s="49">
        <v>13</v>
      </c>
      <c r="U57" s="47">
        <v>1.4999999999999999E-2</v>
      </c>
      <c r="V57" s="49">
        <v>75</v>
      </c>
      <c r="W57" s="49">
        <v>-75</v>
      </c>
      <c r="X57" s="47">
        <v>50</v>
      </c>
      <c r="Y57" s="47">
        <v>5</v>
      </c>
      <c r="Z57" s="51" t="b">
        <v>1</v>
      </c>
      <c r="AA57" s="50" t="s">
        <v>92</v>
      </c>
      <c r="AB57" s="54">
        <v>2</v>
      </c>
      <c r="AC57" s="56" t="b">
        <v>0</v>
      </c>
      <c r="AE57" s="56" t="b">
        <v>0</v>
      </c>
      <c r="AG57" s="55" t="b">
        <v>1</v>
      </c>
      <c r="AH57" s="48">
        <v>8</v>
      </c>
      <c r="AI57" s="48">
        <v>13</v>
      </c>
      <c r="AJ57" s="48">
        <v>21</v>
      </c>
      <c r="AK57" s="48">
        <v>34</v>
      </c>
      <c r="AL57" s="52" t="b">
        <v>0</v>
      </c>
      <c r="AM57" s="51" t="b">
        <v>1</v>
      </c>
      <c r="AN57" s="53" t="s">
        <v>34</v>
      </c>
      <c r="AO57" s="60">
        <v>1.0000000000000001E-5</v>
      </c>
      <c r="AP57" s="51" t="b">
        <v>1</v>
      </c>
      <c r="AQ57" s="60">
        <v>1.0000000000000001E-5</v>
      </c>
      <c r="AR57" s="49">
        <v>5</v>
      </c>
      <c r="AS57" s="49">
        <v>8</v>
      </c>
      <c r="AT57" s="49">
        <v>5</v>
      </c>
      <c r="AU57" s="51" t="b">
        <v>1</v>
      </c>
      <c r="AV57" s="47">
        <v>3</v>
      </c>
      <c r="AW57" s="62">
        <v>5</v>
      </c>
      <c r="AX57" s="47">
        <v>1</v>
      </c>
      <c r="AY57" s="51" t="b">
        <v>1</v>
      </c>
      <c r="AZ57" s="45" t="s">
        <v>73</v>
      </c>
      <c r="BA57" s="45">
        <v>4</v>
      </c>
      <c r="BB57" s="49">
        <v>0.05</v>
      </c>
      <c r="BC57" s="49">
        <v>0.5</v>
      </c>
      <c r="BD57" s="52" t="b">
        <v>0</v>
      </c>
      <c r="BE57" s="45" t="s">
        <v>98</v>
      </c>
      <c r="BF57" s="51" t="b">
        <v>1</v>
      </c>
      <c r="BG57" s="45" t="s">
        <v>71</v>
      </c>
      <c r="BH57" s="54">
        <v>0.02</v>
      </c>
      <c r="BI57" s="70" t="s">
        <v>5</v>
      </c>
      <c r="BJ57" s="51" t="b">
        <v>1</v>
      </c>
      <c r="BK57" s="72">
        <v>1.5</v>
      </c>
      <c r="BL57" s="52" t="b">
        <v>0</v>
      </c>
      <c r="BM57" s="70" t="s">
        <v>6</v>
      </c>
      <c r="BN57" s="51" t="b">
        <v>1</v>
      </c>
      <c r="BO57" s="70" t="s">
        <v>15</v>
      </c>
      <c r="BP57" s="71">
        <v>1</v>
      </c>
      <c r="BQ57" s="71">
        <v>0.5</v>
      </c>
      <c r="BR57" s="75" t="str">
        <f t="shared" ref="BR57:BR64" si="89">AH57&amp;"/ "&amp;AI57&amp;"/ "&amp;AJ57&amp;"/ "&amp;AK57</f>
        <v>8/ 13/ 21/ 34</v>
      </c>
      <c r="BS57" s="75" t="str">
        <f t="shared" ref="BS57:BS64" si="90">AR57&amp;" / "&amp;AS57&amp;" / "&amp;AT57</f>
        <v>5 / 8 / 5</v>
      </c>
      <c r="BT57" s="75" t="str">
        <f t="shared" ref="BT57:BT64" si="91">BB57&amp;" / "&amp;BC57</f>
        <v>0.05 / 0.5</v>
      </c>
      <c r="BU57" s="7">
        <v>493</v>
      </c>
      <c r="BV57" s="7">
        <v>290</v>
      </c>
      <c r="BW57" s="7">
        <v>232</v>
      </c>
      <c r="BX57" s="27">
        <f t="shared" ref="BX57:BX64" si="92">BV57-BW57</f>
        <v>58</v>
      </c>
      <c r="BY57" s="7">
        <v>54</v>
      </c>
      <c r="BZ57" s="21">
        <f t="shared" ref="BZ57:BZ64" si="93">BU57-SUM(BW57:BY57)</f>
        <v>149</v>
      </c>
      <c r="CA57" s="98">
        <f t="shared" ref="CA57" si="94">IF(BU57=0,0,BV57/BU57)</f>
        <v>0.58823529411764708</v>
      </c>
      <c r="CB57" s="99">
        <f t="shared" ref="CB57" si="95">IF(BU57=0,0,BY57/BU57)</f>
        <v>0.10953346855983773</v>
      </c>
      <c r="CC57" s="20">
        <v>4.9000000000000004</v>
      </c>
      <c r="CD57" s="20">
        <v>26.75</v>
      </c>
      <c r="CE57" s="20">
        <v>0.4</v>
      </c>
      <c r="CF57" s="77">
        <f t="shared" ref="CF57:CF64" si="96">BK57</f>
        <v>1.5</v>
      </c>
      <c r="CG57" s="20">
        <v>0.66</v>
      </c>
      <c r="CH57" s="20">
        <v>0.48</v>
      </c>
      <c r="CI57" s="22">
        <v>8223.7000000000007</v>
      </c>
      <c r="CJ57" s="20">
        <v>28.36</v>
      </c>
      <c r="CK57" s="20">
        <v>27.26</v>
      </c>
      <c r="CL57" s="20">
        <v>-4.0199999999999996</v>
      </c>
      <c r="CM57" s="74">
        <v>1000</v>
      </c>
      <c r="CN57" s="100">
        <v>13188.68</v>
      </c>
      <c r="CO57" s="101">
        <f t="shared" ref="CO57:CO64" si="97">CM57+CN57</f>
        <v>14188.68</v>
      </c>
      <c r="CP57" s="101">
        <f t="shared" ref="CP57:CP64" si="98">CN57/10</f>
        <v>1318.8679999999999</v>
      </c>
      <c r="CR57" s="15">
        <f t="shared" ref="CR57:CR64" si="99">CR$4</f>
        <v>12</v>
      </c>
      <c r="CS57" s="13">
        <f t="shared" ref="CS57:CS64" si="100">CI57/CR57</f>
        <v>685.30833333333339</v>
      </c>
      <c r="CT57" s="13">
        <f t="shared" ref="CT57:CT64" si="101">CN57/CR57</f>
        <v>1099.0566666666666</v>
      </c>
      <c r="CU57" s="13">
        <f t="shared" ref="CU57:CU64" si="102">CT57/10</f>
        <v>109.90566666666666</v>
      </c>
      <c r="CW57" s="13">
        <f t="shared" ref="CW57:CW64" si="103">CI57</f>
        <v>8223.7000000000007</v>
      </c>
      <c r="CX57" s="13">
        <f t="shared" ref="CX57:CX64" si="104">CN57</f>
        <v>13188.68</v>
      </c>
      <c r="CY57" s="13">
        <f t="shared" ref="CY57:CY64" si="105">CP57</f>
        <v>1318.8679999999999</v>
      </c>
    </row>
    <row r="58" spans="1:103" outlineLevel="1" x14ac:dyDescent="0.2">
      <c r="A58" s="43"/>
      <c r="B58" s="10"/>
      <c r="C58" s="3" t="s">
        <v>17</v>
      </c>
      <c r="D58" s="3" t="s">
        <v>113</v>
      </c>
      <c r="E58" s="6" t="s">
        <v>19</v>
      </c>
      <c r="F58" s="3" t="s">
        <v>25</v>
      </c>
      <c r="G58" s="5" t="s">
        <v>50</v>
      </c>
      <c r="H58" s="52" t="b">
        <v>0</v>
      </c>
      <c r="J58" s="46" t="s">
        <v>91</v>
      </c>
      <c r="K58" s="46" t="s">
        <v>91</v>
      </c>
      <c r="L58" s="46" t="s">
        <v>91</v>
      </c>
      <c r="M58" s="56" t="b">
        <v>0</v>
      </c>
      <c r="Q58" s="51" t="b">
        <v>1</v>
      </c>
      <c r="R58" s="50" t="s">
        <v>53</v>
      </c>
      <c r="S58" s="55" t="b">
        <v>1</v>
      </c>
      <c r="T58" s="49">
        <v>13</v>
      </c>
      <c r="U58" s="47">
        <v>1.4999999999999999E-2</v>
      </c>
      <c r="V58" s="49">
        <v>75</v>
      </c>
      <c r="W58" s="49">
        <v>-75</v>
      </c>
      <c r="X58" s="47">
        <v>50</v>
      </c>
      <c r="Y58" s="47">
        <v>5</v>
      </c>
      <c r="Z58" s="51" t="b">
        <v>1</v>
      </c>
      <c r="AA58" s="50" t="s">
        <v>92</v>
      </c>
      <c r="AB58" s="54">
        <v>2</v>
      </c>
      <c r="AC58" s="56" t="b">
        <v>0</v>
      </c>
      <c r="AE58" s="56" t="b">
        <v>0</v>
      </c>
      <c r="AG58" s="55" t="b">
        <v>1</v>
      </c>
      <c r="AH58" s="48">
        <v>8</v>
      </c>
      <c r="AI58" s="48">
        <v>13</v>
      </c>
      <c r="AJ58" s="48">
        <v>21</v>
      </c>
      <c r="AK58" s="48">
        <v>34</v>
      </c>
      <c r="AL58" s="52" t="b">
        <v>0</v>
      </c>
      <c r="AM58" s="51" t="b">
        <v>1</v>
      </c>
      <c r="AN58" s="53" t="s">
        <v>34</v>
      </c>
      <c r="AO58" s="60">
        <v>1.0000000000000001E-5</v>
      </c>
      <c r="AP58" s="51" t="b">
        <v>1</v>
      </c>
      <c r="AQ58" s="60">
        <v>1.0000000000000001E-5</v>
      </c>
      <c r="AR58" s="56">
        <v>5</v>
      </c>
      <c r="AS58" s="56">
        <v>13</v>
      </c>
      <c r="AT58" s="56">
        <v>5</v>
      </c>
      <c r="AU58" s="51" t="b">
        <v>1</v>
      </c>
      <c r="AV58" s="47">
        <v>3</v>
      </c>
      <c r="AW58" s="62">
        <v>5</v>
      </c>
      <c r="AX58" s="47">
        <v>1</v>
      </c>
      <c r="AY58" s="51" t="b">
        <v>1</v>
      </c>
      <c r="AZ58" s="45" t="s">
        <v>73</v>
      </c>
      <c r="BA58" s="45">
        <v>4</v>
      </c>
      <c r="BB58" s="49">
        <v>0.05</v>
      </c>
      <c r="BC58" s="49">
        <v>0.5</v>
      </c>
      <c r="BD58" s="52" t="b">
        <v>0</v>
      </c>
      <c r="BE58" s="45" t="s">
        <v>98</v>
      </c>
      <c r="BF58" s="51" t="b">
        <v>1</v>
      </c>
      <c r="BG58" s="45" t="s">
        <v>71</v>
      </c>
      <c r="BH58" s="54">
        <v>0.02</v>
      </c>
      <c r="BI58" s="70" t="s">
        <v>5</v>
      </c>
      <c r="BJ58" s="51" t="b">
        <v>1</v>
      </c>
      <c r="BK58" s="72">
        <v>1.5</v>
      </c>
      <c r="BL58" s="52" t="b">
        <v>0</v>
      </c>
      <c r="BM58" s="70" t="s">
        <v>6</v>
      </c>
      <c r="BN58" s="51" t="b">
        <v>1</v>
      </c>
      <c r="BO58" s="70" t="s">
        <v>15</v>
      </c>
      <c r="BP58" s="71">
        <v>1</v>
      </c>
      <c r="BQ58" s="71">
        <v>0.5</v>
      </c>
      <c r="BR58" s="75" t="str">
        <f t="shared" si="89"/>
        <v>8/ 13/ 21/ 34</v>
      </c>
      <c r="BS58" s="75" t="str">
        <f t="shared" si="90"/>
        <v>5 / 13 / 5</v>
      </c>
      <c r="BT58" s="75" t="str">
        <f t="shared" si="91"/>
        <v>0.05 / 0.5</v>
      </c>
      <c r="BU58" s="7">
        <v>508</v>
      </c>
      <c r="BV58" s="7">
        <v>294</v>
      </c>
      <c r="BW58" s="7">
        <v>236</v>
      </c>
      <c r="BX58" s="27">
        <f t="shared" si="92"/>
        <v>58</v>
      </c>
      <c r="BY58" s="7">
        <v>64</v>
      </c>
      <c r="BZ58" s="21">
        <f t="shared" si="93"/>
        <v>150</v>
      </c>
      <c r="CA58" s="98">
        <f>IF(BU58=0,0,BV58/BU58)</f>
        <v>0.57874015748031493</v>
      </c>
      <c r="CB58" s="99">
        <f t="shared" ref="CB58:CB64" si="106">IF(BU58=0,0,BY58/BU58)</f>
        <v>0.12598425196850394</v>
      </c>
      <c r="CC58" s="20">
        <v>4.03</v>
      </c>
      <c r="CD58" s="20">
        <v>24.48</v>
      </c>
      <c r="CE58" s="20">
        <v>0.37</v>
      </c>
      <c r="CF58" s="77">
        <f t="shared" si="96"/>
        <v>1.5</v>
      </c>
      <c r="CG58" s="20">
        <v>0.66</v>
      </c>
      <c r="CH58" s="20">
        <v>0.48</v>
      </c>
      <c r="CI58" s="22">
        <v>8360.7999999999993</v>
      </c>
      <c r="CJ58" s="20">
        <v>28.44</v>
      </c>
      <c r="CK58" s="20">
        <v>27.02</v>
      </c>
      <c r="CL58" s="20">
        <v>-4.78</v>
      </c>
      <c r="CM58" s="74">
        <v>1000</v>
      </c>
      <c r="CN58" s="22">
        <v>12435.36</v>
      </c>
      <c r="CO58" s="35">
        <f t="shared" si="97"/>
        <v>13435.36</v>
      </c>
      <c r="CP58" s="35">
        <f t="shared" si="98"/>
        <v>1243.5360000000001</v>
      </c>
      <c r="CR58" s="15">
        <f t="shared" si="99"/>
        <v>12</v>
      </c>
      <c r="CS58" s="13">
        <f t="shared" si="100"/>
        <v>696.73333333333323</v>
      </c>
      <c r="CT58" s="13">
        <f t="shared" si="101"/>
        <v>1036.28</v>
      </c>
      <c r="CU58" s="13">
        <f t="shared" si="102"/>
        <v>103.628</v>
      </c>
      <c r="CW58" s="13">
        <f t="shared" si="103"/>
        <v>8360.7999999999993</v>
      </c>
      <c r="CX58" s="13">
        <f t="shared" si="104"/>
        <v>12435.36</v>
      </c>
      <c r="CY58" s="13">
        <f t="shared" si="105"/>
        <v>1243.5360000000001</v>
      </c>
    </row>
    <row r="59" spans="1:103" outlineLevel="1" x14ac:dyDescent="0.2">
      <c r="A59" s="43"/>
      <c r="B59" s="10"/>
      <c r="C59" s="3" t="s">
        <v>17</v>
      </c>
      <c r="D59" s="3" t="s">
        <v>113</v>
      </c>
      <c r="E59" s="6" t="s">
        <v>19</v>
      </c>
      <c r="F59" s="3" t="s">
        <v>25</v>
      </c>
      <c r="G59" s="5" t="s">
        <v>50</v>
      </c>
      <c r="H59" s="52" t="b">
        <v>0</v>
      </c>
      <c r="J59" s="46" t="s">
        <v>91</v>
      </c>
      <c r="K59" s="46" t="s">
        <v>91</v>
      </c>
      <c r="L59" s="46" t="s">
        <v>91</v>
      </c>
      <c r="M59" s="56" t="b">
        <v>0</v>
      </c>
      <c r="Q59" s="51" t="b">
        <v>1</v>
      </c>
      <c r="R59" s="50" t="s">
        <v>53</v>
      </c>
      <c r="S59" s="55" t="b">
        <v>1</v>
      </c>
      <c r="T59" s="49">
        <v>13</v>
      </c>
      <c r="U59" s="47">
        <v>1.4999999999999999E-2</v>
      </c>
      <c r="V59" s="49">
        <v>75</v>
      </c>
      <c r="W59" s="49">
        <v>-75</v>
      </c>
      <c r="X59" s="47">
        <v>50</v>
      </c>
      <c r="Y59" s="47">
        <v>5</v>
      </c>
      <c r="Z59" s="51" t="b">
        <v>1</v>
      </c>
      <c r="AA59" s="50" t="s">
        <v>92</v>
      </c>
      <c r="AB59" s="54">
        <v>2</v>
      </c>
      <c r="AC59" s="56" t="b">
        <v>0</v>
      </c>
      <c r="AE59" s="56" t="b">
        <v>0</v>
      </c>
      <c r="AG59" s="55" t="b">
        <v>1</v>
      </c>
      <c r="AH59" s="48">
        <v>8</v>
      </c>
      <c r="AI59" s="48">
        <v>13</v>
      </c>
      <c r="AJ59" s="48">
        <v>21</v>
      </c>
      <c r="AK59" s="48">
        <v>34</v>
      </c>
      <c r="AL59" s="52" t="b">
        <v>0</v>
      </c>
      <c r="AM59" s="51" t="b">
        <v>1</v>
      </c>
      <c r="AN59" s="53" t="s">
        <v>34</v>
      </c>
      <c r="AO59" s="60">
        <v>1.0000000000000001E-5</v>
      </c>
      <c r="AP59" s="51" t="b">
        <v>1</v>
      </c>
      <c r="AQ59" s="60">
        <v>1.0000000000000001E-5</v>
      </c>
      <c r="AR59" s="56">
        <v>5</v>
      </c>
      <c r="AS59" s="56">
        <v>13</v>
      </c>
      <c r="AT59" s="56">
        <v>8</v>
      </c>
      <c r="AU59" s="51" t="b">
        <v>1</v>
      </c>
      <c r="AV59" s="47">
        <v>3</v>
      </c>
      <c r="AW59" s="62">
        <v>5</v>
      </c>
      <c r="AX59" s="47">
        <v>1</v>
      </c>
      <c r="AY59" s="51" t="b">
        <v>1</v>
      </c>
      <c r="AZ59" s="45" t="s">
        <v>73</v>
      </c>
      <c r="BA59" s="45">
        <v>4</v>
      </c>
      <c r="BB59" s="49">
        <v>0.05</v>
      </c>
      <c r="BC59" s="49">
        <v>0.5</v>
      </c>
      <c r="BD59" s="52" t="b">
        <v>0</v>
      </c>
      <c r="BE59" s="45" t="s">
        <v>98</v>
      </c>
      <c r="BF59" s="51" t="b">
        <v>1</v>
      </c>
      <c r="BG59" s="45" t="s">
        <v>71</v>
      </c>
      <c r="BH59" s="54">
        <v>0.02</v>
      </c>
      <c r="BI59" s="70" t="s">
        <v>5</v>
      </c>
      <c r="BJ59" s="51" t="b">
        <v>1</v>
      </c>
      <c r="BK59" s="72">
        <v>1.5</v>
      </c>
      <c r="BL59" s="52" t="b">
        <v>0</v>
      </c>
      <c r="BM59" s="70" t="s">
        <v>6</v>
      </c>
      <c r="BN59" s="51" t="b">
        <v>1</v>
      </c>
      <c r="BO59" s="70" t="s">
        <v>15</v>
      </c>
      <c r="BP59" s="71">
        <v>1</v>
      </c>
      <c r="BQ59" s="71">
        <v>0.5</v>
      </c>
      <c r="BR59" s="75" t="str">
        <f t="shared" ref="BR59" si="107">AH59&amp;"/ "&amp;AI59&amp;"/ "&amp;AJ59&amp;"/ "&amp;AK59</f>
        <v>8/ 13/ 21/ 34</v>
      </c>
      <c r="BS59" s="75" t="str">
        <f t="shared" si="90"/>
        <v>5 / 13 / 8</v>
      </c>
      <c r="BT59" s="75" t="str">
        <f t="shared" si="91"/>
        <v>0.05 / 0.5</v>
      </c>
      <c r="BU59" s="7">
        <v>509</v>
      </c>
      <c r="BV59" s="7">
        <v>297</v>
      </c>
      <c r="BW59" s="7">
        <v>237</v>
      </c>
      <c r="BX59" s="27">
        <f t="shared" si="92"/>
        <v>60</v>
      </c>
      <c r="BY59" s="7">
        <v>66</v>
      </c>
      <c r="BZ59" s="21">
        <f t="shared" si="93"/>
        <v>146</v>
      </c>
      <c r="CA59" s="98">
        <f>IF(BU59=0,0,BV59/BU59)</f>
        <v>0.58349705304518662</v>
      </c>
      <c r="CB59" s="99">
        <f t="shared" ref="CB59" si="108">IF(BU59=0,0,BY59/BU59)</f>
        <v>0.12966601178781925</v>
      </c>
      <c r="CC59" s="20">
        <v>3.99</v>
      </c>
      <c r="CD59" s="20">
        <v>24.56</v>
      </c>
      <c r="CE59" s="20">
        <v>0.37</v>
      </c>
      <c r="CF59" s="77">
        <f t="shared" si="96"/>
        <v>1.5</v>
      </c>
      <c r="CG59" s="20">
        <v>0.66</v>
      </c>
      <c r="CH59" s="20">
        <v>0.48</v>
      </c>
      <c r="CI59" s="22">
        <v>8472</v>
      </c>
      <c r="CJ59" s="20">
        <v>28.53</v>
      </c>
      <c r="CK59" s="20">
        <v>27.49</v>
      </c>
      <c r="CL59" s="20">
        <v>-5.48</v>
      </c>
      <c r="CM59" s="74">
        <v>1000</v>
      </c>
      <c r="CN59" s="22">
        <v>12502.66</v>
      </c>
      <c r="CO59" s="35">
        <f t="shared" si="97"/>
        <v>13502.66</v>
      </c>
      <c r="CP59" s="35">
        <f t="shared" si="98"/>
        <v>1250.2660000000001</v>
      </c>
      <c r="CR59" s="15">
        <f t="shared" si="99"/>
        <v>12</v>
      </c>
      <c r="CS59" s="13">
        <f t="shared" si="100"/>
        <v>706</v>
      </c>
      <c r="CT59" s="13">
        <f t="shared" si="101"/>
        <v>1041.8883333333333</v>
      </c>
      <c r="CU59" s="13">
        <f t="shared" si="102"/>
        <v>104.18883333333333</v>
      </c>
      <c r="CW59" s="13">
        <f t="shared" si="103"/>
        <v>8472</v>
      </c>
      <c r="CX59" s="13">
        <f t="shared" si="104"/>
        <v>12502.66</v>
      </c>
      <c r="CY59" s="13">
        <f t="shared" si="105"/>
        <v>1250.2660000000001</v>
      </c>
    </row>
    <row r="60" spans="1:103" outlineLevel="1" x14ac:dyDescent="0.2">
      <c r="A60" s="43"/>
      <c r="B60" s="10"/>
      <c r="C60" s="3" t="s">
        <v>17</v>
      </c>
      <c r="D60" s="3" t="s">
        <v>113</v>
      </c>
      <c r="E60" s="6" t="s">
        <v>19</v>
      </c>
      <c r="F60" s="3" t="s">
        <v>25</v>
      </c>
      <c r="G60" s="5" t="s">
        <v>50</v>
      </c>
      <c r="H60" s="52" t="b">
        <v>0</v>
      </c>
      <c r="J60" s="46" t="s">
        <v>91</v>
      </c>
      <c r="K60" s="46" t="s">
        <v>91</v>
      </c>
      <c r="L60" s="46" t="s">
        <v>91</v>
      </c>
      <c r="M60" s="56" t="b">
        <v>0</v>
      </c>
      <c r="Q60" s="51" t="b">
        <v>1</v>
      </c>
      <c r="R60" s="50" t="s">
        <v>53</v>
      </c>
      <c r="S60" s="55" t="b">
        <v>1</v>
      </c>
      <c r="T60" s="49">
        <v>13</v>
      </c>
      <c r="U60" s="47">
        <v>1.4999999999999999E-2</v>
      </c>
      <c r="V60" s="49">
        <v>75</v>
      </c>
      <c r="W60" s="49">
        <v>-75</v>
      </c>
      <c r="X60" s="47">
        <v>50</v>
      </c>
      <c r="Y60" s="47">
        <v>5</v>
      </c>
      <c r="Z60" s="51" t="b">
        <v>1</v>
      </c>
      <c r="AA60" s="50" t="s">
        <v>92</v>
      </c>
      <c r="AB60" s="54">
        <v>2</v>
      </c>
      <c r="AC60" s="56" t="b">
        <v>0</v>
      </c>
      <c r="AE60" s="56" t="b">
        <v>0</v>
      </c>
      <c r="AG60" s="55" t="b">
        <v>1</v>
      </c>
      <c r="AH60" s="48">
        <v>8</v>
      </c>
      <c r="AI60" s="48">
        <v>13</v>
      </c>
      <c r="AJ60" s="48">
        <v>21</v>
      </c>
      <c r="AK60" s="48">
        <v>34</v>
      </c>
      <c r="AL60" s="52" t="b">
        <v>0</v>
      </c>
      <c r="AM60" s="51" t="b">
        <v>1</v>
      </c>
      <c r="AN60" s="53" t="s">
        <v>34</v>
      </c>
      <c r="AO60" s="60">
        <v>1.0000000000000001E-5</v>
      </c>
      <c r="AP60" s="51" t="b">
        <v>1</v>
      </c>
      <c r="AQ60" s="60">
        <v>1.0000000000000001E-5</v>
      </c>
      <c r="AR60" s="65">
        <v>8</v>
      </c>
      <c r="AS60" s="65">
        <v>13</v>
      </c>
      <c r="AT60" s="65">
        <v>8</v>
      </c>
      <c r="AU60" s="51" t="b">
        <v>1</v>
      </c>
      <c r="AV60" s="47">
        <v>3</v>
      </c>
      <c r="AW60" s="62">
        <v>5</v>
      </c>
      <c r="AX60" s="47">
        <v>1</v>
      </c>
      <c r="AY60" s="51" t="b">
        <v>1</v>
      </c>
      <c r="AZ60" s="45" t="s">
        <v>73</v>
      </c>
      <c r="BA60" s="45">
        <v>4</v>
      </c>
      <c r="BB60" s="49">
        <v>0.05</v>
      </c>
      <c r="BC60" s="49">
        <v>0.5</v>
      </c>
      <c r="BD60" s="52" t="b">
        <v>0</v>
      </c>
      <c r="BE60" s="45" t="s">
        <v>98</v>
      </c>
      <c r="BF60" s="51" t="b">
        <v>1</v>
      </c>
      <c r="BG60" s="45" t="s">
        <v>71</v>
      </c>
      <c r="BH60" s="54">
        <v>0.02</v>
      </c>
      <c r="BI60" s="70" t="s">
        <v>5</v>
      </c>
      <c r="BJ60" s="51" t="b">
        <v>1</v>
      </c>
      <c r="BK60" s="72">
        <v>1.5</v>
      </c>
      <c r="BL60" s="52" t="b">
        <v>0</v>
      </c>
      <c r="BM60" s="70" t="s">
        <v>6</v>
      </c>
      <c r="BN60" s="51" t="b">
        <v>1</v>
      </c>
      <c r="BO60" s="70" t="s">
        <v>15</v>
      </c>
      <c r="BP60" s="71">
        <v>1</v>
      </c>
      <c r="BQ60" s="71">
        <v>0.5</v>
      </c>
      <c r="BR60" s="75" t="str">
        <f t="shared" si="89"/>
        <v>8/ 13/ 21/ 34</v>
      </c>
      <c r="BS60" s="75" t="str">
        <f t="shared" si="90"/>
        <v>8 / 13 / 8</v>
      </c>
      <c r="BT60" s="75" t="str">
        <f t="shared" si="91"/>
        <v>0.05 / 0.5</v>
      </c>
      <c r="BU60" s="7">
        <v>498</v>
      </c>
      <c r="BV60" s="7">
        <v>292</v>
      </c>
      <c r="BW60" s="7">
        <v>233</v>
      </c>
      <c r="BX60" s="27">
        <f t="shared" si="92"/>
        <v>59</v>
      </c>
      <c r="BY60" s="7">
        <v>64</v>
      </c>
      <c r="BZ60" s="21">
        <f t="shared" si="93"/>
        <v>142</v>
      </c>
      <c r="CA60" s="98">
        <f t="shared" ref="CA60:CA64" si="109">IF(BU60=0,0,BV60/BU60)</f>
        <v>0.58634538152610438</v>
      </c>
      <c r="CB60" s="99">
        <f t="shared" si="106"/>
        <v>0.12851405622489959</v>
      </c>
      <c r="CC60" s="20">
        <v>4.1100000000000003</v>
      </c>
      <c r="CD60" s="20">
        <v>25.2</v>
      </c>
      <c r="CE60" s="20">
        <v>0.38</v>
      </c>
      <c r="CF60" s="77">
        <f t="shared" si="96"/>
        <v>1.5</v>
      </c>
      <c r="CG60" s="20">
        <v>0.67</v>
      </c>
      <c r="CH60" s="20">
        <v>0.49</v>
      </c>
      <c r="CI60" s="22">
        <v>8367.1</v>
      </c>
      <c r="CJ60" s="20">
        <v>28.65</v>
      </c>
      <c r="CK60" s="20">
        <v>27.18</v>
      </c>
      <c r="CL60" s="20">
        <v>-5.48</v>
      </c>
      <c r="CM60" s="74">
        <v>1000</v>
      </c>
      <c r="CN60" s="22">
        <v>12549.72</v>
      </c>
      <c r="CO60" s="35">
        <f t="shared" si="97"/>
        <v>13549.72</v>
      </c>
      <c r="CP60" s="35">
        <f t="shared" si="98"/>
        <v>1254.972</v>
      </c>
      <c r="CR60" s="15">
        <f t="shared" si="99"/>
        <v>12</v>
      </c>
      <c r="CS60" s="13">
        <f t="shared" si="100"/>
        <v>697.25833333333333</v>
      </c>
      <c r="CT60" s="13">
        <f t="shared" si="101"/>
        <v>1045.81</v>
      </c>
      <c r="CU60" s="13">
        <f t="shared" si="102"/>
        <v>104.58099999999999</v>
      </c>
      <c r="CW60" s="13">
        <f t="shared" si="103"/>
        <v>8367.1</v>
      </c>
      <c r="CX60" s="13">
        <f t="shared" si="104"/>
        <v>12549.72</v>
      </c>
      <c r="CY60" s="13">
        <f t="shared" si="105"/>
        <v>1254.972</v>
      </c>
    </row>
    <row r="61" spans="1:103" outlineLevel="1" x14ac:dyDescent="0.2">
      <c r="A61" s="43"/>
      <c r="B61" s="10"/>
      <c r="C61" s="3" t="s">
        <v>17</v>
      </c>
      <c r="D61" s="3" t="s">
        <v>113</v>
      </c>
      <c r="E61" s="6" t="s">
        <v>19</v>
      </c>
      <c r="F61" s="3" t="s">
        <v>25</v>
      </c>
      <c r="G61" s="5" t="s">
        <v>50</v>
      </c>
      <c r="H61" s="52" t="b">
        <v>0</v>
      </c>
      <c r="J61" s="46" t="s">
        <v>91</v>
      </c>
      <c r="K61" s="46" t="s">
        <v>91</v>
      </c>
      <c r="L61" s="46" t="s">
        <v>91</v>
      </c>
      <c r="M61" s="56" t="b">
        <v>0</v>
      </c>
      <c r="Q61" s="51" t="b">
        <v>1</v>
      </c>
      <c r="R61" s="50" t="s">
        <v>53</v>
      </c>
      <c r="S61" s="55" t="b">
        <v>1</v>
      </c>
      <c r="T61" s="49">
        <v>13</v>
      </c>
      <c r="U61" s="47">
        <v>1.4999999999999999E-2</v>
      </c>
      <c r="V61" s="49">
        <v>75</v>
      </c>
      <c r="W61" s="49">
        <v>-75</v>
      </c>
      <c r="X61" s="47">
        <v>50</v>
      </c>
      <c r="Y61" s="47">
        <v>5</v>
      </c>
      <c r="Z61" s="51" t="b">
        <v>1</v>
      </c>
      <c r="AA61" s="50" t="s">
        <v>92</v>
      </c>
      <c r="AB61" s="54">
        <v>2</v>
      </c>
      <c r="AC61" s="56" t="b">
        <v>0</v>
      </c>
      <c r="AE61" s="56" t="b">
        <v>0</v>
      </c>
      <c r="AG61" s="55" t="b">
        <v>1</v>
      </c>
      <c r="AH61" s="48">
        <v>8</v>
      </c>
      <c r="AI61" s="48">
        <v>13</v>
      </c>
      <c r="AJ61" s="48">
        <v>21</v>
      </c>
      <c r="AK61" s="48">
        <v>34</v>
      </c>
      <c r="AL61" s="52" t="b">
        <v>0</v>
      </c>
      <c r="AM61" s="51" t="b">
        <v>1</v>
      </c>
      <c r="AN61" s="53" t="s">
        <v>34</v>
      </c>
      <c r="AO61" s="60">
        <v>1.0000000000000001E-5</v>
      </c>
      <c r="AP61" s="51" t="b">
        <v>1</v>
      </c>
      <c r="AQ61" s="60">
        <v>1.0000000000000001E-5</v>
      </c>
      <c r="AR61" s="65">
        <v>8</v>
      </c>
      <c r="AS61" s="65">
        <v>13</v>
      </c>
      <c r="AT61" s="65">
        <v>11</v>
      </c>
      <c r="AU61" s="51" t="b">
        <v>1</v>
      </c>
      <c r="AV61" s="47">
        <v>3</v>
      </c>
      <c r="AW61" s="62">
        <v>5</v>
      </c>
      <c r="AX61" s="47">
        <v>1</v>
      </c>
      <c r="AY61" s="51" t="b">
        <v>1</v>
      </c>
      <c r="AZ61" s="45" t="s">
        <v>73</v>
      </c>
      <c r="BA61" s="45">
        <v>4</v>
      </c>
      <c r="BB61" s="49">
        <v>0.05</v>
      </c>
      <c r="BC61" s="49">
        <v>0.5</v>
      </c>
      <c r="BD61" s="52" t="b">
        <v>0</v>
      </c>
      <c r="BE61" s="45" t="s">
        <v>98</v>
      </c>
      <c r="BF61" s="51" t="b">
        <v>1</v>
      </c>
      <c r="BG61" s="45" t="s">
        <v>71</v>
      </c>
      <c r="BH61" s="54">
        <v>0.02</v>
      </c>
      <c r="BI61" s="70" t="s">
        <v>5</v>
      </c>
      <c r="BJ61" s="51" t="b">
        <v>1</v>
      </c>
      <c r="BK61" s="72">
        <v>1.5</v>
      </c>
      <c r="BL61" s="52" t="b">
        <v>0</v>
      </c>
      <c r="BM61" s="70" t="s">
        <v>6</v>
      </c>
      <c r="BN61" s="51" t="b">
        <v>1</v>
      </c>
      <c r="BO61" s="70" t="s">
        <v>15</v>
      </c>
      <c r="BP61" s="71">
        <v>1</v>
      </c>
      <c r="BQ61" s="71">
        <v>0.5</v>
      </c>
      <c r="BR61" s="75" t="str">
        <f t="shared" si="89"/>
        <v>8/ 13/ 21/ 34</v>
      </c>
      <c r="BS61" s="75" t="str">
        <f t="shared" si="90"/>
        <v>8 / 13 / 11</v>
      </c>
      <c r="BT61" s="75" t="str">
        <f t="shared" si="91"/>
        <v>0.05 / 0.5</v>
      </c>
      <c r="BU61" s="7">
        <v>495</v>
      </c>
      <c r="BV61" s="7">
        <v>292</v>
      </c>
      <c r="BW61" s="7">
        <v>234</v>
      </c>
      <c r="BX61" s="27">
        <f t="shared" si="92"/>
        <v>58</v>
      </c>
      <c r="BY61" s="7">
        <v>64</v>
      </c>
      <c r="BZ61" s="21">
        <f t="shared" si="93"/>
        <v>139</v>
      </c>
      <c r="CA61" s="98">
        <f t="shared" si="109"/>
        <v>0.58989898989898992</v>
      </c>
      <c r="CB61" s="99">
        <f t="shared" si="106"/>
        <v>0.12929292929292929</v>
      </c>
      <c r="CC61" s="20">
        <v>4.0999999999999996</v>
      </c>
      <c r="CD61" s="20">
        <v>25.32</v>
      </c>
      <c r="CE61" s="20">
        <v>0.38</v>
      </c>
      <c r="CF61" s="77">
        <f t="shared" si="96"/>
        <v>1.5</v>
      </c>
      <c r="CG61" s="20">
        <v>0.67</v>
      </c>
      <c r="CH61" s="20">
        <v>0.48</v>
      </c>
      <c r="CI61" s="22">
        <v>8326.5</v>
      </c>
      <c r="CJ61" s="20">
        <v>28.52</v>
      </c>
      <c r="CK61" s="20">
        <v>27.23</v>
      </c>
      <c r="CL61" s="20">
        <v>-5.48</v>
      </c>
      <c r="CM61" s="74">
        <v>1000</v>
      </c>
      <c r="CN61" s="22">
        <v>12532.7</v>
      </c>
      <c r="CO61" s="35">
        <f t="shared" si="97"/>
        <v>13532.7</v>
      </c>
      <c r="CP61" s="35">
        <f t="shared" si="98"/>
        <v>1253.27</v>
      </c>
      <c r="CR61" s="15">
        <f t="shared" si="99"/>
        <v>12</v>
      </c>
      <c r="CS61" s="13">
        <f t="shared" si="100"/>
        <v>693.875</v>
      </c>
      <c r="CT61" s="13">
        <f t="shared" si="101"/>
        <v>1044.3916666666667</v>
      </c>
      <c r="CU61" s="13">
        <f t="shared" si="102"/>
        <v>104.43916666666667</v>
      </c>
      <c r="CW61" s="13">
        <f t="shared" si="103"/>
        <v>8326.5</v>
      </c>
      <c r="CX61" s="13">
        <f t="shared" si="104"/>
        <v>12532.7</v>
      </c>
      <c r="CY61" s="13">
        <f t="shared" si="105"/>
        <v>1253.27</v>
      </c>
    </row>
    <row r="62" spans="1:103" outlineLevel="1" x14ac:dyDescent="0.2">
      <c r="A62" s="43"/>
      <c r="B62" s="10"/>
      <c r="C62" s="3" t="s">
        <v>17</v>
      </c>
      <c r="D62" s="3" t="s">
        <v>113</v>
      </c>
      <c r="E62" s="6" t="s">
        <v>19</v>
      </c>
      <c r="F62" s="3" t="s">
        <v>25</v>
      </c>
      <c r="G62" s="5" t="s">
        <v>50</v>
      </c>
      <c r="H62" s="52" t="b">
        <v>0</v>
      </c>
      <c r="J62" s="46" t="s">
        <v>91</v>
      </c>
      <c r="K62" s="46" t="s">
        <v>91</v>
      </c>
      <c r="L62" s="46" t="s">
        <v>91</v>
      </c>
      <c r="M62" s="56" t="b">
        <v>0</v>
      </c>
      <c r="Q62" s="51" t="b">
        <v>1</v>
      </c>
      <c r="R62" s="50" t="s">
        <v>53</v>
      </c>
      <c r="S62" s="55" t="b">
        <v>1</v>
      </c>
      <c r="T62" s="49">
        <v>13</v>
      </c>
      <c r="U62" s="47">
        <v>1.4999999999999999E-2</v>
      </c>
      <c r="V62" s="49">
        <v>75</v>
      </c>
      <c r="W62" s="49">
        <v>-75</v>
      </c>
      <c r="X62" s="47">
        <v>50</v>
      </c>
      <c r="Y62" s="47">
        <v>5</v>
      </c>
      <c r="Z62" s="51" t="b">
        <v>1</v>
      </c>
      <c r="AA62" s="50" t="s">
        <v>92</v>
      </c>
      <c r="AB62" s="54">
        <v>2</v>
      </c>
      <c r="AC62" s="56" t="b">
        <v>0</v>
      </c>
      <c r="AE62" s="56" t="b">
        <v>0</v>
      </c>
      <c r="AG62" s="55" t="b">
        <v>1</v>
      </c>
      <c r="AH62" s="48">
        <v>8</v>
      </c>
      <c r="AI62" s="48">
        <v>13</v>
      </c>
      <c r="AJ62" s="48">
        <v>21</v>
      </c>
      <c r="AK62" s="48">
        <v>34</v>
      </c>
      <c r="AL62" s="52" t="b">
        <v>0</v>
      </c>
      <c r="AM62" s="51" t="b">
        <v>1</v>
      </c>
      <c r="AN62" s="53" t="s">
        <v>34</v>
      </c>
      <c r="AO62" s="60">
        <v>1.0000000000000001E-5</v>
      </c>
      <c r="AP62" s="51" t="b">
        <v>1</v>
      </c>
      <c r="AQ62" s="60">
        <v>1.0000000000000001E-5</v>
      </c>
      <c r="AR62" s="66">
        <v>8</v>
      </c>
      <c r="AS62" s="66">
        <v>17</v>
      </c>
      <c r="AT62" s="66">
        <v>9</v>
      </c>
      <c r="AU62" s="51" t="b">
        <v>1</v>
      </c>
      <c r="AV62" s="47">
        <v>3</v>
      </c>
      <c r="AW62" s="62">
        <v>5</v>
      </c>
      <c r="AX62" s="47">
        <v>1</v>
      </c>
      <c r="AY62" s="51" t="b">
        <v>1</v>
      </c>
      <c r="AZ62" s="45" t="s">
        <v>73</v>
      </c>
      <c r="BA62" s="45">
        <v>4</v>
      </c>
      <c r="BB62" s="49">
        <v>0.05</v>
      </c>
      <c r="BC62" s="49">
        <v>0.5</v>
      </c>
      <c r="BD62" s="52" t="b">
        <v>0</v>
      </c>
      <c r="BE62" s="45" t="s">
        <v>98</v>
      </c>
      <c r="BF62" s="51" t="b">
        <v>1</v>
      </c>
      <c r="BG62" s="45" t="s">
        <v>71</v>
      </c>
      <c r="BH62" s="54">
        <v>0.02</v>
      </c>
      <c r="BI62" s="70" t="s">
        <v>5</v>
      </c>
      <c r="BJ62" s="51" t="b">
        <v>1</v>
      </c>
      <c r="BK62" s="72">
        <v>1.5</v>
      </c>
      <c r="BL62" s="52" t="b">
        <v>0</v>
      </c>
      <c r="BM62" s="70" t="s">
        <v>6</v>
      </c>
      <c r="BN62" s="51" t="b">
        <v>1</v>
      </c>
      <c r="BO62" s="70" t="s">
        <v>15</v>
      </c>
      <c r="BP62" s="71">
        <v>1</v>
      </c>
      <c r="BQ62" s="71">
        <v>0.5</v>
      </c>
      <c r="BR62" s="75" t="str">
        <f t="shared" si="89"/>
        <v>8/ 13/ 21/ 34</v>
      </c>
      <c r="BS62" s="75" t="str">
        <f t="shared" si="90"/>
        <v>8 / 17 / 9</v>
      </c>
      <c r="BT62" s="75" t="str">
        <f t="shared" si="91"/>
        <v>0.05 / 0.5</v>
      </c>
      <c r="BU62" s="7">
        <v>495</v>
      </c>
      <c r="BV62" s="7">
        <v>294</v>
      </c>
      <c r="BW62" s="7">
        <v>237</v>
      </c>
      <c r="BX62" s="27">
        <f t="shared" si="92"/>
        <v>57</v>
      </c>
      <c r="BY62" s="7">
        <v>63</v>
      </c>
      <c r="BZ62" s="21">
        <f t="shared" si="93"/>
        <v>138</v>
      </c>
      <c r="CA62" s="98">
        <f t="shared" si="109"/>
        <v>0.59393939393939399</v>
      </c>
      <c r="CB62" s="99">
        <f t="shared" si="106"/>
        <v>0.12727272727272726</v>
      </c>
      <c r="CC62" s="20" t="s">
        <v>127</v>
      </c>
      <c r="CD62" s="20">
        <v>25.69</v>
      </c>
      <c r="CE62" s="20">
        <v>0.38</v>
      </c>
      <c r="CF62" s="77">
        <f t="shared" si="96"/>
        <v>1.5</v>
      </c>
      <c r="CG62" s="20">
        <v>0.66</v>
      </c>
      <c r="CH62" s="20">
        <v>0.48</v>
      </c>
      <c r="CI62" s="22">
        <v>8307.7000000000007</v>
      </c>
      <c r="CJ62" s="20">
        <v>28.26</v>
      </c>
      <c r="CK62" s="20">
        <v>27.04</v>
      </c>
      <c r="CL62" s="20">
        <v>-5.48</v>
      </c>
      <c r="CM62" s="74">
        <v>1000</v>
      </c>
      <c r="CN62" s="22">
        <v>12717.75</v>
      </c>
      <c r="CO62" s="35">
        <f t="shared" si="97"/>
        <v>13717.75</v>
      </c>
      <c r="CP62" s="35">
        <f t="shared" si="98"/>
        <v>1271.7750000000001</v>
      </c>
      <c r="CR62" s="15">
        <f t="shared" si="99"/>
        <v>12</v>
      </c>
      <c r="CS62" s="13">
        <f t="shared" si="100"/>
        <v>692.30833333333339</v>
      </c>
      <c r="CT62" s="13">
        <f t="shared" si="101"/>
        <v>1059.8125</v>
      </c>
      <c r="CU62" s="13">
        <f t="shared" si="102"/>
        <v>105.98125</v>
      </c>
      <c r="CW62" s="13">
        <f t="shared" si="103"/>
        <v>8307.7000000000007</v>
      </c>
      <c r="CX62" s="13">
        <f t="shared" si="104"/>
        <v>12717.75</v>
      </c>
      <c r="CY62" s="13">
        <f t="shared" si="105"/>
        <v>1271.7750000000001</v>
      </c>
    </row>
    <row r="63" spans="1:103" outlineLevel="1" x14ac:dyDescent="0.2">
      <c r="A63" s="43"/>
      <c r="B63" s="10"/>
      <c r="C63" s="3" t="s">
        <v>17</v>
      </c>
      <c r="D63" s="3" t="s">
        <v>113</v>
      </c>
      <c r="E63" s="6" t="s">
        <v>19</v>
      </c>
      <c r="F63" s="3" t="s">
        <v>25</v>
      </c>
      <c r="G63" s="5" t="s">
        <v>50</v>
      </c>
      <c r="H63" s="52" t="b">
        <v>0</v>
      </c>
      <c r="J63" s="46" t="s">
        <v>91</v>
      </c>
      <c r="K63" s="46" t="s">
        <v>91</v>
      </c>
      <c r="L63" s="46" t="s">
        <v>91</v>
      </c>
      <c r="M63" s="56" t="b">
        <v>0</v>
      </c>
      <c r="Q63" s="51" t="b">
        <v>1</v>
      </c>
      <c r="R63" s="50" t="s">
        <v>53</v>
      </c>
      <c r="S63" s="55" t="b">
        <v>1</v>
      </c>
      <c r="T63" s="49">
        <v>13</v>
      </c>
      <c r="U63" s="47">
        <v>1.4999999999999999E-2</v>
      </c>
      <c r="V63" s="49">
        <v>75</v>
      </c>
      <c r="W63" s="49">
        <v>-75</v>
      </c>
      <c r="X63" s="47">
        <v>50</v>
      </c>
      <c r="Y63" s="47">
        <v>5</v>
      </c>
      <c r="Z63" s="51" t="b">
        <v>1</v>
      </c>
      <c r="AA63" s="50" t="s">
        <v>92</v>
      </c>
      <c r="AB63" s="54">
        <v>2</v>
      </c>
      <c r="AC63" s="56" t="b">
        <v>0</v>
      </c>
      <c r="AE63" s="56" t="b">
        <v>0</v>
      </c>
      <c r="AG63" s="55" t="b">
        <v>1</v>
      </c>
      <c r="AH63" s="48">
        <v>8</v>
      </c>
      <c r="AI63" s="48">
        <v>13</v>
      </c>
      <c r="AJ63" s="48">
        <v>21</v>
      </c>
      <c r="AK63" s="48">
        <v>34</v>
      </c>
      <c r="AL63" s="52" t="b">
        <v>0</v>
      </c>
      <c r="AM63" s="51" t="b">
        <v>1</v>
      </c>
      <c r="AN63" s="53" t="s">
        <v>34</v>
      </c>
      <c r="AO63" s="60">
        <v>1.0000000000000001E-5</v>
      </c>
      <c r="AP63" s="51" t="b">
        <v>1</v>
      </c>
      <c r="AQ63" s="60">
        <v>1.0000000000000001E-5</v>
      </c>
      <c r="AR63" s="67">
        <v>12</v>
      </c>
      <c r="AS63" s="67">
        <v>26</v>
      </c>
      <c r="AT63" s="67">
        <v>9</v>
      </c>
      <c r="AU63" s="51" t="b">
        <v>1</v>
      </c>
      <c r="AV63" s="47">
        <v>3</v>
      </c>
      <c r="AW63" s="62">
        <v>5</v>
      </c>
      <c r="AX63" s="47">
        <v>1</v>
      </c>
      <c r="AY63" s="51" t="b">
        <v>1</v>
      </c>
      <c r="AZ63" s="45" t="s">
        <v>73</v>
      </c>
      <c r="BA63" s="45">
        <v>4</v>
      </c>
      <c r="BB63" s="49">
        <v>0.05</v>
      </c>
      <c r="BC63" s="49">
        <v>0.5</v>
      </c>
      <c r="BD63" s="52" t="b">
        <v>0</v>
      </c>
      <c r="BE63" s="45" t="s">
        <v>98</v>
      </c>
      <c r="BF63" s="51" t="b">
        <v>1</v>
      </c>
      <c r="BG63" s="45" t="s">
        <v>71</v>
      </c>
      <c r="BH63" s="54">
        <v>0.02</v>
      </c>
      <c r="BI63" s="70" t="s">
        <v>5</v>
      </c>
      <c r="BJ63" s="51" t="b">
        <v>1</v>
      </c>
      <c r="BK63" s="72">
        <v>1.5</v>
      </c>
      <c r="BL63" s="52" t="b">
        <v>0</v>
      </c>
      <c r="BM63" s="70" t="s">
        <v>6</v>
      </c>
      <c r="BN63" s="51" t="b">
        <v>1</v>
      </c>
      <c r="BO63" s="70" t="s">
        <v>15</v>
      </c>
      <c r="BP63" s="71">
        <v>1</v>
      </c>
      <c r="BQ63" s="71">
        <v>0.5</v>
      </c>
      <c r="BR63" s="75" t="str">
        <f t="shared" si="89"/>
        <v>8/ 13/ 21/ 34</v>
      </c>
      <c r="BS63" s="75" t="str">
        <f t="shared" si="90"/>
        <v>12 / 26 / 9</v>
      </c>
      <c r="BT63" s="75" t="str">
        <f t="shared" si="91"/>
        <v>0.05 / 0.5</v>
      </c>
      <c r="BU63" s="7">
        <v>507</v>
      </c>
      <c r="BV63" s="7">
        <v>293</v>
      </c>
      <c r="BW63" s="7">
        <v>232</v>
      </c>
      <c r="BX63" s="27">
        <f t="shared" si="92"/>
        <v>61</v>
      </c>
      <c r="BY63" s="7">
        <v>67</v>
      </c>
      <c r="BZ63" s="21">
        <f t="shared" si="93"/>
        <v>147</v>
      </c>
      <c r="CA63" s="98">
        <f t="shared" si="109"/>
        <v>0.57790927021696248</v>
      </c>
      <c r="CB63" s="99">
        <f t="shared" si="106"/>
        <v>0.13214990138067062</v>
      </c>
      <c r="CC63" s="20">
        <v>3.92</v>
      </c>
      <c r="CD63" s="20">
        <v>26.07</v>
      </c>
      <c r="CE63" s="20">
        <v>0.37</v>
      </c>
      <c r="CF63" s="77">
        <f t="shared" si="96"/>
        <v>1.5</v>
      </c>
      <c r="CG63" s="20">
        <v>0.68</v>
      </c>
      <c r="CH63" s="20">
        <v>0.48</v>
      </c>
      <c r="CI63" s="22">
        <v>8239.4</v>
      </c>
      <c r="CJ63" s="20">
        <v>28.12</v>
      </c>
      <c r="CK63" s="20">
        <v>26.59</v>
      </c>
      <c r="CL63" s="20">
        <v>-5.65</v>
      </c>
      <c r="CM63" s="74">
        <v>1000</v>
      </c>
      <c r="CN63" s="102">
        <v>13217.99</v>
      </c>
      <c r="CO63" s="103">
        <f t="shared" si="97"/>
        <v>14217.99</v>
      </c>
      <c r="CP63" s="103">
        <f t="shared" si="98"/>
        <v>1321.799</v>
      </c>
      <c r="CR63" s="15">
        <f t="shared" si="99"/>
        <v>12</v>
      </c>
      <c r="CS63" s="13">
        <f t="shared" si="100"/>
        <v>686.61666666666667</v>
      </c>
      <c r="CT63" s="13">
        <f t="shared" si="101"/>
        <v>1101.4991666666667</v>
      </c>
      <c r="CU63" s="13">
        <f t="shared" si="102"/>
        <v>110.14991666666667</v>
      </c>
      <c r="CW63" s="13">
        <f t="shared" si="103"/>
        <v>8239.4</v>
      </c>
      <c r="CX63" s="13">
        <f t="shared" si="104"/>
        <v>13217.99</v>
      </c>
      <c r="CY63" s="13">
        <f t="shared" si="105"/>
        <v>1321.799</v>
      </c>
    </row>
    <row r="64" spans="1:103" outlineLevel="1" x14ac:dyDescent="0.2">
      <c r="A64" s="43"/>
      <c r="B64" s="10"/>
      <c r="C64" s="3" t="s">
        <v>17</v>
      </c>
      <c r="D64" s="3" t="s">
        <v>113</v>
      </c>
      <c r="E64" s="6" t="s">
        <v>19</v>
      </c>
      <c r="F64" s="3" t="s">
        <v>25</v>
      </c>
      <c r="G64" s="5" t="s">
        <v>50</v>
      </c>
      <c r="H64" s="52" t="b">
        <v>0</v>
      </c>
      <c r="J64" s="46" t="s">
        <v>91</v>
      </c>
      <c r="K64" s="46" t="s">
        <v>91</v>
      </c>
      <c r="L64" s="46" t="s">
        <v>91</v>
      </c>
      <c r="M64" s="56" t="b">
        <v>0</v>
      </c>
      <c r="Q64" s="51" t="b">
        <v>1</v>
      </c>
      <c r="R64" s="50" t="s">
        <v>53</v>
      </c>
      <c r="S64" s="55" t="b">
        <v>1</v>
      </c>
      <c r="T64" s="49">
        <v>13</v>
      </c>
      <c r="U64" s="47">
        <v>1.4999999999999999E-2</v>
      </c>
      <c r="V64" s="49">
        <v>75</v>
      </c>
      <c r="W64" s="49">
        <v>-75</v>
      </c>
      <c r="X64" s="47">
        <v>50</v>
      </c>
      <c r="Y64" s="47">
        <v>5</v>
      </c>
      <c r="Z64" s="51" t="b">
        <v>1</v>
      </c>
      <c r="AA64" s="50" t="s">
        <v>92</v>
      </c>
      <c r="AB64" s="54">
        <v>2</v>
      </c>
      <c r="AC64" s="56" t="b">
        <v>0</v>
      </c>
      <c r="AE64" s="56" t="b">
        <v>0</v>
      </c>
      <c r="AG64" s="55" t="b">
        <v>1</v>
      </c>
      <c r="AH64" s="48">
        <v>8</v>
      </c>
      <c r="AI64" s="48">
        <v>13</v>
      </c>
      <c r="AJ64" s="48">
        <v>21</v>
      </c>
      <c r="AK64" s="48">
        <v>34</v>
      </c>
      <c r="AL64" s="52" t="b">
        <v>0</v>
      </c>
      <c r="AM64" s="51" t="b">
        <v>1</v>
      </c>
      <c r="AN64" s="53" t="s">
        <v>34</v>
      </c>
      <c r="AO64" s="60">
        <v>1.0000000000000001E-5</v>
      </c>
      <c r="AP64" s="51" t="b">
        <v>1</v>
      </c>
      <c r="AQ64" s="60">
        <v>1.0000000000000001E-5</v>
      </c>
      <c r="AR64" s="56">
        <v>21</v>
      </c>
      <c r="AS64" s="56">
        <v>34</v>
      </c>
      <c r="AT64" s="56">
        <v>9</v>
      </c>
      <c r="AU64" s="51" t="b">
        <v>1</v>
      </c>
      <c r="AV64" s="47">
        <v>3</v>
      </c>
      <c r="AW64" s="62">
        <v>5</v>
      </c>
      <c r="AX64" s="47">
        <v>1</v>
      </c>
      <c r="AY64" s="51" t="b">
        <v>1</v>
      </c>
      <c r="AZ64" s="45" t="s">
        <v>73</v>
      </c>
      <c r="BA64" s="45">
        <v>4</v>
      </c>
      <c r="BB64" s="49">
        <v>0.05</v>
      </c>
      <c r="BC64" s="49">
        <v>0.5</v>
      </c>
      <c r="BD64" s="52" t="b">
        <v>0</v>
      </c>
      <c r="BE64" s="45" t="s">
        <v>98</v>
      </c>
      <c r="BF64" s="51" t="b">
        <v>1</v>
      </c>
      <c r="BG64" s="45" t="s">
        <v>71</v>
      </c>
      <c r="BH64" s="54">
        <v>0.02</v>
      </c>
      <c r="BI64" s="70" t="s">
        <v>5</v>
      </c>
      <c r="BJ64" s="51" t="b">
        <v>1</v>
      </c>
      <c r="BK64" s="72">
        <v>1.5</v>
      </c>
      <c r="BL64" s="52" t="b">
        <v>0</v>
      </c>
      <c r="BM64" s="70" t="s">
        <v>6</v>
      </c>
      <c r="BN64" s="51" t="b">
        <v>1</v>
      </c>
      <c r="BO64" s="70" t="s">
        <v>15</v>
      </c>
      <c r="BP64" s="71">
        <v>1</v>
      </c>
      <c r="BQ64" s="71">
        <v>0.5</v>
      </c>
      <c r="BR64" s="75" t="str">
        <f t="shared" si="89"/>
        <v>8/ 13/ 21/ 34</v>
      </c>
      <c r="BS64" s="75" t="str">
        <f t="shared" si="90"/>
        <v>21 / 34 / 9</v>
      </c>
      <c r="BT64" s="75" t="str">
        <f t="shared" si="91"/>
        <v>0.05 / 0.5</v>
      </c>
      <c r="BU64" s="7">
        <v>510</v>
      </c>
      <c r="BV64" s="7">
        <v>286</v>
      </c>
      <c r="BW64" s="7">
        <v>226</v>
      </c>
      <c r="BX64" s="27">
        <f t="shared" si="92"/>
        <v>60</v>
      </c>
      <c r="BY64" s="7">
        <v>69</v>
      </c>
      <c r="BZ64" s="21">
        <f t="shared" si="93"/>
        <v>155</v>
      </c>
      <c r="CA64" s="98">
        <f t="shared" si="109"/>
        <v>0.5607843137254902</v>
      </c>
      <c r="CB64" s="99">
        <f t="shared" si="106"/>
        <v>0.13529411764705881</v>
      </c>
      <c r="CC64" s="20">
        <v>3.65</v>
      </c>
      <c r="CD64" s="20">
        <v>24.81</v>
      </c>
      <c r="CE64" s="20">
        <v>0.35</v>
      </c>
      <c r="CF64" s="77">
        <f t="shared" si="96"/>
        <v>1.5</v>
      </c>
      <c r="CG64" s="20">
        <v>0.69</v>
      </c>
      <c r="CH64" s="20">
        <v>0.51</v>
      </c>
      <c r="CI64" s="22">
        <v>8076.4</v>
      </c>
      <c r="CJ64" s="20">
        <v>28.24</v>
      </c>
      <c r="CK64" s="20">
        <v>27.07</v>
      </c>
      <c r="CL64" s="20">
        <v>-5.72</v>
      </c>
      <c r="CM64" s="74">
        <v>1000</v>
      </c>
      <c r="CN64" s="22">
        <v>12654</v>
      </c>
      <c r="CO64" s="35">
        <f t="shared" si="97"/>
        <v>13654</v>
      </c>
      <c r="CP64" s="35">
        <f t="shared" si="98"/>
        <v>1265.4000000000001</v>
      </c>
      <c r="CR64" s="15">
        <f t="shared" si="99"/>
        <v>12</v>
      </c>
      <c r="CS64" s="13">
        <f t="shared" si="100"/>
        <v>673.0333333333333</v>
      </c>
      <c r="CT64" s="13">
        <f t="shared" si="101"/>
        <v>1054.5</v>
      </c>
      <c r="CU64" s="13">
        <f t="shared" si="102"/>
        <v>105.45</v>
      </c>
      <c r="CW64" s="13">
        <f t="shared" si="103"/>
        <v>8076.4</v>
      </c>
      <c r="CX64" s="13">
        <f t="shared" si="104"/>
        <v>12654</v>
      </c>
      <c r="CY64" s="13">
        <f t="shared" si="105"/>
        <v>1265.4000000000001</v>
      </c>
    </row>
    <row r="65" spans="1:103" outlineLevel="1" x14ac:dyDescent="0.2"/>
    <row r="66" spans="1:103" x14ac:dyDescent="0.2">
      <c r="A66" s="43"/>
      <c r="B66" s="10" t="s">
        <v>125</v>
      </c>
      <c r="C66" s="3" t="s">
        <v>17</v>
      </c>
      <c r="D66" s="3" t="s">
        <v>113</v>
      </c>
      <c r="E66" s="6" t="s">
        <v>19</v>
      </c>
      <c r="F66" s="3" t="s">
        <v>25</v>
      </c>
      <c r="G66" s="5" t="s">
        <v>50</v>
      </c>
      <c r="H66" s="52" t="b">
        <v>0</v>
      </c>
      <c r="J66" s="46" t="s">
        <v>91</v>
      </c>
      <c r="K66" s="46" t="s">
        <v>91</v>
      </c>
      <c r="L66" s="46" t="s">
        <v>91</v>
      </c>
      <c r="M66" s="56" t="b">
        <v>0</v>
      </c>
      <c r="Q66" s="51" t="b">
        <v>1</v>
      </c>
      <c r="R66" s="50" t="s">
        <v>53</v>
      </c>
      <c r="S66" s="55" t="b">
        <v>1</v>
      </c>
      <c r="T66" s="49">
        <v>13</v>
      </c>
      <c r="U66" s="47">
        <v>1.4999999999999999E-2</v>
      </c>
      <c r="V66" s="49">
        <v>75</v>
      </c>
      <c r="W66" s="49">
        <v>-75</v>
      </c>
      <c r="X66" s="47">
        <v>50</v>
      </c>
      <c r="Y66" s="47">
        <v>5</v>
      </c>
      <c r="Z66" s="51" t="b">
        <v>1</v>
      </c>
      <c r="AA66" s="50" t="s">
        <v>92</v>
      </c>
      <c r="AB66" s="54">
        <v>2</v>
      </c>
      <c r="AC66" s="56" t="b">
        <v>0</v>
      </c>
      <c r="AE66" s="56" t="b">
        <v>0</v>
      </c>
      <c r="AG66" s="55" t="b">
        <v>1</v>
      </c>
      <c r="AH66" s="48">
        <v>8</v>
      </c>
      <c r="AI66" s="48">
        <v>13</v>
      </c>
      <c r="AJ66" s="48">
        <v>21</v>
      </c>
      <c r="AK66" s="48">
        <v>55</v>
      </c>
      <c r="AL66" s="52" t="b">
        <v>0</v>
      </c>
      <c r="AM66" s="51" t="b">
        <v>1</v>
      </c>
      <c r="AN66" s="53" t="s">
        <v>34</v>
      </c>
      <c r="AO66" s="60">
        <v>1.0000000000000001E-5</v>
      </c>
      <c r="AP66" s="51" t="b">
        <v>1</v>
      </c>
      <c r="AQ66" s="60">
        <v>1.0000000000000001E-5</v>
      </c>
      <c r="AR66" s="49">
        <v>5</v>
      </c>
      <c r="AS66" s="49">
        <v>8</v>
      </c>
      <c r="AT66" s="49">
        <v>5</v>
      </c>
      <c r="AU66" s="51" t="b">
        <v>1</v>
      </c>
      <c r="AV66" s="47">
        <v>3</v>
      </c>
      <c r="AW66" s="62">
        <v>5</v>
      </c>
      <c r="AX66" s="47">
        <v>1</v>
      </c>
      <c r="AY66" s="51" t="b">
        <v>1</v>
      </c>
      <c r="AZ66" s="45" t="s">
        <v>73</v>
      </c>
      <c r="BA66" s="45">
        <v>4</v>
      </c>
      <c r="BB66" s="49">
        <v>0.05</v>
      </c>
      <c r="BC66" s="49">
        <v>0.5</v>
      </c>
      <c r="BD66" s="52" t="b">
        <v>0</v>
      </c>
      <c r="BE66" s="45" t="s">
        <v>98</v>
      </c>
      <c r="BF66" s="51" t="b">
        <v>1</v>
      </c>
      <c r="BG66" s="45" t="s">
        <v>71</v>
      </c>
      <c r="BH66" s="54">
        <v>0.02</v>
      </c>
      <c r="BI66" s="70" t="s">
        <v>5</v>
      </c>
      <c r="BJ66" s="51" t="b">
        <v>1</v>
      </c>
      <c r="BK66" s="72">
        <v>1.5</v>
      </c>
      <c r="BL66" s="52" t="b">
        <v>0</v>
      </c>
      <c r="BM66" s="70" t="s">
        <v>6</v>
      </c>
      <c r="BN66" s="51" t="b">
        <v>1</v>
      </c>
      <c r="BO66" s="70" t="s">
        <v>15</v>
      </c>
      <c r="BP66" s="71">
        <v>1</v>
      </c>
      <c r="BQ66" s="71">
        <v>0.5</v>
      </c>
      <c r="BR66" s="75" t="str">
        <f t="shared" ref="BR66:BR73" si="110">AH66&amp;"/ "&amp;AI66&amp;"/ "&amp;AJ66&amp;"/ "&amp;AK66</f>
        <v>8/ 13/ 21/ 55</v>
      </c>
      <c r="BS66" s="75" t="str">
        <f t="shared" ref="BS66:BS73" si="111">AR66&amp;" / "&amp;AS66&amp;" / "&amp;AT66</f>
        <v>5 / 8 / 5</v>
      </c>
      <c r="BT66" s="75" t="str">
        <f t="shared" ref="BT66:BT73" si="112">BB66&amp;" / "&amp;BC66</f>
        <v>0.05 / 0.5</v>
      </c>
      <c r="BU66" s="7">
        <v>451</v>
      </c>
      <c r="BV66" s="7">
        <v>272</v>
      </c>
      <c r="BW66" s="7">
        <v>216</v>
      </c>
      <c r="BX66" s="27">
        <f t="shared" ref="BX66:BX73" si="113">BV66-BW66</f>
        <v>56</v>
      </c>
      <c r="BY66" s="7">
        <v>46</v>
      </c>
      <c r="BZ66" s="21">
        <f t="shared" ref="BZ66:BZ73" si="114">BU66-SUM(BW66:BY66)</f>
        <v>133</v>
      </c>
      <c r="CA66" s="98">
        <f>IF(BU66=0,0,BV66/BU66)</f>
        <v>0.60310421286031046</v>
      </c>
      <c r="CB66" s="99">
        <f>IF(BU66=0,0,BY66/BU66)</f>
        <v>0.10199556541019955</v>
      </c>
      <c r="CC66" s="20">
        <v>6.04</v>
      </c>
      <c r="CD66" s="20">
        <v>30.01</v>
      </c>
      <c r="CE66" s="20">
        <v>0.45</v>
      </c>
      <c r="CF66" s="77">
        <f t="shared" ref="CF66:CF73" si="115">BK66</f>
        <v>1.5</v>
      </c>
      <c r="CG66" s="20">
        <v>0.69</v>
      </c>
      <c r="CH66" s="20">
        <v>0.51</v>
      </c>
      <c r="CI66" s="22">
        <v>7896.5</v>
      </c>
      <c r="CJ66" s="20">
        <v>29.03</v>
      </c>
      <c r="CK66" s="20">
        <v>27.03</v>
      </c>
      <c r="CL66" s="20">
        <v>-3.96</v>
      </c>
      <c r="CM66" s="74">
        <v>1000</v>
      </c>
      <c r="CN66" s="22">
        <v>13534.93</v>
      </c>
      <c r="CO66" s="35">
        <f t="shared" ref="CO66:CO73" si="116">CM66+CN66</f>
        <v>14534.93</v>
      </c>
      <c r="CP66" s="35">
        <f t="shared" ref="CP66:CP73" si="117">CN66/10</f>
        <v>1353.4929999999999</v>
      </c>
      <c r="CR66" s="15">
        <f t="shared" ref="CR66:CR73" si="118">CR$4</f>
        <v>12</v>
      </c>
      <c r="CS66" s="13">
        <f t="shared" ref="CS66:CS73" si="119">CI66/CR66</f>
        <v>658.04166666666663</v>
      </c>
      <c r="CT66" s="13">
        <f t="shared" ref="CT66:CT73" si="120">CN66/CR66</f>
        <v>1127.9108333333334</v>
      </c>
      <c r="CU66" s="13">
        <f t="shared" ref="CU66:CU73" si="121">CT66/10</f>
        <v>112.79108333333333</v>
      </c>
      <c r="CW66" s="13">
        <f t="shared" ref="CW66:CW73" si="122">CI66</f>
        <v>7896.5</v>
      </c>
      <c r="CX66" s="13">
        <f t="shared" ref="CX66:CX73" si="123">CN66</f>
        <v>13534.93</v>
      </c>
      <c r="CY66" s="13">
        <f t="shared" ref="CY66:CY73" si="124">CP66</f>
        <v>1353.4929999999999</v>
      </c>
    </row>
    <row r="67" spans="1:103" outlineLevel="1" x14ac:dyDescent="0.2">
      <c r="A67" s="43"/>
      <c r="B67" s="10"/>
      <c r="C67" s="3" t="s">
        <v>17</v>
      </c>
      <c r="D67" s="3" t="s">
        <v>113</v>
      </c>
      <c r="E67" s="6" t="s">
        <v>19</v>
      </c>
      <c r="F67" s="3" t="s">
        <v>25</v>
      </c>
      <c r="G67" s="5" t="s">
        <v>50</v>
      </c>
      <c r="H67" s="52" t="b">
        <v>0</v>
      </c>
      <c r="J67" s="46" t="s">
        <v>91</v>
      </c>
      <c r="K67" s="46" t="s">
        <v>91</v>
      </c>
      <c r="L67" s="46" t="s">
        <v>91</v>
      </c>
      <c r="M67" s="56" t="b">
        <v>0</v>
      </c>
      <c r="Q67" s="51" t="b">
        <v>1</v>
      </c>
      <c r="R67" s="50" t="s">
        <v>53</v>
      </c>
      <c r="S67" s="55" t="b">
        <v>1</v>
      </c>
      <c r="T67" s="49">
        <v>13</v>
      </c>
      <c r="U67" s="47">
        <v>1.4999999999999999E-2</v>
      </c>
      <c r="V67" s="49">
        <v>75</v>
      </c>
      <c r="W67" s="49">
        <v>-75</v>
      </c>
      <c r="X67" s="47">
        <v>50</v>
      </c>
      <c r="Y67" s="47">
        <v>5</v>
      </c>
      <c r="Z67" s="51" t="b">
        <v>1</v>
      </c>
      <c r="AA67" s="50" t="s">
        <v>92</v>
      </c>
      <c r="AB67" s="54">
        <v>2</v>
      </c>
      <c r="AC67" s="56" t="b">
        <v>0</v>
      </c>
      <c r="AE67" s="56" t="b">
        <v>0</v>
      </c>
      <c r="AG67" s="55" t="b">
        <v>1</v>
      </c>
      <c r="AH67" s="48">
        <v>8</v>
      </c>
      <c r="AI67" s="48">
        <v>13</v>
      </c>
      <c r="AJ67" s="48">
        <v>21</v>
      </c>
      <c r="AK67" s="48">
        <v>55</v>
      </c>
      <c r="AL67" s="52" t="b">
        <v>0</v>
      </c>
      <c r="AM67" s="51" t="b">
        <v>1</v>
      </c>
      <c r="AN67" s="53" t="s">
        <v>34</v>
      </c>
      <c r="AO67" s="60">
        <v>1.0000000000000001E-5</v>
      </c>
      <c r="AP67" s="51" t="b">
        <v>1</v>
      </c>
      <c r="AQ67" s="60">
        <v>1.0000000000000001E-5</v>
      </c>
      <c r="AR67" s="56">
        <v>5</v>
      </c>
      <c r="AS67" s="56">
        <v>13</v>
      </c>
      <c r="AT67" s="56">
        <v>5</v>
      </c>
      <c r="AU67" s="51" t="b">
        <v>1</v>
      </c>
      <c r="AV67" s="47">
        <v>3</v>
      </c>
      <c r="AW67" s="62">
        <v>5</v>
      </c>
      <c r="AX67" s="47">
        <v>1</v>
      </c>
      <c r="AY67" s="51" t="b">
        <v>1</v>
      </c>
      <c r="AZ67" s="45" t="s">
        <v>73</v>
      </c>
      <c r="BA67" s="45">
        <v>4</v>
      </c>
      <c r="BB67" s="49">
        <v>0.05</v>
      </c>
      <c r="BC67" s="49">
        <v>0.5</v>
      </c>
      <c r="BD67" s="52" t="b">
        <v>0</v>
      </c>
      <c r="BE67" s="45" t="s">
        <v>98</v>
      </c>
      <c r="BF67" s="51" t="b">
        <v>1</v>
      </c>
      <c r="BG67" s="45" t="s">
        <v>71</v>
      </c>
      <c r="BH67" s="54">
        <v>0.02</v>
      </c>
      <c r="BI67" s="70" t="s">
        <v>5</v>
      </c>
      <c r="BJ67" s="51" t="b">
        <v>1</v>
      </c>
      <c r="BK67" s="72">
        <v>1.5</v>
      </c>
      <c r="BL67" s="52" t="b">
        <v>0</v>
      </c>
      <c r="BM67" s="70" t="s">
        <v>6</v>
      </c>
      <c r="BN67" s="51" t="b">
        <v>1</v>
      </c>
      <c r="BO67" s="70" t="s">
        <v>15</v>
      </c>
      <c r="BP67" s="71">
        <v>1</v>
      </c>
      <c r="BQ67" s="71">
        <v>0.5</v>
      </c>
      <c r="BR67" s="75" t="str">
        <f t="shared" si="110"/>
        <v>8/ 13/ 21/ 55</v>
      </c>
      <c r="BS67" s="75" t="str">
        <f t="shared" si="111"/>
        <v>5 / 13 / 5</v>
      </c>
      <c r="BT67" s="75" t="str">
        <f t="shared" si="112"/>
        <v>0.05 / 0.5</v>
      </c>
      <c r="BU67" s="7">
        <v>465</v>
      </c>
      <c r="BV67" s="7">
        <v>275</v>
      </c>
      <c r="BW67" s="7">
        <v>219</v>
      </c>
      <c r="BX67" s="27">
        <f t="shared" si="113"/>
        <v>56</v>
      </c>
      <c r="BY67" s="7">
        <v>55</v>
      </c>
      <c r="BZ67" s="21">
        <f t="shared" si="114"/>
        <v>135</v>
      </c>
      <c r="CA67" s="98">
        <f t="shared" ref="CA67:CA73" si="125">IF(BU67=0,0,BV67/BU67)</f>
        <v>0.59139784946236562</v>
      </c>
      <c r="CB67" s="99">
        <f t="shared" ref="CB67:CB73" si="126">IF(BU67=0,0,BY67/BU67)</f>
        <v>0.11827956989247312</v>
      </c>
      <c r="CC67" s="20">
        <v>4.92</v>
      </c>
      <c r="CD67" s="20">
        <v>28.11</v>
      </c>
      <c r="CE67" s="20">
        <v>0.42</v>
      </c>
      <c r="CF67" s="77">
        <f t="shared" si="115"/>
        <v>1.5</v>
      </c>
      <c r="CG67" s="20">
        <v>0.7</v>
      </c>
      <c r="CH67" s="20">
        <v>0.52</v>
      </c>
      <c r="CI67" s="22">
        <v>8022.2</v>
      </c>
      <c r="CJ67" s="20">
        <v>29.17</v>
      </c>
      <c r="CK67" s="20">
        <v>26.92</v>
      </c>
      <c r="CL67" s="20">
        <v>-3.96</v>
      </c>
      <c r="CM67" s="74">
        <v>1000</v>
      </c>
      <c r="CN67" s="22">
        <v>13072.76</v>
      </c>
      <c r="CO67" s="35">
        <f t="shared" si="116"/>
        <v>14072.76</v>
      </c>
      <c r="CP67" s="35">
        <f t="shared" si="117"/>
        <v>1307.2760000000001</v>
      </c>
      <c r="CR67" s="15">
        <f t="shared" si="118"/>
        <v>12</v>
      </c>
      <c r="CS67" s="13">
        <f t="shared" si="119"/>
        <v>668.51666666666665</v>
      </c>
      <c r="CT67" s="13">
        <f t="shared" si="120"/>
        <v>1089.3966666666668</v>
      </c>
      <c r="CU67" s="13">
        <f t="shared" si="121"/>
        <v>108.93966666666668</v>
      </c>
      <c r="CW67" s="13">
        <f t="shared" si="122"/>
        <v>8022.2</v>
      </c>
      <c r="CX67" s="13">
        <f t="shared" si="123"/>
        <v>13072.76</v>
      </c>
      <c r="CY67" s="13">
        <f t="shared" si="124"/>
        <v>1307.2760000000001</v>
      </c>
    </row>
    <row r="68" spans="1:103" outlineLevel="1" x14ac:dyDescent="0.2">
      <c r="A68" s="43"/>
      <c r="B68" s="10"/>
      <c r="C68" s="3" t="s">
        <v>17</v>
      </c>
      <c r="D68" s="3" t="s">
        <v>113</v>
      </c>
      <c r="E68" s="6" t="s">
        <v>19</v>
      </c>
      <c r="F68" s="3" t="s">
        <v>25</v>
      </c>
      <c r="G68" s="5" t="s">
        <v>50</v>
      </c>
      <c r="H68" s="52" t="b">
        <v>0</v>
      </c>
      <c r="J68" s="46" t="s">
        <v>91</v>
      </c>
      <c r="K68" s="46" t="s">
        <v>91</v>
      </c>
      <c r="L68" s="46" t="s">
        <v>91</v>
      </c>
      <c r="M68" s="56" t="b">
        <v>0</v>
      </c>
      <c r="Q68" s="51" t="b">
        <v>1</v>
      </c>
      <c r="R68" s="50" t="s">
        <v>53</v>
      </c>
      <c r="S68" s="55" t="b">
        <v>1</v>
      </c>
      <c r="T68" s="49">
        <v>13</v>
      </c>
      <c r="U68" s="47">
        <v>1.4999999999999999E-2</v>
      </c>
      <c r="V68" s="49">
        <v>75</v>
      </c>
      <c r="W68" s="49">
        <v>-75</v>
      </c>
      <c r="X68" s="47">
        <v>50</v>
      </c>
      <c r="Y68" s="47">
        <v>5</v>
      </c>
      <c r="Z68" s="51" t="b">
        <v>1</v>
      </c>
      <c r="AA68" s="50" t="s">
        <v>92</v>
      </c>
      <c r="AB68" s="54">
        <v>2</v>
      </c>
      <c r="AC68" s="56" t="b">
        <v>0</v>
      </c>
      <c r="AE68" s="56" t="b">
        <v>0</v>
      </c>
      <c r="AG68" s="55" t="b">
        <v>1</v>
      </c>
      <c r="AH68" s="48">
        <v>8</v>
      </c>
      <c r="AI68" s="48">
        <v>13</v>
      </c>
      <c r="AJ68" s="48">
        <v>21</v>
      </c>
      <c r="AK68" s="48">
        <v>55</v>
      </c>
      <c r="AL68" s="52" t="b">
        <v>0</v>
      </c>
      <c r="AM68" s="51" t="b">
        <v>1</v>
      </c>
      <c r="AN68" s="53" t="s">
        <v>34</v>
      </c>
      <c r="AO68" s="60">
        <v>1.0000000000000001E-5</v>
      </c>
      <c r="AP68" s="51" t="b">
        <v>1</v>
      </c>
      <c r="AQ68" s="60">
        <v>1.0000000000000001E-5</v>
      </c>
      <c r="AR68" s="56">
        <v>5</v>
      </c>
      <c r="AS68" s="56">
        <v>13</v>
      </c>
      <c r="AT68" s="56">
        <v>8</v>
      </c>
      <c r="AU68" s="51" t="b">
        <v>1</v>
      </c>
      <c r="AV68" s="47">
        <v>3</v>
      </c>
      <c r="AW68" s="62">
        <v>5</v>
      </c>
      <c r="AX68" s="47">
        <v>1</v>
      </c>
      <c r="AY68" s="51" t="b">
        <v>1</v>
      </c>
      <c r="AZ68" s="45" t="s">
        <v>73</v>
      </c>
      <c r="BA68" s="45">
        <v>4</v>
      </c>
      <c r="BB68" s="49">
        <v>0.05</v>
      </c>
      <c r="BC68" s="49">
        <v>0.5</v>
      </c>
      <c r="BD68" s="52" t="b">
        <v>0</v>
      </c>
      <c r="BE68" s="45" t="s">
        <v>98</v>
      </c>
      <c r="BF68" s="51" t="b">
        <v>1</v>
      </c>
      <c r="BG68" s="45" t="s">
        <v>71</v>
      </c>
      <c r="BH68" s="54">
        <v>0.02</v>
      </c>
      <c r="BI68" s="70" t="s">
        <v>5</v>
      </c>
      <c r="BJ68" s="51" t="b">
        <v>1</v>
      </c>
      <c r="BK68" s="72">
        <v>1.5</v>
      </c>
      <c r="BL68" s="52" t="b">
        <v>0</v>
      </c>
      <c r="BM68" s="70" t="s">
        <v>6</v>
      </c>
      <c r="BN68" s="51" t="b">
        <v>1</v>
      </c>
      <c r="BO68" s="70" t="s">
        <v>15</v>
      </c>
      <c r="BP68" s="71">
        <v>1</v>
      </c>
      <c r="BQ68" s="71">
        <v>0.5</v>
      </c>
      <c r="BR68" s="75" t="str">
        <f t="shared" ref="BR68" si="127">AH68&amp;"/ "&amp;AI68&amp;"/ "&amp;AJ68&amp;"/ "&amp;AK68</f>
        <v>8/ 13/ 21/ 55</v>
      </c>
      <c r="BS68" s="75" t="str">
        <f t="shared" si="111"/>
        <v>5 / 13 / 8</v>
      </c>
      <c r="BT68" s="75" t="str">
        <f t="shared" si="112"/>
        <v>0.05 / 0.5</v>
      </c>
      <c r="BU68" s="7">
        <v>464</v>
      </c>
      <c r="BV68" s="7">
        <v>278</v>
      </c>
      <c r="BW68" s="7">
        <v>220</v>
      </c>
      <c r="BX68" s="27">
        <f t="shared" si="113"/>
        <v>58</v>
      </c>
      <c r="BY68" s="7">
        <v>55</v>
      </c>
      <c r="BZ68" s="21">
        <f t="shared" si="114"/>
        <v>131</v>
      </c>
      <c r="CA68" s="98">
        <f t="shared" si="125"/>
        <v>0.59913793103448276</v>
      </c>
      <c r="CB68" s="99">
        <f t="shared" ref="CB68" si="128">IF(BU68=0,0,BY68/BU68)</f>
        <v>0.11853448275862069</v>
      </c>
      <c r="CC68" s="20">
        <v>5</v>
      </c>
      <c r="CD68" s="20">
        <v>28.88</v>
      </c>
      <c r="CE68" s="20">
        <v>0.42</v>
      </c>
      <c r="CF68" s="77">
        <f t="shared" si="115"/>
        <v>1.5</v>
      </c>
      <c r="CG68" s="20">
        <v>0.7</v>
      </c>
      <c r="CH68" s="20">
        <v>0.51</v>
      </c>
      <c r="CI68" s="22">
        <v>8134.9</v>
      </c>
      <c r="CJ68" s="20">
        <v>29.26</v>
      </c>
      <c r="CK68" s="20">
        <v>27.42</v>
      </c>
      <c r="CL68" s="20">
        <v>-3.96</v>
      </c>
      <c r="CM68" s="74">
        <v>1000</v>
      </c>
      <c r="CN68" s="22">
        <v>13402.04</v>
      </c>
      <c r="CO68" s="35">
        <f t="shared" si="116"/>
        <v>14402.04</v>
      </c>
      <c r="CP68" s="35">
        <f t="shared" si="117"/>
        <v>1340.2040000000002</v>
      </c>
      <c r="CR68" s="15">
        <f t="shared" si="118"/>
        <v>12</v>
      </c>
      <c r="CS68" s="13">
        <f t="shared" si="119"/>
        <v>677.9083333333333</v>
      </c>
      <c r="CT68" s="13">
        <f t="shared" si="120"/>
        <v>1116.8366666666668</v>
      </c>
      <c r="CU68" s="13">
        <f t="shared" si="121"/>
        <v>111.68366666666668</v>
      </c>
      <c r="CW68" s="13">
        <f t="shared" si="122"/>
        <v>8134.9</v>
      </c>
      <c r="CX68" s="13">
        <f t="shared" si="123"/>
        <v>13402.04</v>
      </c>
      <c r="CY68" s="13">
        <f t="shared" si="124"/>
        <v>1340.2040000000002</v>
      </c>
    </row>
    <row r="69" spans="1:103" outlineLevel="1" x14ac:dyDescent="0.2">
      <c r="A69" s="43"/>
      <c r="B69" s="10"/>
      <c r="C69" s="3" t="s">
        <v>17</v>
      </c>
      <c r="D69" s="3" t="s">
        <v>113</v>
      </c>
      <c r="E69" s="6" t="s">
        <v>19</v>
      </c>
      <c r="F69" s="3" t="s">
        <v>25</v>
      </c>
      <c r="G69" s="5" t="s">
        <v>50</v>
      </c>
      <c r="H69" s="52" t="b">
        <v>0</v>
      </c>
      <c r="J69" s="46" t="s">
        <v>91</v>
      </c>
      <c r="K69" s="46" t="s">
        <v>91</v>
      </c>
      <c r="L69" s="46" t="s">
        <v>91</v>
      </c>
      <c r="M69" s="56" t="b">
        <v>0</v>
      </c>
      <c r="Q69" s="51" t="b">
        <v>1</v>
      </c>
      <c r="R69" s="50" t="s">
        <v>53</v>
      </c>
      <c r="S69" s="55" t="b">
        <v>1</v>
      </c>
      <c r="T69" s="49">
        <v>13</v>
      </c>
      <c r="U69" s="47">
        <v>1.4999999999999999E-2</v>
      </c>
      <c r="V69" s="49">
        <v>75</v>
      </c>
      <c r="W69" s="49">
        <v>-75</v>
      </c>
      <c r="X69" s="47">
        <v>50</v>
      </c>
      <c r="Y69" s="47">
        <v>5</v>
      </c>
      <c r="Z69" s="51" t="b">
        <v>1</v>
      </c>
      <c r="AA69" s="50" t="s">
        <v>92</v>
      </c>
      <c r="AB69" s="54">
        <v>2</v>
      </c>
      <c r="AC69" s="56" t="b">
        <v>0</v>
      </c>
      <c r="AE69" s="56" t="b">
        <v>0</v>
      </c>
      <c r="AG69" s="55" t="b">
        <v>1</v>
      </c>
      <c r="AH69" s="48">
        <v>8</v>
      </c>
      <c r="AI69" s="48">
        <v>13</v>
      </c>
      <c r="AJ69" s="48">
        <v>21</v>
      </c>
      <c r="AK69" s="48">
        <v>55</v>
      </c>
      <c r="AL69" s="52" t="b">
        <v>0</v>
      </c>
      <c r="AM69" s="51" t="b">
        <v>1</v>
      </c>
      <c r="AN69" s="53" t="s">
        <v>34</v>
      </c>
      <c r="AO69" s="60">
        <v>1.0000000000000001E-5</v>
      </c>
      <c r="AP69" s="51" t="b">
        <v>1</v>
      </c>
      <c r="AQ69" s="60">
        <v>1.0000000000000001E-5</v>
      </c>
      <c r="AR69" s="65">
        <v>8</v>
      </c>
      <c r="AS69" s="65">
        <v>13</v>
      </c>
      <c r="AT69" s="65">
        <v>8</v>
      </c>
      <c r="AU69" s="51" t="b">
        <v>1</v>
      </c>
      <c r="AV69" s="47">
        <v>3</v>
      </c>
      <c r="AW69" s="62">
        <v>5</v>
      </c>
      <c r="AX69" s="47">
        <v>1</v>
      </c>
      <c r="AY69" s="51" t="b">
        <v>1</v>
      </c>
      <c r="AZ69" s="45" t="s">
        <v>73</v>
      </c>
      <c r="BA69" s="45">
        <v>4</v>
      </c>
      <c r="BB69" s="49">
        <v>0.05</v>
      </c>
      <c r="BC69" s="49">
        <v>0.5</v>
      </c>
      <c r="BD69" s="52" t="b">
        <v>0</v>
      </c>
      <c r="BE69" s="45" t="s">
        <v>98</v>
      </c>
      <c r="BF69" s="51" t="b">
        <v>1</v>
      </c>
      <c r="BG69" s="45" t="s">
        <v>71</v>
      </c>
      <c r="BH69" s="54">
        <v>0.02</v>
      </c>
      <c r="BI69" s="70" t="s">
        <v>5</v>
      </c>
      <c r="BJ69" s="51" t="b">
        <v>1</v>
      </c>
      <c r="BK69" s="72">
        <v>1.5</v>
      </c>
      <c r="BL69" s="52" t="b">
        <v>0</v>
      </c>
      <c r="BM69" s="70" t="s">
        <v>6</v>
      </c>
      <c r="BN69" s="51" t="b">
        <v>1</v>
      </c>
      <c r="BO69" s="70" t="s">
        <v>15</v>
      </c>
      <c r="BP69" s="71">
        <v>1</v>
      </c>
      <c r="BQ69" s="71">
        <v>0.5</v>
      </c>
      <c r="BR69" s="75" t="str">
        <f t="shared" si="110"/>
        <v>8/ 13/ 21/ 55</v>
      </c>
      <c r="BS69" s="75" t="str">
        <f t="shared" si="111"/>
        <v>8 / 13 / 8</v>
      </c>
      <c r="BT69" s="75" t="str">
        <f t="shared" si="112"/>
        <v>0.05 / 0.5</v>
      </c>
      <c r="BU69" s="7">
        <v>455</v>
      </c>
      <c r="BV69" s="7">
        <v>273</v>
      </c>
      <c r="BW69" s="7">
        <v>216</v>
      </c>
      <c r="BX69" s="27">
        <f t="shared" si="113"/>
        <v>57</v>
      </c>
      <c r="BY69" s="7">
        <v>53</v>
      </c>
      <c r="BZ69" s="21">
        <f t="shared" si="114"/>
        <v>129</v>
      </c>
      <c r="CA69" s="98">
        <f t="shared" si="125"/>
        <v>0.6</v>
      </c>
      <c r="CB69" s="99">
        <f t="shared" si="126"/>
        <v>0.11648351648351649</v>
      </c>
      <c r="CC69" s="20">
        <v>5.19</v>
      </c>
      <c r="CD69" s="20">
        <v>29.47</v>
      </c>
      <c r="CE69" s="20">
        <v>0.43</v>
      </c>
      <c r="CF69" s="77">
        <f t="shared" si="115"/>
        <v>1.5</v>
      </c>
      <c r="CG69" s="20">
        <v>0.7</v>
      </c>
      <c r="CH69" s="20">
        <v>0.52</v>
      </c>
      <c r="CI69" s="22">
        <v>8015.5</v>
      </c>
      <c r="CJ69" s="20">
        <v>29.36</v>
      </c>
      <c r="CK69" s="20">
        <v>27.1</v>
      </c>
      <c r="CL69" s="20">
        <v>-3.96</v>
      </c>
      <c r="CM69" s="74">
        <v>1000</v>
      </c>
      <c r="CN69" s="22">
        <v>13410.27</v>
      </c>
      <c r="CO69" s="35">
        <f t="shared" si="116"/>
        <v>14410.27</v>
      </c>
      <c r="CP69" s="35">
        <f t="shared" si="117"/>
        <v>1341.027</v>
      </c>
      <c r="CR69" s="15">
        <f t="shared" si="118"/>
        <v>12</v>
      </c>
      <c r="CS69" s="13">
        <f t="shared" si="119"/>
        <v>667.95833333333337</v>
      </c>
      <c r="CT69" s="13">
        <f t="shared" si="120"/>
        <v>1117.5225</v>
      </c>
      <c r="CU69" s="13">
        <f t="shared" si="121"/>
        <v>111.75225</v>
      </c>
      <c r="CW69" s="13">
        <f t="shared" si="122"/>
        <v>8015.5</v>
      </c>
      <c r="CX69" s="13">
        <f t="shared" si="123"/>
        <v>13410.27</v>
      </c>
      <c r="CY69" s="13">
        <f t="shared" si="124"/>
        <v>1341.027</v>
      </c>
    </row>
    <row r="70" spans="1:103" outlineLevel="1" x14ac:dyDescent="0.2">
      <c r="A70" s="43"/>
      <c r="B70" s="10"/>
      <c r="C70" s="3" t="s">
        <v>17</v>
      </c>
      <c r="D70" s="3" t="s">
        <v>113</v>
      </c>
      <c r="E70" s="6" t="s">
        <v>19</v>
      </c>
      <c r="F70" s="3" t="s">
        <v>25</v>
      </c>
      <c r="G70" s="5" t="s">
        <v>50</v>
      </c>
      <c r="H70" s="52" t="b">
        <v>0</v>
      </c>
      <c r="J70" s="46" t="s">
        <v>91</v>
      </c>
      <c r="K70" s="46" t="s">
        <v>91</v>
      </c>
      <c r="L70" s="46" t="s">
        <v>91</v>
      </c>
      <c r="M70" s="56" t="b">
        <v>0</v>
      </c>
      <c r="Q70" s="51" t="b">
        <v>1</v>
      </c>
      <c r="R70" s="50" t="s">
        <v>53</v>
      </c>
      <c r="S70" s="55" t="b">
        <v>1</v>
      </c>
      <c r="T70" s="49">
        <v>13</v>
      </c>
      <c r="U70" s="47">
        <v>1.4999999999999999E-2</v>
      </c>
      <c r="V70" s="49">
        <v>75</v>
      </c>
      <c r="W70" s="49">
        <v>-75</v>
      </c>
      <c r="X70" s="47">
        <v>50</v>
      </c>
      <c r="Y70" s="47">
        <v>5</v>
      </c>
      <c r="Z70" s="51" t="b">
        <v>1</v>
      </c>
      <c r="AA70" s="50" t="s">
        <v>92</v>
      </c>
      <c r="AB70" s="54">
        <v>2</v>
      </c>
      <c r="AC70" s="56" t="b">
        <v>0</v>
      </c>
      <c r="AE70" s="56" t="b">
        <v>0</v>
      </c>
      <c r="AG70" s="55" t="b">
        <v>1</v>
      </c>
      <c r="AH70" s="48">
        <v>8</v>
      </c>
      <c r="AI70" s="48">
        <v>13</v>
      </c>
      <c r="AJ70" s="48">
        <v>21</v>
      </c>
      <c r="AK70" s="48">
        <v>55</v>
      </c>
      <c r="AL70" s="52" t="b">
        <v>0</v>
      </c>
      <c r="AM70" s="51" t="b">
        <v>1</v>
      </c>
      <c r="AN70" s="53" t="s">
        <v>34</v>
      </c>
      <c r="AO70" s="60">
        <v>1.0000000000000001E-5</v>
      </c>
      <c r="AP70" s="51" t="b">
        <v>1</v>
      </c>
      <c r="AQ70" s="60">
        <v>1.0000000000000001E-5</v>
      </c>
      <c r="AR70" s="65">
        <v>8</v>
      </c>
      <c r="AS70" s="65">
        <v>13</v>
      </c>
      <c r="AT70" s="65">
        <v>11</v>
      </c>
      <c r="AU70" s="51" t="b">
        <v>1</v>
      </c>
      <c r="AV70" s="47">
        <v>3</v>
      </c>
      <c r="AW70" s="62">
        <v>5</v>
      </c>
      <c r="AX70" s="47">
        <v>1</v>
      </c>
      <c r="AY70" s="51" t="b">
        <v>1</v>
      </c>
      <c r="AZ70" s="45" t="s">
        <v>73</v>
      </c>
      <c r="BA70" s="45">
        <v>4</v>
      </c>
      <c r="BB70" s="49">
        <v>0.05</v>
      </c>
      <c r="BC70" s="49">
        <v>0.5</v>
      </c>
      <c r="BD70" s="52" t="b">
        <v>0</v>
      </c>
      <c r="BE70" s="45" t="s">
        <v>98</v>
      </c>
      <c r="BF70" s="51" t="b">
        <v>1</v>
      </c>
      <c r="BG70" s="45" t="s">
        <v>71</v>
      </c>
      <c r="BH70" s="54">
        <v>0.02</v>
      </c>
      <c r="BI70" s="70" t="s">
        <v>5</v>
      </c>
      <c r="BJ70" s="51" t="b">
        <v>1</v>
      </c>
      <c r="BK70" s="72">
        <v>1.5</v>
      </c>
      <c r="BL70" s="52" t="b">
        <v>0</v>
      </c>
      <c r="BM70" s="70" t="s">
        <v>6</v>
      </c>
      <c r="BN70" s="51" t="b">
        <v>1</v>
      </c>
      <c r="BO70" s="70" t="s">
        <v>15</v>
      </c>
      <c r="BP70" s="71">
        <v>1</v>
      </c>
      <c r="BQ70" s="71">
        <v>0.5</v>
      </c>
      <c r="BR70" s="75" t="str">
        <f t="shared" si="110"/>
        <v>8/ 13/ 21/ 55</v>
      </c>
      <c r="BS70" s="75" t="str">
        <f t="shared" si="111"/>
        <v>8 / 13 / 11</v>
      </c>
      <c r="BT70" s="75" t="str">
        <f t="shared" si="112"/>
        <v>0.05 / 0.5</v>
      </c>
      <c r="BU70" s="7">
        <v>450</v>
      </c>
      <c r="BV70" s="7">
        <v>272</v>
      </c>
      <c r="BW70" s="7">
        <v>217</v>
      </c>
      <c r="BX70" s="27">
        <f t="shared" si="113"/>
        <v>55</v>
      </c>
      <c r="BY70" s="7">
        <v>53</v>
      </c>
      <c r="BZ70" s="21">
        <f t="shared" si="114"/>
        <v>125</v>
      </c>
      <c r="CA70" s="98">
        <f t="shared" si="125"/>
        <v>0.60444444444444445</v>
      </c>
      <c r="CB70" s="99">
        <f t="shared" si="126"/>
        <v>0.11777777777777777</v>
      </c>
      <c r="CC70" s="20">
        <v>5.15</v>
      </c>
      <c r="CD70" s="20">
        <v>29.1</v>
      </c>
      <c r="CE70" s="20">
        <v>0.43</v>
      </c>
      <c r="CF70" s="77">
        <f t="shared" si="115"/>
        <v>1.5</v>
      </c>
      <c r="CG70" s="20">
        <v>0.69</v>
      </c>
      <c r="CH70" s="20">
        <v>0.52</v>
      </c>
      <c r="CI70" s="22">
        <v>7937.9</v>
      </c>
      <c r="CJ70" s="20">
        <v>29.18</v>
      </c>
      <c r="CK70" s="20">
        <v>27.2</v>
      </c>
      <c r="CL70" s="20">
        <v>-4.3</v>
      </c>
      <c r="CM70" s="74">
        <v>1000</v>
      </c>
      <c r="CN70" s="22">
        <v>13094.83</v>
      </c>
      <c r="CO70" s="35">
        <f t="shared" si="116"/>
        <v>14094.83</v>
      </c>
      <c r="CP70" s="35">
        <f t="shared" si="117"/>
        <v>1309.4829999999999</v>
      </c>
      <c r="CR70" s="15">
        <f t="shared" si="118"/>
        <v>12</v>
      </c>
      <c r="CS70" s="13">
        <f t="shared" si="119"/>
        <v>661.49166666666667</v>
      </c>
      <c r="CT70" s="13">
        <f t="shared" si="120"/>
        <v>1091.2358333333334</v>
      </c>
      <c r="CU70" s="13">
        <f t="shared" si="121"/>
        <v>109.12358333333334</v>
      </c>
      <c r="CW70" s="13">
        <f t="shared" si="122"/>
        <v>7937.9</v>
      </c>
      <c r="CX70" s="13">
        <f t="shared" si="123"/>
        <v>13094.83</v>
      </c>
      <c r="CY70" s="13">
        <f t="shared" si="124"/>
        <v>1309.4829999999999</v>
      </c>
    </row>
    <row r="71" spans="1:103" outlineLevel="1" x14ac:dyDescent="0.2">
      <c r="A71" s="43"/>
      <c r="B71" s="10"/>
      <c r="C71" s="3" t="s">
        <v>17</v>
      </c>
      <c r="D71" s="3" t="s">
        <v>113</v>
      </c>
      <c r="E71" s="6" t="s">
        <v>19</v>
      </c>
      <c r="F71" s="3" t="s">
        <v>25</v>
      </c>
      <c r="G71" s="5" t="s">
        <v>50</v>
      </c>
      <c r="H71" s="52" t="b">
        <v>0</v>
      </c>
      <c r="J71" s="46" t="s">
        <v>91</v>
      </c>
      <c r="K71" s="46" t="s">
        <v>91</v>
      </c>
      <c r="L71" s="46" t="s">
        <v>91</v>
      </c>
      <c r="M71" s="56" t="b">
        <v>0</v>
      </c>
      <c r="Q71" s="51" t="b">
        <v>1</v>
      </c>
      <c r="R71" s="50" t="s">
        <v>53</v>
      </c>
      <c r="S71" s="55" t="b">
        <v>1</v>
      </c>
      <c r="T71" s="49">
        <v>13</v>
      </c>
      <c r="U71" s="47">
        <v>1.4999999999999999E-2</v>
      </c>
      <c r="V71" s="49">
        <v>75</v>
      </c>
      <c r="W71" s="49">
        <v>-75</v>
      </c>
      <c r="X71" s="47">
        <v>50</v>
      </c>
      <c r="Y71" s="47">
        <v>5</v>
      </c>
      <c r="Z71" s="51" t="b">
        <v>1</v>
      </c>
      <c r="AA71" s="50" t="s">
        <v>92</v>
      </c>
      <c r="AB71" s="54">
        <v>2</v>
      </c>
      <c r="AC71" s="56" t="b">
        <v>0</v>
      </c>
      <c r="AE71" s="56" t="b">
        <v>0</v>
      </c>
      <c r="AG71" s="55" t="b">
        <v>1</v>
      </c>
      <c r="AH71" s="48">
        <v>8</v>
      </c>
      <c r="AI71" s="48">
        <v>13</v>
      </c>
      <c r="AJ71" s="48">
        <v>21</v>
      </c>
      <c r="AK71" s="48">
        <v>55</v>
      </c>
      <c r="AL71" s="52" t="b">
        <v>0</v>
      </c>
      <c r="AM71" s="51" t="b">
        <v>1</v>
      </c>
      <c r="AN71" s="53" t="s">
        <v>34</v>
      </c>
      <c r="AO71" s="60">
        <v>1.0000000000000001E-5</v>
      </c>
      <c r="AP71" s="51" t="b">
        <v>1</v>
      </c>
      <c r="AQ71" s="60">
        <v>1.0000000000000001E-5</v>
      </c>
      <c r="AR71" s="66">
        <v>8</v>
      </c>
      <c r="AS71" s="66">
        <v>17</v>
      </c>
      <c r="AT71" s="66">
        <v>9</v>
      </c>
      <c r="AU71" s="51" t="b">
        <v>1</v>
      </c>
      <c r="AV71" s="47">
        <v>3</v>
      </c>
      <c r="AW71" s="62">
        <v>5</v>
      </c>
      <c r="AX71" s="47">
        <v>1</v>
      </c>
      <c r="AY71" s="51" t="b">
        <v>1</v>
      </c>
      <c r="AZ71" s="45" t="s">
        <v>73</v>
      </c>
      <c r="BA71" s="45">
        <v>4</v>
      </c>
      <c r="BB71" s="49">
        <v>0.05</v>
      </c>
      <c r="BC71" s="49">
        <v>0.5</v>
      </c>
      <c r="BD71" s="52" t="b">
        <v>0</v>
      </c>
      <c r="BE71" s="45" t="s">
        <v>98</v>
      </c>
      <c r="BF71" s="51" t="b">
        <v>1</v>
      </c>
      <c r="BG71" s="45" t="s">
        <v>71</v>
      </c>
      <c r="BH71" s="54">
        <v>0.02</v>
      </c>
      <c r="BI71" s="70" t="s">
        <v>5</v>
      </c>
      <c r="BJ71" s="51" t="b">
        <v>1</v>
      </c>
      <c r="BK71" s="72">
        <v>1.5</v>
      </c>
      <c r="BL71" s="52" t="b">
        <v>0</v>
      </c>
      <c r="BM71" s="70" t="s">
        <v>6</v>
      </c>
      <c r="BN71" s="51" t="b">
        <v>1</v>
      </c>
      <c r="BO71" s="70" t="s">
        <v>15</v>
      </c>
      <c r="BP71" s="71">
        <v>1</v>
      </c>
      <c r="BQ71" s="71">
        <v>0.5</v>
      </c>
      <c r="BR71" s="75" t="str">
        <f t="shared" si="110"/>
        <v>8/ 13/ 21/ 55</v>
      </c>
      <c r="BS71" s="75" t="str">
        <f t="shared" si="111"/>
        <v>8 / 17 / 9</v>
      </c>
      <c r="BT71" s="75" t="str">
        <f t="shared" si="112"/>
        <v>0.05 / 0.5</v>
      </c>
      <c r="BU71" s="7">
        <v>450</v>
      </c>
      <c r="BV71" s="7">
        <v>274</v>
      </c>
      <c r="BW71" s="7">
        <v>220</v>
      </c>
      <c r="BX71" s="27">
        <f t="shared" si="113"/>
        <v>54</v>
      </c>
      <c r="BY71" s="7">
        <v>52</v>
      </c>
      <c r="BZ71" s="21">
        <f t="shared" si="114"/>
        <v>124</v>
      </c>
      <c r="CA71" s="98">
        <f t="shared" si="125"/>
        <v>0.60888888888888892</v>
      </c>
      <c r="CB71" s="99">
        <f t="shared" si="126"/>
        <v>0.11555555555555555</v>
      </c>
      <c r="CC71" s="20">
        <v>5.36</v>
      </c>
      <c r="CD71" s="20">
        <v>29.51</v>
      </c>
      <c r="CE71" s="20">
        <v>0.44</v>
      </c>
      <c r="CF71" s="77">
        <f t="shared" si="115"/>
        <v>1.5</v>
      </c>
      <c r="CG71" s="20">
        <v>0.69</v>
      </c>
      <c r="CH71" s="20">
        <v>0.51</v>
      </c>
      <c r="CI71" s="22">
        <v>7919.1</v>
      </c>
      <c r="CJ71" s="20">
        <v>28.9</v>
      </c>
      <c r="CK71" s="20">
        <v>27.01</v>
      </c>
      <c r="CL71" s="20">
        <v>-4.3</v>
      </c>
      <c r="CM71" s="74">
        <v>1000</v>
      </c>
      <c r="CN71" s="22">
        <v>13279.75</v>
      </c>
      <c r="CO71" s="35">
        <f t="shared" si="116"/>
        <v>14279.75</v>
      </c>
      <c r="CP71" s="35">
        <f t="shared" si="117"/>
        <v>1327.9749999999999</v>
      </c>
      <c r="CR71" s="15">
        <f t="shared" si="118"/>
        <v>12</v>
      </c>
      <c r="CS71" s="13">
        <f t="shared" si="119"/>
        <v>659.92500000000007</v>
      </c>
      <c r="CT71" s="13">
        <f t="shared" si="120"/>
        <v>1106.6458333333333</v>
      </c>
      <c r="CU71" s="13">
        <f t="shared" si="121"/>
        <v>110.66458333333333</v>
      </c>
      <c r="CW71" s="13">
        <f t="shared" si="122"/>
        <v>7919.1</v>
      </c>
      <c r="CX71" s="13">
        <f t="shared" si="123"/>
        <v>13279.75</v>
      </c>
      <c r="CY71" s="13">
        <f t="shared" si="124"/>
        <v>1327.9749999999999</v>
      </c>
    </row>
    <row r="72" spans="1:103" outlineLevel="1" x14ac:dyDescent="0.2">
      <c r="A72" s="43"/>
      <c r="B72" s="10"/>
      <c r="C72" s="3" t="s">
        <v>17</v>
      </c>
      <c r="D72" s="3" t="s">
        <v>113</v>
      </c>
      <c r="E72" s="6" t="s">
        <v>19</v>
      </c>
      <c r="F72" s="3" t="s">
        <v>25</v>
      </c>
      <c r="G72" s="5" t="s">
        <v>50</v>
      </c>
      <c r="H72" s="52" t="b">
        <v>0</v>
      </c>
      <c r="J72" s="46" t="s">
        <v>91</v>
      </c>
      <c r="K72" s="46" t="s">
        <v>91</v>
      </c>
      <c r="L72" s="46" t="s">
        <v>91</v>
      </c>
      <c r="M72" s="56" t="b">
        <v>0</v>
      </c>
      <c r="Q72" s="51" t="b">
        <v>1</v>
      </c>
      <c r="R72" s="50" t="s">
        <v>53</v>
      </c>
      <c r="S72" s="55" t="b">
        <v>1</v>
      </c>
      <c r="T72" s="49">
        <v>13</v>
      </c>
      <c r="U72" s="47">
        <v>1.4999999999999999E-2</v>
      </c>
      <c r="V72" s="49">
        <v>75</v>
      </c>
      <c r="W72" s="49">
        <v>-75</v>
      </c>
      <c r="X72" s="47">
        <v>50</v>
      </c>
      <c r="Y72" s="47">
        <v>5</v>
      </c>
      <c r="Z72" s="51" t="b">
        <v>1</v>
      </c>
      <c r="AA72" s="50" t="s">
        <v>92</v>
      </c>
      <c r="AB72" s="54">
        <v>2</v>
      </c>
      <c r="AC72" s="56" t="b">
        <v>0</v>
      </c>
      <c r="AE72" s="56" t="b">
        <v>0</v>
      </c>
      <c r="AG72" s="55" t="b">
        <v>1</v>
      </c>
      <c r="AH72" s="48">
        <v>8</v>
      </c>
      <c r="AI72" s="48">
        <v>13</v>
      </c>
      <c r="AJ72" s="48">
        <v>21</v>
      </c>
      <c r="AK72" s="48">
        <v>55</v>
      </c>
      <c r="AL72" s="52" t="b">
        <v>0</v>
      </c>
      <c r="AM72" s="51" t="b">
        <v>1</v>
      </c>
      <c r="AN72" s="53" t="s">
        <v>34</v>
      </c>
      <c r="AO72" s="60">
        <v>1.0000000000000001E-5</v>
      </c>
      <c r="AP72" s="51" t="b">
        <v>1</v>
      </c>
      <c r="AQ72" s="60">
        <v>1.0000000000000001E-5</v>
      </c>
      <c r="AR72" s="67">
        <v>12</v>
      </c>
      <c r="AS72" s="67">
        <v>26</v>
      </c>
      <c r="AT72" s="67">
        <v>9</v>
      </c>
      <c r="AU72" s="51" t="b">
        <v>1</v>
      </c>
      <c r="AV72" s="47">
        <v>3</v>
      </c>
      <c r="AW72" s="62">
        <v>5</v>
      </c>
      <c r="AX72" s="47">
        <v>1</v>
      </c>
      <c r="AY72" s="51" t="b">
        <v>1</v>
      </c>
      <c r="AZ72" s="45" t="s">
        <v>73</v>
      </c>
      <c r="BA72" s="45">
        <v>4</v>
      </c>
      <c r="BB72" s="49">
        <v>0.05</v>
      </c>
      <c r="BC72" s="49">
        <v>0.5</v>
      </c>
      <c r="BD72" s="52" t="b">
        <v>0</v>
      </c>
      <c r="BE72" s="45" t="s">
        <v>98</v>
      </c>
      <c r="BF72" s="51" t="b">
        <v>1</v>
      </c>
      <c r="BG72" s="45" t="s">
        <v>71</v>
      </c>
      <c r="BH72" s="54">
        <v>0.02</v>
      </c>
      <c r="BI72" s="70" t="s">
        <v>5</v>
      </c>
      <c r="BJ72" s="51" t="b">
        <v>1</v>
      </c>
      <c r="BK72" s="72">
        <v>1.5</v>
      </c>
      <c r="BL72" s="52" t="b">
        <v>0</v>
      </c>
      <c r="BM72" s="70" t="s">
        <v>6</v>
      </c>
      <c r="BN72" s="51" t="b">
        <v>1</v>
      </c>
      <c r="BO72" s="70" t="s">
        <v>15</v>
      </c>
      <c r="BP72" s="71">
        <v>1</v>
      </c>
      <c r="BQ72" s="71">
        <v>0.5</v>
      </c>
      <c r="BR72" s="75" t="str">
        <f t="shared" si="110"/>
        <v>8/ 13/ 21/ 55</v>
      </c>
      <c r="BS72" s="75" t="str">
        <f t="shared" si="111"/>
        <v>12 / 26 / 9</v>
      </c>
      <c r="BT72" s="75" t="str">
        <f t="shared" si="112"/>
        <v>0.05 / 0.5</v>
      </c>
      <c r="BU72" s="7">
        <v>461</v>
      </c>
      <c r="BV72" s="7">
        <v>272</v>
      </c>
      <c r="BW72" s="7">
        <v>214</v>
      </c>
      <c r="BX72" s="27">
        <f t="shared" si="113"/>
        <v>58</v>
      </c>
      <c r="BY72" s="7">
        <v>56</v>
      </c>
      <c r="BZ72" s="21">
        <f t="shared" si="114"/>
        <v>133</v>
      </c>
      <c r="CA72" s="98">
        <f t="shared" si="125"/>
        <v>0.59002169197396959</v>
      </c>
      <c r="CB72" s="99">
        <f t="shared" si="126"/>
        <v>0.12147505422993492</v>
      </c>
      <c r="CC72" s="20">
        <v>4.82</v>
      </c>
      <c r="CD72" s="20">
        <v>29.86</v>
      </c>
      <c r="CE72" s="20">
        <v>0.42</v>
      </c>
      <c r="CF72" s="77">
        <f t="shared" si="115"/>
        <v>1.5</v>
      </c>
      <c r="CG72" s="20">
        <v>0.71</v>
      </c>
      <c r="CH72" s="20">
        <v>0.52</v>
      </c>
      <c r="CI72" s="22">
        <v>7847.6</v>
      </c>
      <c r="CJ72" s="20">
        <v>28.85</v>
      </c>
      <c r="CK72" s="20">
        <v>26.53</v>
      </c>
      <c r="CL72" s="20">
        <v>-4.84</v>
      </c>
      <c r="CM72" s="74">
        <v>1000</v>
      </c>
      <c r="CN72" s="102">
        <v>13763.13</v>
      </c>
      <c r="CO72" s="103">
        <f t="shared" si="116"/>
        <v>14763.13</v>
      </c>
      <c r="CP72" s="103">
        <f t="shared" si="117"/>
        <v>1376.3129999999999</v>
      </c>
      <c r="CR72" s="15">
        <f t="shared" si="118"/>
        <v>12</v>
      </c>
      <c r="CS72" s="13">
        <f t="shared" si="119"/>
        <v>653.9666666666667</v>
      </c>
      <c r="CT72" s="13">
        <f t="shared" si="120"/>
        <v>1146.9275</v>
      </c>
      <c r="CU72" s="13">
        <f t="shared" si="121"/>
        <v>114.69275</v>
      </c>
      <c r="CW72" s="13">
        <f t="shared" si="122"/>
        <v>7847.6</v>
      </c>
      <c r="CX72" s="13">
        <f t="shared" si="123"/>
        <v>13763.13</v>
      </c>
      <c r="CY72" s="13">
        <f t="shared" si="124"/>
        <v>1376.3129999999999</v>
      </c>
    </row>
    <row r="73" spans="1:103" outlineLevel="1" x14ac:dyDescent="0.2">
      <c r="A73" s="43"/>
      <c r="B73" s="10"/>
      <c r="C73" s="3" t="s">
        <v>17</v>
      </c>
      <c r="D73" s="3" t="s">
        <v>113</v>
      </c>
      <c r="E73" s="6" t="s">
        <v>19</v>
      </c>
      <c r="F73" s="3" t="s">
        <v>25</v>
      </c>
      <c r="G73" s="5" t="s">
        <v>50</v>
      </c>
      <c r="H73" s="52" t="b">
        <v>0</v>
      </c>
      <c r="J73" s="46" t="s">
        <v>91</v>
      </c>
      <c r="K73" s="46" t="s">
        <v>91</v>
      </c>
      <c r="L73" s="46" t="s">
        <v>91</v>
      </c>
      <c r="M73" s="56" t="b">
        <v>0</v>
      </c>
      <c r="Q73" s="51" t="b">
        <v>1</v>
      </c>
      <c r="R73" s="50" t="s">
        <v>53</v>
      </c>
      <c r="S73" s="55" t="b">
        <v>1</v>
      </c>
      <c r="T73" s="49">
        <v>13</v>
      </c>
      <c r="U73" s="47">
        <v>1.4999999999999999E-2</v>
      </c>
      <c r="V73" s="49">
        <v>75</v>
      </c>
      <c r="W73" s="49">
        <v>-75</v>
      </c>
      <c r="X73" s="47">
        <v>50</v>
      </c>
      <c r="Y73" s="47">
        <v>5</v>
      </c>
      <c r="Z73" s="51" t="b">
        <v>1</v>
      </c>
      <c r="AA73" s="50" t="s">
        <v>92</v>
      </c>
      <c r="AB73" s="54">
        <v>2</v>
      </c>
      <c r="AC73" s="56" t="b">
        <v>0</v>
      </c>
      <c r="AE73" s="56" t="b">
        <v>0</v>
      </c>
      <c r="AG73" s="55" t="b">
        <v>1</v>
      </c>
      <c r="AH73" s="48">
        <v>8</v>
      </c>
      <c r="AI73" s="48">
        <v>13</v>
      </c>
      <c r="AJ73" s="48">
        <v>21</v>
      </c>
      <c r="AK73" s="48">
        <v>55</v>
      </c>
      <c r="AL73" s="52" t="b">
        <v>0</v>
      </c>
      <c r="AM73" s="51" t="b">
        <v>1</v>
      </c>
      <c r="AN73" s="53" t="s">
        <v>34</v>
      </c>
      <c r="AO73" s="60">
        <v>1.0000000000000001E-5</v>
      </c>
      <c r="AP73" s="51" t="b">
        <v>1</v>
      </c>
      <c r="AQ73" s="60">
        <v>1.0000000000000001E-5</v>
      </c>
      <c r="AR73" s="56">
        <v>21</v>
      </c>
      <c r="AS73" s="56">
        <v>34</v>
      </c>
      <c r="AT73" s="56">
        <v>9</v>
      </c>
      <c r="AU73" s="51" t="b">
        <v>1</v>
      </c>
      <c r="AV73" s="47">
        <v>3</v>
      </c>
      <c r="AW73" s="62">
        <v>5</v>
      </c>
      <c r="AX73" s="47">
        <v>1</v>
      </c>
      <c r="AY73" s="51" t="b">
        <v>1</v>
      </c>
      <c r="AZ73" s="45" t="s">
        <v>73</v>
      </c>
      <c r="BA73" s="45">
        <v>4</v>
      </c>
      <c r="BB73" s="49">
        <v>0.05</v>
      </c>
      <c r="BC73" s="49">
        <v>0.5</v>
      </c>
      <c r="BD73" s="52" t="b">
        <v>0</v>
      </c>
      <c r="BE73" s="45" t="s">
        <v>98</v>
      </c>
      <c r="BF73" s="51" t="b">
        <v>1</v>
      </c>
      <c r="BG73" s="45" t="s">
        <v>71</v>
      </c>
      <c r="BH73" s="54">
        <v>0.02</v>
      </c>
      <c r="BI73" s="70" t="s">
        <v>5</v>
      </c>
      <c r="BJ73" s="51" t="b">
        <v>1</v>
      </c>
      <c r="BK73" s="72">
        <v>1.5</v>
      </c>
      <c r="BL73" s="52" t="b">
        <v>0</v>
      </c>
      <c r="BM73" s="70" t="s">
        <v>6</v>
      </c>
      <c r="BN73" s="51" t="b">
        <v>1</v>
      </c>
      <c r="BO73" s="70" t="s">
        <v>15</v>
      </c>
      <c r="BP73" s="71">
        <v>1</v>
      </c>
      <c r="BQ73" s="71">
        <v>0.5</v>
      </c>
      <c r="BR73" s="75" t="str">
        <f t="shared" si="110"/>
        <v>8/ 13/ 21/ 55</v>
      </c>
      <c r="BS73" s="75" t="str">
        <f t="shared" si="111"/>
        <v>21 / 34 / 9</v>
      </c>
      <c r="BT73" s="75" t="str">
        <f t="shared" si="112"/>
        <v>0.05 / 0.5</v>
      </c>
      <c r="BU73" s="7">
        <v>464</v>
      </c>
      <c r="BV73" s="7">
        <v>265</v>
      </c>
      <c r="BW73" s="7">
        <v>208</v>
      </c>
      <c r="BX73" s="27">
        <f t="shared" si="113"/>
        <v>57</v>
      </c>
      <c r="BY73" s="7">
        <v>58</v>
      </c>
      <c r="BZ73" s="21">
        <f t="shared" si="114"/>
        <v>141</v>
      </c>
      <c r="CA73" s="98">
        <f t="shared" si="125"/>
        <v>0.57112068965517238</v>
      </c>
      <c r="CB73" s="99">
        <f t="shared" si="126"/>
        <v>0.125</v>
      </c>
      <c r="CC73" s="20">
        <v>4.4400000000000004</v>
      </c>
      <c r="CD73" s="20">
        <v>28.44</v>
      </c>
      <c r="CE73" s="20">
        <v>0.41</v>
      </c>
      <c r="CF73" s="77">
        <f t="shared" si="115"/>
        <v>1.5</v>
      </c>
      <c r="CG73" s="20">
        <v>0.72</v>
      </c>
      <c r="CH73" s="20">
        <v>0.56000000000000005</v>
      </c>
      <c r="CI73" s="22">
        <v>7688.6</v>
      </c>
      <c r="CJ73" s="20">
        <v>29</v>
      </c>
      <c r="CK73" s="20">
        <v>27.05</v>
      </c>
      <c r="CL73" s="20">
        <v>-4.84</v>
      </c>
      <c r="CM73" s="74">
        <v>1000</v>
      </c>
      <c r="CN73" s="22">
        <v>13196.4</v>
      </c>
      <c r="CO73" s="35">
        <f t="shared" si="116"/>
        <v>14196.4</v>
      </c>
      <c r="CP73" s="35">
        <f t="shared" si="117"/>
        <v>1319.6399999999999</v>
      </c>
      <c r="CR73" s="15">
        <f t="shared" si="118"/>
        <v>12</v>
      </c>
      <c r="CS73" s="13">
        <f t="shared" si="119"/>
        <v>640.7166666666667</v>
      </c>
      <c r="CT73" s="13">
        <f t="shared" si="120"/>
        <v>1099.7</v>
      </c>
      <c r="CU73" s="13">
        <f t="shared" si="121"/>
        <v>109.97</v>
      </c>
      <c r="CW73" s="13">
        <f t="shared" si="122"/>
        <v>7688.6</v>
      </c>
      <c r="CX73" s="13">
        <f t="shared" si="123"/>
        <v>13196.4</v>
      </c>
      <c r="CY73" s="13">
        <f t="shared" si="124"/>
        <v>1319.6399999999999</v>
      </c>
    </row>
    <row r="74" spans="1:103" outlineLevel="1" x14ac:dyDescent="0.2">
      <c r="B74" s="8"/>
    </row>
    <row r="75" spans="1:103" x14ac:dyDescent="0.2">
      <c r="A75" s="43"/>
      <c r="B75" s="10" t="s">
        <v>126</v>
      </c>
      <c r="C75" s="3" t="s">
        <v>17</v>
      </c>
      <c r="D75" s="3" t="s">
        <v>113</v>
      </c>
      <c r="E75" s="6" t="s">
        <v>19</v>
      </c>
      <c r="F75" s="3" t="s">
        <v>25</v>
      </c>
      <c r="G75" s="5" t="s">
        <v>50</v>
      </c>
      <c r="H75" s="52" t="b">
        <v>0</v>
      </c>
      <c r="J75" s="46" t="s">
        <v>91</v>
      </c>
      <c r="K75" s="46" t="s">
        <v>91</v>
      </c>
      <c r="L75" s="46" t="s">
        <v>91</v>
      </c>
      <c r="M75" s="56" t="b">
        <v>0</v>
      </c>
      <c r="Q75" s="51" t="b">
        <v>1</v>
      </c>
      <c r="R75" s="50" t="s">
        <v>53</v>
      </c>
      <c r="S75" s="55" t="b">
        <v>1</v>
      </c>
      <c r="T75" s="49">
        <v>13</v>
      </c>
      <c r="U75" s="47">
        <v>1.4999999999999999E-2</v>
      </c>
      <c r="V75" s="49">
        <v>75</v>
      </c>
      <c r="W75" s="49">
        <v>-75</v>
      </c>
      <c r="X75" s="47">
        <v>50</v>
      </c>
      <c r="Y75" s="47">
        <v>5</v>
      </c>
      <c r="Z75" s="51" t="b">
        <v>1</v>
      </c>
      <c r="AA75" s="50" t="s">
        <v>92</v>
      </c>
      <c r="AB75" s="54">
        <v>2</v>
      </c>
      <c r="AC75" s="56" t="b">
        <v>0</v>
      </c>
      <c r="AE75" s="56" t="b">
        <v>0</v>
      </c>
      <c r="AG75" s="55" t="b">
        <v>1</v>
      </c>
      <c r="AH75" s="48">
        <v>13</v>
      </c>
      <c r="AI75" s="48">
        <v>21</v>
      </c>
      <c r="AJ75" s="48">
        <v>34</v>
      </c>
      <c r="AK75" s="48">
        <v>55</v>
      </c>
      <c r="AL75" s="52" t="b">
        <v>0</v>
      </c>
      <c r="AM75" s="51" t="b">
        <v>1</v>
      </c>
      <c r="AN75" s="53" t="s">
        <v>34</v>
      </c>
      <c r="AO75" s="60">
        <v>1.0000000000000001E-5</v>
      </c>
      <c r="AP75" s="51" t="b">
        <v>1</v>
      </c>
      <c r="AQ75" s="60">
        <v>1.0000000000000001E-5</v>
      </c>
      <c r="AR75" s="49">
        <v>5</v>
      </c>
      <c r="AS75" s="49">
        <v>8</v>
      </c>
      <c r="AT75" s="49">
        <v>5</v>
      </c>
      <c r="AU75" s="51" t="b">
        <v>1</v>
      </c>
      <c r="AV75" s="47">
        <v>3</v>
      </c>
      <c r="AW75" s="62">
        <v>5</v>
      </c>
      <c r="AX75" s="47">
        <v>1</v>
      </c>
      <c r="AY75" s="51" t="b">
        <v>1</v>
      </c>
      <c r="AZ75" s="45" t="s">
        <v>73</v>
      </c>
      <c r="BA75" s="45">
        <v>4</v>
      </c>
      <c r="BB75" s="49">
        <v>0.05</v>
      </c>
      <c r="BC75" s="49">
        <v>0.5</v>
      </c>
      <c r="BD75" s="52" t="b">
        <v>0</v>
      </c>
      <c r="BE75" s="45" t="s">
        <v>98</v>
      </c>
      <c r="BF75" s="51" t="b">
        <v>1</v>
      </c>
      <c r="BG75" s="45" t="s">
        <v>71</v>
      </c>
      <c r="BH75" s="54">
        <v>0.02</v>
      </c>
      <c r="BI75" s="70" t="s">
        <v>5</v>
      </c>
      <c r="BJ75" s="51" t="b">
        <v>1</v>
      </c>
      <c r="BK75" s="72">
        <v>1.5</v>
      </c>
      <c r="BL75" s="52" t="b">
        <v>0</v>
      </c>
      <c r="BM75" s="70" t="s">
        <v>6</v>
      </c>
      <c r="BN75" s="51" t="b">
        <v>1</v>
      </c>
      <c r="BO75" s="70" t="s">
        <v>15</v>
      </c>
      <c r="BP75" s="71">
        <v>1</v>
      </c>
      <c r="BQ75" s="71">
        <v>0.5</v>
      </c>
      <c r="BR75" s="75" t="str">
        <f t="shared" ref="BR75:BR82" si="129">AH75&amp;"/ "&amp;AI75&amp;"/ "&amp;AJ75&amp;"/ "&amp;AK75</f>
        <v>13/ 21/ 34/ 55</v>
      </c>
      <c r="BS75" s="75" t="str">
        <f t="shared" ref="BS75:BS82" si="130">AR75&amp;" / "&amp;AS75&amp;" / "&amp;AT75</f>
        <v>5 / 8 / 5</v>
      </c>
      <c r="BT75" s="75" t="str">
        <f t="shared" ref="BT75:BT82" si="131">BB75&amp;" / "&amp;BC75</f>
        <v>0.05 / 0.5</v>
      </c>
      <c r="BU75" s="7">
        <v>425</v>
      </c>
      <c r="BV75" s="7">
        <v>256</v>
      </c>
      <c r="BW75" s="7">
        <v>203</v>
      </c>
      <c r="BX75" s="27">
        <f t="shared" ref="BX75:BX82" si="132">BV75-BW75</f>
        <v>53</v>
      </c>
      <c r="BY75" s="7">
        <v>46</v>
      </c>
      <c r="BZ75" s="21">
        <f t="shared" ref="BZ75:BZ82" si="133">BU75-SUM(BW75:BY75)</f>
        <v>123</v>
      </c>
      <c r="CA75" s="98">
        <f>IF(BU75=0,0,BV75/BU75)</f>
        <v>0.60235294117647054</v>
      </c>
      <c r="CB75" s="99">
        <f>IF(BU75=0,0,BY75/BU75)</f>
        <v>0.10823529411764705</v>
      </c>
      <c r="CC75" s="20">
        <v>5.88</v>
      </c>
      <c r="CD75" s="20">
        <v>27.73</v>
      </c>
      <c r="CE75" s="20">
        <v>0.43</v>
      </c>
      <c r="CF75" s="77">
        <f t="shared" ref="CF75:CF82" si="134">BK75</f>
        <v>1.5</v>
      </c>
      <c r="CG75" s="20">
        <v>0.69</v>
      </c>
      <c r="CH75" s="20">
        <v>0.51</v>
      </c>
      <c r="CI75" s="22">
        <v>7517.6</v>
      </c>
      <c r="CJ75" s="20">
        <v>29.37</v>
      </c>
      <c r="CK75" s="20">
        <v>27.89</v>
      </c>
      <c r="CL75" s="20">
        <v>-4</v>
      </c>
      <c r="CM75" s="74">
        <v>1000</v>
      </c>
      <c r="CN75" s="22">
        <v>11786.82</v>
      </c>
      <c r="CO75" s="35">
        <f t="shared" ref="CO75:CO82" si="135">CM75+CN75</f>
        <v>12786.82</v>
      </c>
      <c r="CP75" s="35">
        <f t="shared" ref="CP75:CP82" si="136">CN75/10</f>
        <v>1178.682</v>
      </c>
      <c r="CR75" s="15">
        <f t="shared" ref="CR75:CR82" si="137">CR$4</f>
        <v>12</v>
      </c>
      <c r="CS75" s="13">
        <f t="shared" ref="CS75:CS82" si="138">CI75/CR75</f>
        <v>626.4666666666667</v>
      </c>
      <c r="CT75" s="13">
        <f t="shared" ref="CT75:CT82" si="139">CN75/CR75</f>
        <v>982.23500000000001</v>
      </c>
      <c r="CU75" s="13">
        <f t="shared" ref="CU75:CU82" si="140">CT75/10</f>
        <v>98.223500000000001</v>
      </c>
      <c r="CW75" s="13">
        <f t="shared" ref="CW75:CW82" si="141">CI75</f>
        <v>7517.6</v>
      </c>
      <c r="CX75" s="13">
        <f t="shared" ref="CX75:CX82" si="142">CN75</f>
        <v>11786.82</v>
      </c>
      <c r="CY75" s="13">
        <f t="shared" ref="CY75:CY82" si="143">CP75</f>
        <v>1178.682</v>
      </c>
    </row>
    <row r="76" spans="1:103" outlineLevel="1" x14ac:dyDescent="0.2">
      <c r="A76" s="43"/>
      <c r="B76" s="10"/>
      <c r="C76" s="3" t="s">
        <v>17</v>
      </c>
      <c r="D76" s="3" t="s">
        <v>113</v>
      </c>
      <c r="E76" s="6" t="s">
        <v>19</v>
      </c>
      <c r="F76" s="3" t="s">
        <v>25</v>
      </c>
      <c r="G76" s="5" t="s">
        <v>50</v>
      </c>
      <c r="H76" s="52" t="b">
        <v>0</v>
      </c>
      <c r="J76" s="46" t="s">
        <v>91</v>
      </c>
      <c r="K76" s="46" t="s">
        <v>91</v>
      </c>
      <c r="L76" s="46" t="s">
        <v>91</v>
      </c>
      <c r="M76" s="56" t="b">
        <v>0</v>
      </c>
      <c r="Q76" s="51" t="b">
        <v>1</v>
      </c>
      <c r="R76" s="50" t="s">
        <v>53</v>
      </c>
      <c r="S76" s="55" t="b">
        <v>1</v>
      </c>
      <c r="T76" s="49">
        <v>13</v>
      </c>
      <c r="U76" s="47">
        <v>1.4999999999999999E-2</v>
      </c>
      <c r="V76" s="49">
        <v>75</v>
      </c>
      <c r="W76" s="49">
        <v>-75</v>
      </c>
      <c r="X76" s="47">
        <v>50</v>
      </c>
      <c r="Y76" s="47">
        <v>5</v>
      </c>
      <c r="Z76" s="51" t="b">
        <v>1</v>
      </c>
      <c r="AA76" s="50" t="s">
        <v>92</v>
      </c>
      <c r="AB76" s="54">
        <v>2</v>
      </c>
      <c r="AC76" s="56" t="b">
        <v>0</v>
      </c>
      <c r="AE76" s="56" t="b">
        <v>0</v>
      </c>
      <c r="AG76" s="55" t="b">
        <v>1</v>
      </c>
      <c r="AH76" s="48">
        <v>13</v>
      </c>
      <c r="AI76" s="48">
        <v>21</v>
      </c>
      <c r="AJ76" s="48">
        <v>34</v>
      </c>
      <c r="AK76" s="48">
        <v>55</v>
      </c>
      <c r="AL76" s="52" t="b">
        <v>0</v>
      </c>
      <c r="AM76" s="51" t="b">
        <v>1</v>
      </c>
      <c r="AN76" s="53" t="s">
        <v>34</v>
      </c>
      <c r="AO76" s="60">
        <v>1.0000000000000001E-5</v>
      </c>
      <c r="AP76" s="51" t="b">
        <v>1</v>
      </c>
      <c r="AQ76" s="60">
        <v>1.0000000000000001E-5</v>
      </c>
      <c r="AR76" s="56">
        <v>5</v>
      </c>
      <c r="AS76" s="56">
        <v>13</v>
      </c>
      <c r="AT76" s="56">
        <v>5</v>
      </c>
      <c r="AU76" s="51" t="b">
        <v>1</v>
      </c>
      <c r="AV76" s="47">
        <v>3</v>
      </c>
      <c r="AW76" s="62">
        <v>5</v>
      </c>
      <c r="AX76" s="47">
        <v>1</v>
      </c>
      <c r="AY76" s="51" t="b">
        <v>1</v>
      </c>
      <c r="AZ76" s="45" t="s">
        <v>73</v>
      </c>
      <c r="BA76" s="45">
        <v>4</v>
      </c>
      <c r="BB76" s="49">
        <v>0.05</v>
      </c>
      <c r="BC76" s="49">
        <v>0.5</v>
      </c>
      <c r="BD76" s="52" t="b">
        <v>0</v>
      </c>
      <c r="BE76" s="45" t="s">
        <v>98</v>
      </c>
      <c r="BF76" s="51" t="b">
        <v>1</v>
      </c>
      <c r="BG76" s="45" t="s">
        <v>71</v>
      </c>
      <c r="BH76" s="54">
        <v>0.02</v>
      </c>
      <c r="BI76" s="70" t="s">
        <v>5</v>
      </c>
      <c r="BJ76" s="51" t="b">
        <v>1</v>
      </c>
      <c r="BK76" s="72">
        <v>1.5</v>
      </c>
      <c r="BL76" s="52" t="b">
        <v>0</v>
      </c>
      <c r="BM76" s="70" t="s">
        <v>6</v>
      </c>
      <c r="BN76" s="51" t="b">
        <v>1</v>
      </c>
      <c r="BO76" s="70" t="s">
        <v>15</v>
      </c>
      <c r="BP76" s="71">
        <v>1</v>
      </c>
      <c r="BQ76" s="71">
        <v>0.5</v>
      </c>
      <c r="BR76" s="75" t="str">
        <f>AH76&amp;"/ "&amp;AI76&amp;"/ "&amp;AJ76&amp;"/ "&amp;AK76</f>
        <v>13/ 21/ 34/ 55</v>
      </c>
      <c r="BS76" s="75" t="str">
        <f t="shared" si="130"/>
        <v>5 / 13 / 5</v>
      </c>
      <c r="BT76" s="75" t="str">
        <f t="shared" si="131"/>
        <v>0.05 / 0.5</v>
      </c>
      <c r="BU76" s="7">
        <v>436</v>
      </c>
      <c r="BV76" s="7">
        <v>258</v>
      </c>
      <c r="BW76" s="7">
        <v>205</v>
      </c>
      <c r="BX76" s="27">
        <f t="shared" si="132"/>
        <v>53</v>
      </c>
      <c r="BY76" s="7">
        <v>54</v>
      </c>
      <c r="BZ76" s="21">
        <f t="shared" si="133"/>
        <v>124</v>
      </c>
      <c r="CA76" s="98">
        <f t="shared" ref="CA76:CA82" si="144">IF(BU76=0,0,BV76/BU76)</f>
        <v>0.59174311926605505</v>
      </c>
      <c r="CB76" s="99">
        <f>IF(BU76=0,0,BY76/BU76)</f>
        <v>0.12385321100917432</v>
      </c>
      <c r="CC76" s="20">
        <v>5.0199999999999996</v>
      </c>
      <c r="CD76" s="20">
        <v>26</v>
      </c>
      <c r="CE76" s="20">
        <v>0.41</v>
      </c>
      <c r="CF76" s="77">
        <f t="shared" si="134"/>
        <v>1.5</v>
      </c>
      <c r="CG76" s="20">
        <v>0.69</v>
      </c>
      <c r="CH76" s="20">
        <v>0.51</v>
      </c>
      <c r="CI76" s="22">
        <v>7640.9</v>
      </c>
      <c r="CJ76" s="20">
        <v>29.62</v>
      </c>
      <c r="CK76" s="20">
        <v>27.76</v>
      </c>
      <c r="CL76" s="20">
        <v>-4.62</v>
      </c>
      <c r="CM76" s="74">
        <v>1000</v>
      </c>
      <c r="CN76" s="22">
        <v>11336.39</v>
      </c>
      <c r="CO76" s="35">
        <f t="shared" si="135"/>
        <v>12336.39</v>
      </c>
      <c r="CP76" s="35">
        <f t="shared" si="136"/>
        <v>1133.6389999999999</v>
      </c>
      <c r="CR76" s="15">
        <f t="shared" si="137"/>
        <v>12</v>
      </c>
      <c r="CS76" s="13">
        <f t="shared" si="138"/>
        <v>636.74166666666667</v>
      </c>
      <c r="CT76" s="13">
        <f t="shared" si="139"/>
        <v>944.69916666666666</v>
      </c>
      <c r="CU76" s="13">
        <f t="shared" si="140"/>
        <v>94.469916666666663</v>
      </c>
      <c r="CW76" s="13">
        <f t="shared" si="141"/>
        <v>7640.9</v>
      </c>
      <c r="CX76" s="13">
        <f t="shared" si="142"/>
        <v>11336.39</v>
      </c>
      <c r="CY76" s="13">
        <f t="shared" si="143"/>
        <v>1133.6389999999999</v>
      </c>
    </row>
    <row r="77" spans="1:103" outlineLevel="1" x14ac:dyDescent="0.2">
      <c r="A77" s="43"/>
      <c r="B77" s="10"/>
      <c r="C77" s="3" t="s">
        <v>17</v>
      </c>
      <c r="D77" s="3" t="s">
        <v>113</v>
      </c>
      <c r="E77" s="6" t="s">
        <v>19</v>
      </c>
      <c r="F77" s="3" t="s">
        <v>25</v>
      </c>
      <c r="G77" s="5" t="s">
        <v>50</v>
      </c>
      <c r="H77" s="52" t="b">
        <v>0</v>
      </c>
      <c r="J77" s="46" t="s">
        <v>91</v>
      </c>
      <c r="K77" s="46" t="s">
        <v>91</v>
      </c>
      <c r="L77" s="46" t="s">
        <v>91</v>
      </c>
      <c r="M77" s="56" t="b">
        <v>0</v>
      </c>
      <c r="Q77" s="51" t="b">
        <v>1</v>
      </c>
      <c r="R77" s="50" t="s">
        <v>53</v>
      </c>
      <c r="S77" s="55" t="b">
        <v>1</v>
      </c>
      <c r="T77" s="49">
        <v>13</v>
      </c>
      <c r="U77" s="47">
        <v>1.4999999999999999E-2</v>
      </c>
      <c r="V77" s="49">
        <v>75</v>
      </c>
      <c r="W77" s="49">
        <v>-75</v>
      </c>
      <c r="X77" s="47">
        <v>50</v>
      </c>
      <c r="Y77" s="47">
        <v>5</v>
      </c>
      <c r="Z77" s="51" t="b">
        <v>1</v>
      </c>
      <c r="AA77" s="50" t="s">
        <v>92</v>
      </c>
      <c r="AB77" s="54">
        <v>2</v>
      </c>
      <c r="AC77" s="56" t="b">
        <v>0</v>
      </c>
      <c r="AE77" s="56" t="b">
        <v>0</v>
      </c>
      <c r="AG77" s="55" t="b">
        <v>1</v>
      </c>
      <c r="AH77" s="48">
        <v>13</v>
      </c>
      <c r="AI77" s="48">
        <v>21</v>
      </c>
      <c r="AJ77" s="48">
        <v>34</v>
      </c>
      <c r="AK77" s="48">
        <v>55</v>
      </c>
      <c r="AL77" s="52" t="b">
        <v>0</v>
      </c>
      <c r="AM77" s="51" t="b">
        <v>1</v>
      </c>
      <c r="AN77" s="53" t="s">
        <v>34</v>
      </c>
      <c r="AO77" s="60">
        <v>1.0000000000000001E-5</v>
      </c>
      <c r="AP77" s="51" t="b">
        <v>1</v>
      </c>
      <c r="AQ77" s="60">
        <v>1.0000000000000001E-5</v>
      </c>
      <c r="AR77" s="56">
        <v>5</v>
      </c>
      <c r="AS77" s="56">
        <v>13</v>
      </c>
      <c r="AT77" s="56">
        <v>8</v>
      </c>
      <c r="AU77" s="51" t="b">
        <v>1</v>
      </c>
      <c r="AV77" s="47">
        <v>3</v>
      </c>
      <c r="AW77" s="62">
        <v>5</v>
      </c>
      <c r="AX77" s="47">
        <v>1</v>
      </c>
      <c r="AY77" s="51" t="b">
        <v>1</v>
      </c>
      <c r="AZ77" s="45" t="s">
        <v>73</v>
      </c>
      <c r="BA77" s="45">
        <v>4</v>
      </c>
      <c r="BB77" s="49">
        <v>0.05</v>
      </c>
      <c r="BC77" s="49">
        <v>0.5</v>
      </c>
      <c r="BD77" s="52" t="b">
        <v>0</v>
      </c>
      <c r="BE77" s="45" t="s">
        <v>98</v>
      </c>
      <c r="BF77" s="51" t="b">
        <v>1</v>
      </c>
      <c r="BG77" s="45" t="s">
        <v>71</v>
      </c>
      <c r="BH77" s="54">
        <v>0.02</v>
      </c>
      <c r="BI77" s="70" t="s">
        <v>5</v>
      </c>
      <c r="BJ77" s="51" t="b">
        <v>1</v>
      </c>
      <c r="BK77" s="72">
        <v>1.5</v>
      </c>
      <c r="BL77" s="52" t="b">
        <v>0</v>
      </c>
      <c r="BM77" s="70" t="s">
        <v>6</v>
      </c>
      <c r="BN77" s="51" t="b">
        <v>1</v>
      </c>
      <c r="BO77" s="70" t="s">
        <v>15</v>
      </c>
      <c r="BP77" s="71">
        <v>1</v>
      </c>
      <c r="BQ77" s="71">
        <v>0.5</v>
      </c>
      <c r="BR77" s="75" t="str">
        <f>AH77&amp;"/ "&amp;AI77&amp;"/ "&amp;AJ77&amp;"/ "&amp;AK77</f>
        <v>13/ 21/ 34/ 55</v>
      </c>
      <c r="BS77" s="75" t="str">
        <f t="shared" si="130"/>
        <v>5 / 13 / 8</v>
      </c>
      <c r="BT77" s="75" t="str">
        <f t="shared" si="131"/>
        <v>0.05 / 0.5</v>
      </c>
      <c r="BU77" s="7">
        <v>433</v>
      </c>
      <c r="BV77" s="7">
        <v>260</v>
      </c>
      <c r="BW77" s="7">
        <v>205</v>
      </c>
      <c r="BX77" s="27">
        <f t="shared" si="132"/>
        <v>55</v>
      </c>
      <c r="BY77" s="7">
        <v>53</v>
      </c>
      <c r="BZ77" s="21">
        <f t="shared" si="133"/>
        <v>120</v>
      </c>
      <c r="CA77" s="98">
        <f t="shared" si="144"/>
        <v>0.60046189376443415</v>
      </c>
      <c r="CB77" s="99">
        <f>IF(BU77=0,0,BY77/BU77)</f>
        <v>0.12240184757505773</v>
      </c>
      <c r="CC77" s="20">
        <v>5.16</v>
      </c>
      <c r="CD77" s="20">
        <v>27.23</v>
      </c>
      <c r="CE77" s="20">
        <v>0.42</v>
      </c>
      <c r="CF77" s="77">
        <f t="shared" si="134"/>
        <v>1.5</v>
      </c>
      <c r="CG77" s="20">
        <v>0.69</v>
      </c>
      <c r="CH77" s="20">
        <v>0.51</v>
      </c>
      <c r="CI77" s="22">
        <v>7750.7</v>
      </c>
      <c r="CJ77" s="20">
        <v>29.81</v>
      </c>
      <c r="CK77" s="20">
        <v>28.26</v>
      </c>
      <c r="CL77" s="20">
        <v>-4.62</v>
      </c>
      <c r="CM77" s="74">
        <v>1000</v>
      </c>
      <c r="CN77" s="102">
        <v>11791.78</v>
      </c>
      <c r="CO77" s="103">
        <f t="shared" si="135"/>
        <v>12791.78</v>
      </c>
      <c r="CP77" s="103">
        <f t="shared" si="136"/>
        <v>1179.1780000000001</v>
      </c>
      <c r="CR77" s="15">
        <f t="shared" si="137"/>
        <v>12</v>
      </c>
      <c r="CS77" s="13">
        <f t="shared" si="138"/>
        <v>645.89166666666665</v>
      </c>
      <c r="CT77" s="13">
        <f t="shared" si="139"/>
        <v>982.64833333333343</v>
      </c>
      <c r="CU77" s="13">
        <f t="shared" si="140"/>
        <v>98.264833333333343</v>
      </c>
      <c r="CW77" s="13">
        <f t="shared" si="141"/>
        <v>7750.7</v>
      </c>
      <c r="CX77" s="13">
        <f t="shared" si="142"/>
        <v>11791.78</v>
      </c>
      <c r="CY77" s="13">
        <f t="shared" si="143"/>
        <v>1179.1780000000001</v>
      </c>
    </row>
    <row r="78" spans="1:103" outlineLevel="1" x14ac:dyDescent="0.2">
      <c r="A78" s="43"/>
      <c r="B78" s="10"/>
      <c r="C78" s="3" t="s">
        <v>17</v>
      </c>
      <c r="D78" s="3" t="s">
        <v>113</v>
      </c>
      <c r="E78" s="6" t="s">
        <v>19</v>
      </c>
      <c r="F78" s="3" t="s">
        <v>25</v>
      </c>
      <c r="G78" s="5" t="s">
        <v>50</v>
      </c>
      <c r="H78" s="52" t="b">
        <v>0</v>
      </c>
      <c r="J78" s="46" t="s">
        <v>91</v>
      </c>
      <c r="K78" s="46" t="s">
        <v>91</v>
      </c>
      <c r="L78" s="46" t="s">
        <v>91</v>
      </c>
      <c r="M78" s="56" t="b">
        <v>0</v>
      </c>
      <c r="Q78" s="51" t="b">
        <v>1</v>
      </c>
      <c r="R78" s="50" t="s">
        <v>53</v>
      </c>
      <c r="S78" s="55" t="b">
        <v>1</v>
      </c>
      <c r="T78" s="49">
        <v>13</v>
      </c>
      <c r="U78" s="47">
        <v>1.4999999999999999E-2</v>
      </c>
      <c r="V78" s="49">
        <v>75</v>
      </c>
      <c r="W78" s="49">
        <v>-75</v>
      </c>
      <c r="X78" s="47">
        <v>50</v>
      </c>
      <c r="Y78" s="47">
        <v>5</v>
      </c>
      <c r="Z78" s="51" t="b">
        <v>1</v>
      </c>
      <c r="AA78" s="50" t="s">
        <v>92</v>
      </c>
      <c r="AB78" s="54">
        <v>2</v>
      </c>
      <c r="AC78" s="56" t="b">
        <v>0</v>
      </c>
      <c r="AE78" s="56" t="b">
        <v>0</v>
      </c>
      <c r="AG78" s="55" t="b">
        <v>1</v>
      </c>
      <c r="AH78" s="48">
        <v>13</v>
      </c>
      <c r="AI78" s="48">
        <v>21</v>
      </c>
      <c r="AJ78" s="48">
        <v>34</v>
      </c>
      <c r="AK78" s="48">
        <v>55</v>
      </c>
      <c r="AL78" s="52" t="b">
        <v>0</v>
      </c>
      <c r="AM78" s="51" t="b">
        <v>1</v>
      </c>
      <c r="AN78" s="53" t="s">
        <v>34</v>
      </c>
      <c r="AO78" s="60">
        <v>1.0000000000000001E-5</v>
      </c>
      <c r="AP78" s="51" t="b">
        <v>1</v>
      </c>
      <c r="AQ78" s="60">
        <v>1.0000000000000001E-5</v>
      </c>
      <c r="AR78" s="65">
        <v>8</v>
      </c>
      <c r="AS78" s="65">
        <v>13</v>
      </c>
      <c r="AT78" s="65">
        <v>8</v>
      </c>
      <c r="AU78" s="51" t="b">
        <v>1</v>
      </c>
      <c r="AV78" s="47">
        <v>3</v>
      </c>
      <c r="AW78" s="62">
        <v>5</v>
      </c>
      <c r="AX78" s="47">
        <v>1</v>
      </c>
      <c r="AY78" s="51" t="b">
        <v>1</v>
      </c>
      <c r="AZ78" s="45" t="s">
        <v>73</v>
      </c>
      <c r="BA78" s="45">
        <v>4</v>
      </c>
      <c r="BB78" s="49">
        <v>0.05</v>
      </c>
      <c r="BC78" s="49">
        <v>0.5</v>
      </c>
      <c r="BD78" s="52" t="b">
        <v>0</v>
      </c>
      <c r="BE78" s="45" t="s">
        <v>98</v>
      </c>
      <c r="BF78" s="51" t="b">
        <v>1</v>
      </c>
      <c r="BG78" s="45" t="s">
        <v>71</v>
      </c>
      <c r="BH78" s="54">
        <v>0.02</v>
      </c>
      <c r="BI78" s="70" t="s">
        <v>5</v>
      </c>
      <c r="BJ78" s="51" t="b">
        <v>1</v>
      </c>
      <c r="BK78" s="72">
        <v>1.5</v>
      </c>
      <c r="BL78" s="52" t="b">
        <v>0</v>
      </c>
      <c r="BM78" s="70" t="s">
        <v>6</v>
      </c>
      <c r="BN78" s="51" t="b">
        <v>1</v>
      </c>
      <c r="BO78" s="70" t="s">
        <v>15</v>
      </c>
      <c r="BP78" s="71">
        <v>1</v>
      </c>
      <c r="BQ78" s="71">
        <v>0.5</v>
      </c>
      <c r="BR78" s="75" t="str">
        <f t="shared" si="129"/>
        <v>13/ 21/ 34/ 55</v>
      </c>
      <c r="BS78" s="75" t="str">
        <f t="shared" si="130"/>
        <v>8 / 13 / 8</v>
      </c>
      <c r="BT78" s="75" t="str">
        <f t="shared" si="131"/>
        <v>0.05 / 0.5</v>
      </c>
      <c r="BU78" s="7">
        <v>423</v>
      </c>
      <c r="BV78" s="7">
        <v>254</v>
      </c>
      <c r="BW78" s="7">
        <v>200</v>
      </c>
      <c r="BX78" s="27">
        <f t="shared" si="132"/>
        <v>54</v>
      </c>
      <c r="BY78" s="7">
        <v>51</v>
      </c>
      <c r="BZ78" s="21">
        <f t="shared" si="133"/>
        <v>118</v>
      </c>
      <c r="CA78" s="98">
        <f t="shared" si="144"/>
        <v>0.60047281323877066</v>
      </c>
      <c r="CB78" s="99">
        <f t="shared" ref="CB78:CB82" si="145">IF(BU78=0,0,BY78/BU78)</f>
        <v>0.12056737588652482</v>
      </c>
      <c r="CC78" s="20">
        <v>5.37</v>
      </c>
      <c r="CD78" s="20">
        <v>27.79</v>
      </c>
      <c r="CE78" s="20">
        <v>0.43</v>
      </c>
      <c r="CF78" s="77">
        <f t="shared" si="134"/>
        <v>1.5</v>
      </c>
      <c r="CG78" s="20">
        <v>0.7</v>
      </c>
      <c r="CH78" s="20">
        <v>0.52</v>
      </c>
      <c r="CI78" s="22">
        <v>7621.1</v>
      </c>
      <c r="CJ78" s="20">
        <v>30</v>
      </c>
      <c r="CK78" s="20">
        <v>27.98</v>
      </c>
      <c r="CL78" s="20">
        <v>-4.7</v>
      </c>
      <c r="CM78" s="74">
        <v>1000</v>
      </c>
      <c r="CN78" s="22">
        <v>11753.2</v>
      </c>
      <c r="CO78" s="35">
        <f t="shared" si="135"/>
        <v>12753.2</v>
      </c>
      <c r="CP78" s="35">
        <f t="shared" si="136"/>
        <v>1175.3200000000002</v>
      </c>
      <c r="CR78" s="15">
        <f t="shared" si="137"/>
        <v>12</v>
      </c>
      <c r="CS78" s="13">
        <f t="shared" si="138"/>
        <v>635.0916666666667</v>
      </c>
      <c r="CT78" s="13">
        <f t="shared" si="139"/>
        <v>979.43333333333339</v>
      </c>
      <c r="CU78" s="13">
        <f t="shared" si="140"/>
        <v>97.943333333333342</v>
      </c>
      <c r="CW78" s="13">
        <f t="shared" si="141"/>
        <v>7621.1</v>
      </c>
      <c r="CX78" s="13">
        <f t="shared" si="142"/>
        <v>11753.2</v>
      </c>
      <c r="CY78" s="13">
        <f t="shared" si="143"/>
        <v>1175.3200000000002</v>
      </c>
    </row>
    <row r="79" spans="1:103" outlineLevel="1" x14ac:dyDescent="0.2">
      <c r="A79" s="43"/>
      <c r="B79" s="10"/>
      <c r="C79" s="3" t="s">
        <v>17</v>
      </c>
      <c r="D79" s="3" t="s">
        <v>113</v>
      </c>
      <c r="E79" s="6" t="s">
        <v>19</v>
      </c>
      <c r="F79" s="3" t="s">
        <v>25</v>
      </c>
      <c r="G79" s="5" t="s">
        <v>50</v>
      </c>
      <c r="H79" s="52" t="b">
        <v>0</v>
      </c>
      <c r="J79" s="46" t="s">
        <v>91</v>
      </c>
      <c r="K79" s="46" t="s">
        <v>91</v>
      </c>
      <c r="L79" s="46" t="s">
        <v>91</v>
      </c>
      <c r="M79" s="56" t="b">
        <v>0</v>
      </c>
      <c r="Q79" s="51" t="b">
        <v>1</v>
      </c>
      <c r="R79" s="50" t="s">
        <v>53</v>
      </c>
      <c r="S79" s="55" t="b">
        <v>1</v>
      </c>
      <c r="T79" s="49">
        <v>13</v>
      </c>
      <c r="U79" s="47">
        <v>1.4999999999999999E-2</v>
      </c>
      <c r="V79" s="49">
        <v>75</v>
      </c>
      <c r="W79" s="49">
        <v>-75</v>
      </c>
      <c r="X79" s="47">
        <v>50</v>
      </c>
      <c r="Y79" s="47">
        <v>5</v>
      </c>
      <c r="Z79" s="51" t="b">
        <v>1</v>
      </c>
      <c r="AA79" s="50" t="s">
        <v>92</v>
      </c>
      <c r="AB79" s="54">
        <v>2</v>
      </c>
      <c r="AC79" s="56" t="b">
        <v>0</v>
      </c>
      <c r="AE79" s="56" t="b">
        <v>0</v>
      </c>
      <c r="AG79" s="55" t="b">
        <v>1</v>
      </c>
      <c r="AH79" s="48">
        <v>13</v>
      </c>
      <c r="AI79" s="48">
        <v>21</v>
      </c>
      <c r="AJ79" s="48">
        <v>34</v>
      </c>
      <c r="AK79" s="48">
        <v>55</v>
      </c>
      <c r="AL79" s="52" t="b">
        <v>0</v>
      </c>
      <c r="AM79" s="51" t="b">
        <v>1</v>
      </c>
      <c r="AN79" s="53" t="s">
        <v>34</v>
      </c>
      <c r="AO79" s="60">
        <v>1.0000000000000001E-5</v>
      </c>
      <c r="AP79" s="51" t="b">
        <v>1</v>
      </c>
      <c r="AQ79" s="60">
        <v>1.0000000000000001E-5</v>
      </c>
      <c r="AR79" s="65">
        <v>8</v>
      </c>
      <c r="AS79" s="65">
        <v>13</v>
      </c>
      <c r="AT79" s="65">
        <v>11</v>
      </c>
      <c r="AU79" s="51" t="b">
        <v>1</v>
      </c>
      <c r="AV79" s="47">
        <v>3</v>
      </c>
      <c r="AW79" s="62">
        <v>5</v>
      </c>
      <c r="AX79" s="47">
        <v>1</v>
      </c>
      <c r="AY79" s="51" t="b">
        <v>1</v>
      </c>
      <c r="AZ79" s="45" t="s">
        <v>73</v>
      </c>
      <c r="BA79" s="45">
        <v>4</v>
      </c>
      <c r="BB79" s="49">
        <v>0.05</v>
      </c>
      <c r="BC79" s="49">
        <v>0.5</v>
      </c>
      <c r="BD79" s="52" t="b">
        <v>0</v>
      </c>
      <c r="BE79" s="45" t="s">
        <v>98</v>
      </c>
      <c r="BF79" s="51" t="b">
        <v>1</v>
      </c>
      <c r="BG79" s="45" t="s">
        <v>71</v>
      </c>
      <c r="BH79" s="54">
        <v>0.02</v>
      </c>
      <c r="BI79" s="70" t="s">
        <v>5</v>
      </c>
      <c r="BJ79" s="51" t="b">
        <v>1</v>
      </c>
      <c r="BK79" s="72">
        <v>1.5</v>
      </c>
      <c r="BL79" s="52" t="b">
        <v>0</v>
      </c>
      <c r="BM79" s="70" t="s">
        <v>6</v>
      </c>
      <c r="BN79" s="51" t="b">
        <v>1</v>
      </c>
      <c r="BO79" s="70" t="s">
        <v>15</v>
      </c>
      <c r="BP79" s="71">
        <v>1</v>
      </c>
      <c r="BQ79" s="71">
        <v>0.5</v>
      </c>
      <c r="BR79" s="75" t="str">
        <f t="shared" si="129"/>
        <v>13/ 21/ 34/ 55</v>
      </c>
      <c r="BS79" s="75" t="str">
        <f t="shared" si="130"/>
        <v>8 / 13 / 11</v>
      </c>
      <c r="BT79" s="75" t="str">
        <f t="shared" si="131"/>
        <v>0.05 / 0.5</v>
      </c>
      <c r="BU79" s="7">
        <v>415</v>
      </c>
      <c r="BV79" s="7">
        <v>251</v>
      </c>
      <c r="BW79" s="7">
        <v>200</v>
      </c>
      <c r="BX79" s="27">
        <f t="shared" si="132"/>
        <v>51</v>
      </c>
      <c r="BY79" s="7">
        <v>52</v>
      </c>
      <c r="BZ79" s="21">
        <f t="shared" si="133"/>
        <v>112</v>
      </c>
      <c r="CA79" s="98">
        <f t="shared" si="144"/>
        <v>0.60481927710843375</v>
      </c>
      <c r="CB79" s="99">
        <f t="shared" si="145"/>
        <v>0.12530120481927712</v>
      </c>
      <c r="CC79" s="20">
        <v>5.15</v>
      </c>
      <c r="CD79" s="20">
        <v>26.41</v>
      </c>
      <c r="CE79" s="20">
        <v>0.42</v>
      </c>
      <c r="CF79" s="77">
        <f t="shared" si="134"/>
        <v>1.5</v>
      </c>
      <c r="CG79" s="20">
        <v>0.69</v>
      </c>
      <c r="CH79" s="20">
        <v>0.52</v>
      </c>
      <c r="CI79" s="22">
        <v>7496.2</v>
      </c>
      <c r="CJ79" s="20">
        <v>29.87</v>
      </c>
      <c r="CK79" s="20">
        <v>28.19</v>
      </c>
      <c r="CL79" s="20">
        <v>-4.7</v>
      </c>
      <c r="CM79" s="74">
        <v>1000</v>
      </c>
      <c r="CN79" s="22">
        <v>10961.9</v>
      </c>
      <c r="CO79" s="35">
        <f t="shared" si="135"/>
        <v>11961.9</v>
      </c>
      <c r="CP79" s="35">
        <f t="shared" si="136"/>
        <v>1096.19</v>
      </c>
      <c r="CR79" s="15">
        <f t="shared" si="137"/>
        <v>12</v>
      </c>
      <c r="CS79" s="13">
        <f t="shared" si="138"/>
        <v>624.68333333333328</v>
      </c>
      <c r="CT79" s="13">
        <f t="shared" si="139"/>
        <v>913.49166666666667</v>
      </c>
      <c r="CU79" s="13">
        <f t="shared" si="140"/>
        <v>91.349166666666662</v>
      </c>
      <c r="CW79" s="13">
        <f t="shared" si="141"/>
        <v>7496.2</v>
      </c>
      <c r="CX79" s="13">
        <f t="shared" si="142"/>
        <v>10961.9</v>
      </c>
      <c r="CY79" s="13">
        <f t="shared" si="143"/>
        <v>1096.19</v>
      </c>
    </row>
    <row r="80" spans="1:103" outlineLevel="1" x14ac:dyDescent="0.2">
      <c r="A80" s="43"/>
      <c r="B80" s="10"/>
      <c r="C80" s="3" t="s">
        <v>17</v>
      </c>
      <c r="D80" s="3" t="s">
        <v>113</v>
      </c>
      <c r="E80" s="6" t="s">
        <v>19</v>
      </c>
      <c r="F80" s="3" t="s">
        <v>25</v>
      </c>
      <c r="G80" s="5" t="s">
        <v>50</v>
      </c>
      <c r="H80" s="52" t="b">
        <v>0</v>
      </c>
      <c r="J80" s="46" t="s">
        <v>91</v>
      </c>
      <c r="K80" s="46" t="s">
        <v>91</v>
      </c>
      <c r="L80" s="46" t="s">
        <v>91</v>
      </c>
      <c r="M80" s="56" t="b">
        <v>0</v>
      </c>
      <c r="Q80" s="51" t="b">
        <v>1</v>
      </c>
      <c r="R80" s="50" t="s">
        <v>53</v>
      </c>
      <c r="S80" s="55" t="b">
        <v>1</v>
      </c>
      <c r="T80" s="49">
        <v>13</v>
      </c>
      <c r="U80" s="47">
        <v>1.4999999999999999E-2</v>
      </c>
      <c r="V80" s="49">
        <v>75</v>
      </c>
      <c r="W80" s="49">
        <v>-75</v>
      </c>
      <c r="X80" s="47">
        <v>50</v>
      </c>
      <c r="Y80" s="47">
        <v>5</v>
      </c>
      <c r="Z80" s="51" t="b">
        <v>1</v>
      </c>
      <c r="AA80" s="50" t="s">
        <v>92</v>
      </c>
      <c r="AB80" s="54">
        <v>2</v>
      </c>
      <c r="AC80" s="56" t="b">
        <v>0</v>
      </c>
      <c r="AE80" s="56" t="b">
        <v>0</v>
      </c>
      <c r="AG80" s="55" t="b">
        <v>1</v>
      </c>
      <c r="AH80" s="48">
        <v>13</v>
      </c>
      <c r="AI80" s="48">
        <v>21</v>
      </c>
      <c r="AJ80" s="48">
        <v>34</v>
      </c>
      <c r="AK80" s="48">
        <v>55</v>
      </c>
      <c r="AL80" s="52" t="b">
        <v>0</v>
      </c>
      <c r="AM80" s="51" t="b">
        <v>1</v>
      </c>
      <c r="AN80" s="53" t="s">
        <v>34</v>
      </c>
      <c r="AO80" s="60">
        <v>1.0000000000000001E-5</v>
      </c>
      <c r="AP80" s="51" t="b">
        <v>1</v>
      </c>
      <c r="AQ80" s="60">
        <v>1.0000000000000001E-5</v>
      </c>
      <c r="AR80" s="66">
        <v>8</v>
      </c>
      <c r="AS80" s="66">
        <v>17</v>
      </c>
      <c r="AT80" s="66">
        <v>9</v>
      </c>
      <c r="AU80" s="51" t="b">
        <v>1</v>
      </c>
      <c r="AV80" s="47">
        <v>3</v>
      </c>
      <c r="AW80" s="62">
        <v>5</v>
      </c>
      <c r="AX80" s="47">
        <v>1</v>
      </c>
      <c r="AY80" s="51" t="b">
        <v>1</v>
      </c>
      <c r="AZ80" s="45" t="s">
        <v>73</v>
      </c>
      <c r="BA80" s="45">
        <v>4</v>
      </c>
      <c r="BB80" s="49">
        <v>0.05</v>
      </c>
      <c r="BC80" s="49">
        <v>0.5</v>
      </c>
      <c r="BD80" s="52" t="b">
        <v>0</v>
      </c>
      <c r="BE80" s="45" t="s">
        <v>98</v>
      </c>
      <c r="BF80" s="51" t="b">
        <v>1</v>
      </c>
      <c r="BG80" s="45" t="s">
        <v>71</v>
      </c>
      <c r="BH80" s="54">
        <v>0.02</v>
      </c>
      <c r="BI80" s="70" t="s">
        <v>5</v>
      </c>
      <c r="BJ80" s="51" t="b">
        <v>1</v>
      </c>
      <c r="BK80" s="72">
        <v>1.5</v>
      </c>
      <c r="BL80" s="52" t="b">
        <v>0</v>
      </c>
      <c r="BM80" s="70" t="s">
        <v>6</v>
      </c>
      <c r="BN80" s="51" t="b">
        <v>1</v>
      </c>
      <c r="BO80" s="70" t="s">
        <v>15</v>
      </c>
      <c r="BP80" s="71">
        <v>1</v>
      </c>
      <c r="BQ80" s="71">
        <v>0.5</v>
      </c>
      <c r="BR80" s="75" t="str">
        <f t="shared" si="129"/>
        <v>13/ 21/ 34/ 55</v>
      </c>
      <c r="BS80" s="75" t="str">
        <f t="shared" si="130"/>
        <v>8 / 17 / 9</v>
      </c>
      <c r="BT80" s="75" t="str">
        <f t="shared" si="131"/>
        <v>0.05 / 0.5</v>
      </c>
      <c r="BU80" s="7">
        <v>416</v>
      </c>
      <c r="BV80" s="7">
        <v>252</v>
      </c>
      <c r="BW80" s="7">
        <v>202</v>
      </c>
      <c r="BX80" s="27">
        <f t="shared" si="132"/>
        <v>50</v>
      </c>
      <c r="BY80" s="7">
        <v>51</v>
      </c>
      <c r="BZ80" s="21">
        <f t="shared" si="133"/>
        <v>113</v>
      </c>
      <c r="CA80" s="98">
        <f t="shared" si="144"/>
        <v>0.60576923076923073</v>
      </c>
      <c r="CB80" s="99">
        <f t="shared" si="145"/>
        <v>0.12259615384615384</v>
      </c>
      <c r="CC80" s="20">
        <v>5.39</v>
      </c>
      <c r="CD80" s="20">
        <v>26.71</v>
      </c>
      <c r="CE80" s="20">
        <v>0.43</v>
      </c>
      <c r="CF80" s="77">
        <f t="shared" si="134"/>
        <v>1.5</v>
      </c>
      <c r="CG80" s="20">
        <v>0.69</v>
      </c>
      <c r="CH80" s="20">
        <v>0.51</v>
      </c>
      <c r="CI80" s="22">
        <v>7467.3</v>
      </c>
      <c r="CJ80" s="20">
        <v>29.63</v>
      </c>
      <c r="CK80" s="20">
        <v>27.99</v>
      </c>
      <c r="CL80" s="20">
        <v>-4.7</v>
      </c>
      <c r="CM80" s="74">
        <v>1000</v>
      </c>
      <c r="CN80" s="22">
        <v>11111.44</v>
      </c>
      <c r="CO80" s="35">
        <f t="shared" si="135"/>
        <v>12111.44</v>
      </c>
      <c r="CP80" s="35">
        <f t="shared" si="136"/>
        <v>1111.144</v>
      </c>
      <c r="CR80" s="15">
        <f t="shared" si="137"/>
        <v>12</v>
      </c>
      <c r="CS80" s="13">
        <f t="shared" si="138"/>
        <v>622.27499999999998</v>
      </c>
      <c r="CT80" s="13">
        <f t="shared" si="139"/>
        <v>925.95333333333338</v>
      </c>
      <c r="CU80" s="13">
        <f t="shared" si="140"/>
        <v>92.595333333333343</v>
      </c>
      <c r="CW80" s="13">
        <f t="shared" si="141"/>
        <v>7467.3</v>
      </c>
      <c r="CX80" s="13">
        <f t="shared" si="142"/>
        <v>11111.44</v>
      </c>
      <c r="CY80" s="13">
        <f t="shared" si="143"/>
        <v>1111.144</v>
      </c>
    </row>
    <row r="81" spans="1:103" outlineLevel="1" x14ac:dyDescent="0.2">
      <c r="A81" s="43"/>
      <c r="B81" s="10"/>
      <c r="C81" s="3" t="s">
        <v>17</v>
      </c>
      <c r="D81" s="3" t="s">
        <v>113</v>
      </c>
      <c r="E81" s="6" t="s">
        <v>19</v>
      </c>
      <c r="F81" s="3" t="s">
        <v>25</v>
      </c>
      <c r="G81" s="5" t="s">
        <v>50</v>
      </c>
      <c r="H81" s="52" t="b">
        <v>0</v>
      </c>
      <c r="J81" s="46" t="s">
        <v>91</v>
      </c>
      <c r="K81" s="46" t="s">
        <v>91</v>
      </c>
      <c r="L81" s="46" t="s">
        <v>91</v>
      </c>
      <c r="M81" s="56" t="b">
        <v>0</v>
      </c>
      <c r="Q81" s="51" t="b">
        <v>1</v>
      </c>
      <c r="R81" s="50" t="s">
        <v>53</v>
      </c>
      <c r="S81" s="55" t="b">
        <v>1</v>
      </c>
      <c r="T81" s="49">
        <v>13</v>
      </c>
      <c r="U81" s="47">
        <v>1.4999999999999999E-2</v>
      </c>
      <c r="V81" s="49">
        <v>75</v>
      </c>
      <c r="W81" s="49">
        <v>-75</v>
      </c>
      <c r="X81" s="47">
        <v>50</v>
      </c>
      <c r="Y81" s="47">
        <v>5</v>
      </c>
      <c r="Z81" s="51" t="b">
        <v>1</v>
      </c>
      <c r="AA81" s="50" t="s">
        <v>92</v>
      </c>
      <c r="AB81" s="54">
        <v>2</v>
      </c>
      <c r="AC81" s="56" t="b">
        <v>0</v>
      </c>
      <c r="AE81" s="56" t="b">
        <v>0</v>
      </c>
      <c r="AG81" s="55" t="b">
        <v>1</v>
      </c>
      <c r="AH81" s="48">
        <v>13</v>
      </c>
      <c r="AI81" s="48">
        <v>21</v>
      </c>
      <c r="AJ81" s="48">
        <v>34</v>
      </c>
      <c r="AK81" s="48">
        <v>55</v>
      </c>
      <c r="AL81" s="52" t="b">
        <v>0</v>
      </c>
      <c r="AM81" s="51" t="b">
        <v>1</v>
      </c>
      <c r="AN81" s="53" t="s">
        <v>34</v>
      </c>
      <c r="AO81" s="60">
        <v>1.0000000000000001E-5</v>
      </c>
      <c r="AP81" s="51" t="b">
        <v>1</v>
      </c>
      <c r="AQ81" s="60">
        <v>1.0000000000000001E-5</v>
      </c>
      <c r="AR81" s="67">
        <v>12</v>
      </c>
      <c r="AS81" s="67">
        <v>26</v>
      </c>
      <c r="AT81" s="67">
        <v>9</v>
      </c>
      <c r="AU81" s="51" t="b">
        <v>1</v>
      </c>
      <c r="AV81" s="47">
        <v>3</v>
      </c>
      <c r="AW81" s="62">
        <v>5</v>
      </c>
      <c r="AX81" s="47">
        <v>1</v>
      </c>
      <c r="AY81" s="51" t="b">
        <v>1</v>
      </c>
      <c r="AZ81" s="45" t="s">
        <v>73</v>
      </c>
      <c r="BA81" s="45">
        <v>4</v>
      </c>
      <c r="BB81" s="49">
        <v>0.05</v>
      </c>
      <c r="BC81" s="49">
        <v>0.5</v>
      </c>
      <c r="BD81" s="52" t="b">
        <v>0</v>
      </c>
      <c r="BE81" s="45" t="s">
        <v>98</v>
      </c>
      <c r="BF81" s="51" t="b">
        <v>1</v>
      </c>
      <c r="BG81" s="45" t="s">
        <v>71</v>
      </c>
      <c r="BH81" s="54">
        <v>0.02</v>
      </c>
      <c r="BI81" s="70" t="s">
        <v>5</v>
      </c>
      <c r="BJ81" s="51" t="b">
        <v>1</v>
      </c>
      <c r="BK81" s="72">
        <v>1.5</v>
      </c>
      <c r="BL81" s="52" t="b">
        <v>0</v>
      </c>
      <c r="BM81" s="70" t="s">
        <v>6</v>
      </c>
      <c r="BN81" s="51" t="b">
        <v>1</v>
      </c>
      <c r="BO81" s="70" t="s">
        <v>15</v>
      </c>
      <c r="BP81" s="71">
        <v>1</v>
      </c>
      <c r="BQ81" s="71">
        <v>0.5</v>
      </c>
      <c r="BR81" s="75" t="str">
        <f t="shared" si="129"/>
        <v>13/ 21/ 34/ 55</v>
      </c>
      <c r="BS81" s="75" t="str">
        <f t="shared" si="130"/>
        <v>12 / 26 / 9</v>
      </c>
      <c r="BT81" s="75" t="str">
        <f t="shared" si="131"/>
        <v>0.05 / 0.5</v>
      </c>
      <c r="BU81" s="7">
        <v>426</v>
      </c>
      <c r="BV81" s="7">
        <v>249</v>
      </c>
      <c r="BW81" s="7">
        <v>195</v>
      </c>
      <c r="BX81" s="27">
        <f t="shared" si="132"/>
        <v>54</v>
      </c>
      <c r="BY81" s="7">
        <v>54</v>
      </c>
      <c r="BZ81" s="21">
        <f t="shared" si="133"/>
        <v>123</v>
      </c>
      <c r="CA81" s="98">
        <f t="shared" si="144"/>
        <v>0.58450704225352113</v>
      </c>
      <c r="CB81" s="99">
        <f t="shared" si="145"/>
        <v>0.12676056338028169</v>
      </c>
      <c r="CC81" s="20">
        <v>4.82</v>
      </c>
      <c r="CD81" s="20">
        <v>27.36</v>
      </c>
      <c r="CE81" s="20">
        <v>0.41</v>
      </c>
      <c r="CF81" s="77">
        <f t="shared" si="134"/>
        <v>1.5</v>
      </c>
      <c r="CG81" s="20">
        <v>0.71</v>
      </c>
      <c r="CH81" s="20">
        <v>0.52</v>
      </c>
      <c r="CI81" s="22">
        <v>7393</v>
      </c>
      <c r="CJ81" s="20">
        <v>29.69</v>
      </c>
      <c r="CK81" s="20">
        <v>27.5</v>
      </c>
      <c r="CL81" s="20">
        <v>-4.62</v>
      </c>
      <c r="CM81" s="74">
        <v>1000</v>
      </c>
      <c r="CN81" s="22">
        <v>11653.998</v>
      </c>
      <c r="CO81" s="35">
        <f t="shared" si="135"/>
        <v>12653.998</v>
      </c>
      <c r="CP81" s="35">
        <f t="shared" si="136"/>
        <v>1165.3997999999999</v>
      </c>
      <c r="CR81" s="15">
        <f t="shared" si="137"/>
        <v>12</v>
      </c>
      <c r="CS81" s="13">
        <f t="shared" si="138"/>
        <v>616.08333333333337</v>
      </c>
      <c r="CT81" s="13">
        <f t="shared" si="139"/>
        <v>971.16649999999993</v>
      </c>
      <c r="CU81" s="13">
        <f t="shared" si="140"/>
        <v>97.116649999999993</v>
      </c>
      <c r="CW81" s="13">
        <f t="shared" si="141"/>
        <v>7393</v>
      </c>
      <c r="CX81" s="13">
        <f t="shared" si="142"/>
        <v>11653.998</v>
      </c>
      <c r="CY81" s="13">
        <f t="shared" si="143"/>
        <v>1165.3997999999999</v>
      </c>
    </row>
    <row r="82" spans="1:103" outlineLevel="1" x14ac:dyDescent="0.2">
      <c r="A82" s="43"/>
      <c r="B82" s="10"/>
      <c r="C82" s="3" t="s">
        <v>17</v>
      </c>
      <c r="D82" s="3" t="s">
        <v>113</v>
      </c>
      <c r="E82" s="6" t="s">
        <v>19</v>
      </c>
      <c r="F82" s="3" t="s">
        <v>25</v>
      </c>
      <c r="G82" s="5" t="s">
        <v>50</v>
      </c>
      <c r="H82" s="52" t="b">
        <v>0</v>
      </c>
      <c r="J82" s="46" t="s">
        <v>91</v>
      </c>
      <c r="K82" s="46" t="s">
        <v>91</v>
      </c>
      <c r="L82" s="46" t="s">
        <v>91</v>
      </c>
      <c r="M82" s="56" t="b">
        <v>0</v>
      </c>
      <c r="Q82" s="51" t="b">
        <v>1</v>
      </c>
      <c r="R82" s="50" t="s">
        <v>53</v>
      </c>
      <c r="S82" s="55" t="b">
        <v>1</v>
      </c>
      <c r="T82" s="49">
        <v>13</v>
      </c>
      <c r="U82" s="47">
        <v>1.4999999999999999E-2</v>
      </c>
      <c r="V82" s="49">
        <v>75</v>
      </c>
      <c r="W82" s="49">
        <v>-75</v>
      </c>
      <c r="X82" s="47">
        <v>50</v>
      </c>
      <c r="Y82" s="47">
        <v>5</v>
      </c>
      <c r="Z82" s="51" t="b">
        <v>1</v>
      </c>
      <c r="AA82" s="50" t="s">
        <v>92</v>
      </c>
      <c r="AB82" s="54">
        <v>2</v>
      </c>
      <c r="AC82" s="56" t="b">
        <v>0</v>
      </c>
      <c r="AE82" s="56" t="b">
        <v>0</v>
      </c>
      <c r="AG82" s="55" t="b">
        <v>1</v>
      </c>
      <c r="AH82" s="48">
        <v>13</v>
      </c>
      <c r="AI82" s="48">
        <v>21</v>
      </c>
      <c r="AJ82" s="48">
        <v>34</v>
      </c>
      <c r="AK82" s="48">
        <v>55</v>
      </c>
      <c r="AL82" s="52" t="b">
        <v>0</v>
      </c>
      <c r="AM82" s="51" t="b">
        <v>1</v>
      </c>
      <c r="AN82" s="53" t="s">
        <v>34</v>
      </c>
      <c r="AO82" s="60">
        <v>1.0000000000000001E-5</v>
      </c>
      <c r="AP82" s="51" t="b">
        <v>1</v>
      </c>
      <c r="AQ82" s="60">
        <v>1.0000000000000001E-5</v>
      </c>
      <c r="AR82" s="56">
        <v>21</v>
      </c>
      <c r="AS82" s="56">
        <v>34</v>
      </c>
      <c r="AT82" s="56">
        <v>9</v>
      </c>
      <c r="AU82" s="51" t="b">
        <v>1</v>
      </c>
      <c r="AV82" s="47">
        <v>3</v>
      </c>
      <c r="AW82" s="62">
        <v>5</v>
      </c>
      <c r="AX82" s="47">
        <v>1</v>
      </c>
      <c r="AY82" s="51" t="b">
        <v>1</v>
      </c>
      <c r="AZ82" s="45" t="s">
        <v>73</v>
      </c>
      <c r="BA82" s="45">
        <v>4</v>
      </c>
      <c r="BB82" s="49">
        <v>0.05</v>
      </c>
      <c r="BC82" s="49">
        <v>0.5</v>
      </c>
      <c r="BD82" s="52" t="b">
        <v>0</v>
      </c>
      <c r="BE82" s="45" t="s">
        <v>98</v>
      </c>
      <c r="BF82" s="51" t="b">
        <v>1</v>
      </c>
      <c r="BG82" s="45" t="s">
        <v>71</v>
      </c>
      <c r="BH82" s="54">
        <v>0.02</v>
      </c>
      <c r="BI82" s="70" t="s">
        <v>5</v>
      </c>
      <c r="BJ82" s="51" t="b">
        <v>1</v>
      </c>
      <c r="BK82" s="72">
        <v>1.5</v>
      </c>
      <c r="BL82" s="52" t="b">
        <v>0</v>
      </c>
      <c r="BM82" s="70" t="s">
        <v>6</v>
      </c>
      <c r="BN82" s="51" t="b">
        <v>1</v>
      </c>
      <c r="BO82" s="70" t="s">
        <v>15</v>
      </c>
      <c r="BP82" s="71">
        <v>1</v>
      </c>
      <c r="BQ82" s="71">
        <v>0.5</v>
      </c>
      <c r="BR82" s="75" t="str">
        <f t="shared" si="129"/>
        <v>13/ 21/ 34/ 55</v>
      </c>
      <c r="BS82" s="75" t="str">
        <f t="shared" si="130"/>
        <v>21 / 34 / 9</v>
      </c>
      <c r="BT82" s="75" t="str">
        <f t="shared" si="131"/>
        <v>0.05 / 0.5</v>
      </c>
      <c r="BU82" s="7">
        <v>430</v>
      </c>
      <c r="BV82" s="7">
        <v>242</v>
      </c>
      <c r="BW82" s="7">
        <v>189</v>
      </c>
      <c r="BX82" s="27">
        <f t="shared" si="132"/>
        <v>53</v>
      </c>
      <c r="BY82" s="7">
        <v>57</v>
      </c>
      <c r="BZ82" s="21">
        <f t="shared" si="133"/>
        <v>131</v>
      </c>
      <c r="CA82" s="98">
        <f t="shared" si="144"/>
        <v>0.56279069767441858</v>
      </c>
      <c r="CB82" s="99">
        <f t="shared" si="145"/>
        <v>0.13255813953488371</v>
      </c>
      <c r="CC82" s="20">
        <v>4.3</v>
      </c>
      <c r="CD82" s="20">
        <v>25.44</v>
      </c>
      <c r="CE82" s="20">
        <v>0.39</v>
      </c>
      <c r="CF82" s="77">
        <f t="shared" si="134"/>
        <v>1.5</v>
      </c>
      <c r="CG82" s="20">
        <v>0.72</v>
      </c>
      <c r="CH82" s="20">
        <v>0.54</v>
      </c>
      <c r="CI82" s="22">
        <v>7230</v>
      </c>
      <c r="CJ82" s="20">
        <v>29.88</v>
      </c>
      <c r="CK82" s="20">
        <v>28.07</v>
      </c>
      <c r="CL82" s="20">
        <v>-6.3</v>
      </c>
      <c r="CM82" s="74">
        <v>1000</v>
      </c>
      <c r="CN82" s="22">
        <v>10938.9</v>
      </c>
      <c r="CO82" s="35">
        <f t="shared" si="135"/>
        <v>11938.9</v>
      </c>
      <c r="CP82" s="35">
        <f t="shared" si="136"/>
        <v>1093.8899999999999</v>
      </c>
      <c r="CR82" s="15">
        <f t="shared" si="137"/>
        <v>12</v>
      </c>
      <c r="CS82" s="13">
        <f t="shared" si="138"/>
        <v>602.5</v>
      </c>
      <c r="CT82" s="13">
        <f t="shared" si="139"/>
        <v>911.57499999999993</v>
      </c>
      <c r="CU82" s="13">
        <f t="shared" si="140"/>
        <v>91.157499999999999</v>
      </c>
      <c r="CW82" s="13">
        <f t="shared" si="141"/>
        <v>7230</v>
      </c>
      <c r="CX82" s="13">
        <f t="shared" si="142"/>
        <v>10938.9</v>
      </c>
      <c r="CY82" s="13">
        <f t="shared" si="143"/>
        <v>1093.8899999999999</v>
      </c>
    </row>
    <row r="83" spans="1:103" outlineLevel="1" x14ac:dyDescent="0.2"/>
    <row r="84" spans="1:103" x14ac:dyDescent="0.2">
      <c r="A84" s="43"/>
      <c r="B84" s="10" t="s">
        <v>128</v>
      </c>
      <c r="C84" s="3" t="s">
        <v>17</v>
      </c>
      <c r="D84" s="3" t="s">
        <v>113</v>
      </c>
      <c r="E84" s="6" t="s">
        <v>19</v>
      </c>
      <c r="F84" s="3" t="s">
        <v>25</v>
      </c>
      <c r="G84" s="5" t="s">
        <v>50</v>
      </c>
      <c r="H84" s="52" t="b">
        <v>0</v>
      </c>
      <c r="J84" s="46" t="s">
        <v>91</v>
      </c>
      <c r="K84" s="46" t="s">
        <v>91</v>
      </c>
      <c r="L84" s="46" t="s">
        <v>91</v>
      </c>
      <c r="M84" s="56" t="b">
        <v>0</v>
      </c>
      <c r="Q84" s="51" t="b">
        <v>1</v>
      </c>
      <c r="R84" s="50" t="s">
        <v>53</v>
      </c>
      <c r="S84" s="55" t="b">
        <v>1</v>
      </c>
      <c r="T84" s="49">
        <v>13</v>
      </c>
      <c r="U84" s="47">
        <v>1.4999999999999999E-2</v>
      </c>
      <c r="V84" s="49">
        <v>75</v>
      </c>
      <c r="W84" s="49">
        <v>-75</v>
      </c>
      <c r="X84" s="47">
        <v>50</v>
      </c>
      <c r="Y84" s="47">
        <v>5</v>
      </c>
      <c r="Z84" s="51" t="b">
        <v>1</v>
      </c>
      <c r="AA84" s="50" t="s">
        <v>92</v>
      </c>
      <c r="AB84" s="54">
        <v>2</v>
      </c>
      <c r="AC84" s="56" t="b">
        <v>0</v>
      </c>
      <c r="AE84" s="56" t="b">
        <v>0</v>
      </c>
      <c r="AG84" s="55" t="b">
        <v>1</v>
      </c>
      <c r="AH84" s="48">
        <v>5</v>
      </c>
      <c r="AI84" s="48">
        <v>13</v>
      </c>
      <c r="AJ84" s="48">
        <v>34</v>
      </c>
      <c r="AK84" s="48">
        <v>89</v>
      </c>
      <c r="AL84" s="52" t="b">
        <v>0</v>
      </c>
      <c r="AM84" s="51" t="b">
        <v>1</v>
      </c>
      <c r="AN84" s="53" t="s">
        <v>34</v>
      </c>
      <c r="AO84" s="60">
        <v>1.0000000000000001E-5</v>
      </c>
      <c r="AP84" s="51" t="b">
        <v>1</v>
      </c>
      <c r="AQ84" s="60">
        <v>1.0000000000000001E-5</v>
      </c>
      <c r="AR84" s="49">
        <v>5</v>
      </c>
      <c r="AS84" s="49">
        <v>8</v>
      </c>
      <c r="AT84" s="49">
        <v>5</v>
      </c>
      <c r="AU84" s="51" t="b">
        <v>1</v>
      </c>
      <c r="AV84" s="47">
        <v>3</v>
      </c>
      <c r="AW84" s="62">
        <v>5</v>
      </c>
      <c r="AX84" s="47">
        <v>1</v>
      </c>
      <c r="AY84" s="51" t="b">
        <v>1</v>
      </c>
      <c r="AZ84" s="45" t="s">
        <v>73</v>
      </c>
      <c r="BA84" s="45">
        <v>4</v>
      </c>
      <c r="BB84" s="49">
        <v>0.05</v>
      </c>
      <c r="BC84" s="49">
        <v>0.5</v>
      </c>
      <c r="BD84" s="52" t="b">
        <v>0</v>
      </c>
      <c r="BE84" s="45" t="s">
        <v>98</v>
      </c>
      <c r="BF84" s="51" t="b">
        <v>1</v>
      </c>
      <c r="BG84" s="45" t="s">
        <v>71</v>
      </c>
      <c r="BH84" s="54">
        <v>0.02</v>
      </c>
      <c r="BI84" s="70" t="s">
        <v>5</v>
      </c>
      <c r="BJ84" s="51" t="b">
        <v>1</v>
      </c>
      <c r="BK84" s="72">
        <v>1.5</v>
      </c>
      <c r="BL84" s="52" t="b">
        <v>0</v>
      </c>
      <c r="BM84" s="70" t="s">
        <v>6</v>
      </c>
      <c r="BN84" s="51" t="b">
        <v>1</v>
      </c>
      <c r="BO84" s="70" t="s">
        <v>15</v>
      </c>
      <c r="BP84" s="71">
        <v>1</v>
      </c>
      <c r="BQ84" s="71">
        <v>0.5</v>
      </c>
      <c r="BR84" s="75" t="str">
        <f t="shared" ref="BR84" si="146">AH84&amp;"/ "&amp;AI84&amp;"/ "&amp;AJ84&amp;"/ "&amp;AK84</f>
        <v>5/ 13/ 34/ 89</v>
      </c>
      <c r="BS84" s="75" t="str">
        <f t="shared" ref="BS84:BS91" si="147">AR84&amp;" / "&amp;AS84&amp;" / "&amp;AT84</f>
        <v>5 / 8 / 5</v>
      </c>
      <c r="BT84" s="75" t="str">
        <f t="shared" ref="BT84:BT91" si="148">BB84&amp;" / "&amp;BC84</f>
        <v>0.05 / 0.5</v>
      </c>
      <c r="BU84" s="7">
        <v>418</v>
      </c>
      <c r="BV84" s="7">
        <v>254</v>
      </c>
      <c r="BW84" s="7">
        <v>201</v>
      </c>
      <c r="BX84" s="27">
        <f t="shared" ref="BX84:BX91" si="149">BV84-BW84</f>
        <v>53</v>
      </c>
      <c r="BY84" s="7">
        <v>42</v>
      </c>
      <c r="BZ84" s="21">
        <f t="shared" ref="BZ84:BZ91" si="150">BU84-SUM(BW84:BY84)</f>
        <v>122</v>
      </c>
      <c r="CA84" s="98">
        <f>IF(BU84=0,0,BV84/BU84)</f>
        <v>0.60765550239234445</v>
      </c>
      <c r="CB84" s="99">
        <f>IF(BU84=0,0,BY84/BU84)</f>
        <v>0.10047846889952153</v>
      </c>
      <c r="CC84" s="20">
        <v>7.16</v>
      </c>
      <c r="CD84" s="20">
        <v>29.64</v>
      </c>
      <c r="CE84" s="20">
        <v>0.46</v>
      </c>
      <c r="CF84" s="77">
        <f t="shared" ref="CF84:CF91" si="151">BK84</f>
        <v>1.5</v>
      </c>
      <c r="CG84" s="20">
        <v>0.69</v>
      </c>
      <c r="CH84" s="20">
        <v>0.51</v>
      </c>
      <c r="CI84" s="22">
        <v>7556.7</v>
      </c>
      <c r="CJ84" s="20">
        <v>29.75</v>
      </c>
      <c r="CK84" s="20">
        <v>27.72</v>
      </c>
      <c r="CL84" s="20">
        <v>-5.59</v>
      </c>
      <c r="CM84" s="74">
        <v>1000</v>
      </c>
      <c r="CN84" s="22">
        <v>12388.64</v>
      </c>
      <c r="CO84" s="35">
        <f t="shared" ref="CO84:CO91" si="152">CM84+CN84</f>
        <v>13388.64</v>
      </c>
      <c r="CP84" s="35">
        <f t="shared" ref="CP84:CP91" si="153">CN84/10</f>
        <v>1238.864</v>
      </c>
      <c r="CR84" s="15">
        <f t="shared" ref="CR84:CR91" si="154">CR$4</f>
        <v>12</v>
      </c>
      <c r="CS84" s="13">
        <f t="shared" ref="CS84:CS91" si="155">CI84/CR84</f>
        <v>629.72500000000002</v>
      </c>
      <c r="CT84" s="13">
        <f t="shared" ref="CT84:CT91" si="156">CN84/CR84</f>
        <v>1032.3866666666665</v>
      </c>
      <c r="CU84" s="13">
        <f t="shared" ref="CU84:CU91" si="157">CT84/10</f>
        <v>103.23866666666666</v>
      </c>
      <c r="CW84" s="13">
        <f t="shared" ref="CW84:CW91" si="158">CI84</f>
        <v>7556.7</v>
      </c>
      <c r="CX84" s="13">
        <f t="shared" ref="CX84:CX91" si="159">CN84</f>
        <v>12388.64</v>
      </c>
      <c r="CY84" s="13">
        <f t="shared" ref="CY84:CY91" si="160">CP84</f>
        <v>1238.864</v>
      </c>
    </row>
    <row r="85" spans="1:103" outlineLevel="1" x14ac:dyDescent="0.2">
      <c r="A85" s="43"/>
      <c r="C85" s="3" t="s">
        <v>17</v>
      </c>
      <c r="D85" s="3" t="s">
        <v>113</v>
      </c>
      <c r="E85" s="6" t="s">
        <v>19</v>
      </c>
      <c r="F85" s="3" t="s">
        <v>25</v>
      </c>
      <c r="G85" s="5" t="s">
        <v>50</v>
      </c>
      <c r="H85" s="52" t="b">
        <v>0</v>
      </c>
      <c r="J85" s="46" t="s">
        <v>91</v>
      </c>
      <c r="K85" s="46" t="s">
        <v>91</v>
      </c>
      <c r="L85" s="46" t="s">
        <v>91</v>
      </c>
      <c r="M85" s="56" t="b">
        <v>0</v>
      </c>
      <c r="Q85" s="51" t="b">
        <v>1</v>
      </c>
      <c r="R85" s="50" t="s">
        <v>53</v>
      </c>
      <c r="S85" s="55" t="b">
        <v>1</v>
      </c>
      <c r="T85" s="49">
        <v>13</v>
      </c>
      <c r="U85" s="47">
        <v>1.4999999999999999E-2</v>
      </c>
      <c r="V85" s="49">
        <v>75</v>
      </c>
      <c r="W85" s="49">
        <v>-75</v>
      </c>
      <c r="X85" s="47">
        <v>50</v>
      </c>
      <c r="Y85" s="47">
        <v>5</v>
      </c>
      <c r="Z85" s="51" t="b">
        <v>1</v>
      </c>
      <c r="AA85" s="50" t="s">
        <v>92</v>
      </c>
      <c r="AB85" s="54">
        <v>2</v>
      </c>
      <c r="AC85" s="56" t="b">
        <v>0</v>
      </c>
      <c r="AE85" s="56" t="b">
        <v>0</v>
      </c>
      <c r="AG85" s="55" t="b">
        <v>1</v>
      </c>
      <c r="AH85" s="48">
        <v>5</v>
      </c>
      <c r="AI85" s="48">
        <v>13</v>
      </c>
      <c r="AJ85" s="48">
        <v>34</v>
      </c>
      <c r="AK85" s="48">
        <v>89</v>
      </c>
      <c r="AL85" s="52" t="b">
        <v>0</v>
      </c>
      <c r="AM85" s="51" t="b">
        <v>1</v>
      </c>
      <c r="AN85" s="53" t="s">
        <v>34</v>
      </c>
      <c r="AO85" s="60">
        <v>1.0000000000000001E-5</v>
      </c>
      <c r="AP85" s="51" t="b">
        <v>1</v>
      </c>
      <c r="AQ85" s="60">
        <v>1.0000000000000001E-5</v>
      </c>
      <c r="AR85" s="56">
        <v>5</v>
      </c>
      <c r="AS85" s="56">
        <v>13</v>
      </c>
      <c r="AT85" s="56">
        <v>5</v>
      </c>
      <c r="AU85" s="51" t="b">
        <v>1</v>
      </c>
      <c r="AV85" s="47">
        <v>3</v>
      </c>
      <c r="AW85" s="62">
        <v>5</v>
      </c>
      <c r="AX85" s="47">
        <v>1</v>
      </c>
      <c r="AY85" s="51" t="b">
        <v>1</v>
      </c>
      <c r="AZ85" s="45" t="s">
        <v>73</v>
      </c>
      <c r="BA85" s="45">
        <v>4</v>
      </c>
      <c r="BB85" s="49">
        <v>0.05</v>
      </c>
      <c r="BC85" s="49">
        <v>0.5</v>
      </c>
      <c r="BD85" s="52" t="b">
        <v>0</v>
      </c>
      <c r="BE85" s="45" t="s">
        <v>98</v>
      </c>
      <c r="BF85" s="51" t="b">
        <v>1</v>
      </c>
      <c r="BG85" s="45" t="s">
        <v>71</v>
      </c>
      <c r="BH85" s="54">
        <v>0.02</v>
      </c>
      <c r="BI85" s="70" t="s">
        <v>5</v>
      </c>
      <c r="BJ85" s="51" t="b">
        <v>1</v>
      </c>
      <c r="BK85" s="72">
        <v>1.5</v>
      </c>
      <c r="BL85" s="52" t="b">
        <v>0</v>
      </c>
      <c r="BM85" s="70" t="s">
        <v>6</v>
      </c>
      <c r="BN85" s="51" t="b">
        <v>1</v>
      </c>
      <c r="BO85" s="70" t="s">
        <v>15</v>
      </c>
      <c r="BP85" s="71">
        <v>1</v>
      </c>
      <c r="BQ85" s="71">
        <v>0.5</v>
      </c>
      <c r="BR85" s="75" t="str">
        <f t="shared" ref="BR85" si="161">AH85&amp;"/ "&amp;AI85&amp;"/ "&amp;AJ85&amp;"/ "&amp;AK85</f>
        <v>5/ 13/ 34/ 89</v>
      </c>
      <c r="BS85" s="75" t="str">
        <f t="shared" si="147"/>
        <v>5 / 13 / 5</v>
      </c>
      <c r="BT85" s="75" t="str">
        <f t="shared" si="148"/>
        <v>0.05 / 0.5</v>
      </c>
      <c r="BU85" s="7">
        <v>427</v>
      </c>
      <c r="BV85" s="7">
        <v>256</v>
      </c>
      <c r="BW85" s="7">
        <v>203</v>
      </c>
      <c r="BX85" s="27">
        <f t="shared" si="149"/>
        <v>53</v>
      </c>
      <c r="BY85" s="7">
        <v>48</v>
      </c>
      <c r="BZ85" s="21">
        <f t="shared" si="150"/>
        <v>123</v>
      </c>
      <c r="CA85" s="98">
        <f t="shared" ref="CA85:CA91" si="162">IF(BU85=0,0,BV85/BU85)</f>
        <v>0.59953161592505855</v>
      </c>
      <c r="CB85" s="99">
        <f t="shared" ref="CB85:CB91" si="163">IF(BU85=0,0,BY85/BU85)</f>
        <v>0.11241217798594848</v>
      </c>
      <c r="CC85" s="20">
        <v>6.47</v>
      </c>
      <c r="CD85" s="20">
        <v>28.57</v>
      </c>
      <c r="CE85" s="20">
        <v>0.45</v>
      </c>
      <c r="CF85" s="77">
        <f t="shared" si="151"/>
        <v>1.5</v>
      </c>
      <c r="CG85" s="20">
        <v>0.7</v>
      </c>
      <c r="CH85" s="20">
        <v>0.52</v>
      </c>
      <c r="CI85" s="22">
        <v>7691.5</v>
      </c>
      <c r="CJ85" s="20">
        <v>30.04</v>
      </c>
      <c r="CK85" s="20">
        <v>27.61</v>
      </c>
      <c r="CL85" s="20">
        <v>-4.17</v>
      </c>
      <c r="CM85" s="74">
        <v>1000</v>
      </c>
      <c r="CN85" s="22">
        <v>12197.25</v>
      </c>
      <c r="CO85" s="35">
        <f t="shared" si="152"/>
        <v>13197.25</v>
      </c>
      <c r="CP85" s="35">
        <f t="shared" si="153"/>
        <v>1219.7249999999999</v>
      </c>
      <c r="CR85" s="15">
        <f t="shared" si="154"/>
        <v>12</v>
      </c>
      <c r="CS85" s="13">
        <f t="shared" si="155"/>
        <v>640.95833333333337</v>
      </c>
      <c r="CT85" s="13">
        <f t="shared" si="156"/>
        <v>1016.4375</v>
      </c>
      <c r="CU85" s="13">
        <f t="shared" si="157"/>
        <v>101.64375</v>
      </c>
      <c r="CW85" s="13">
        <f t="shared" si="158"/>
        <v>7691.5</v>
      </c>
      <c r="CX85" s="13">
        <f t="shared" si="159"/>
        <v>12197.25</v>
      </c>
      <c r="CY85" s="13">
        <f t="shared" si="160"/>
        <v>1219.7249999999999</v>
      </c>
    </row>
    <row r="86" spans="1:103" outlineLevel="1" x14ac:dyDescent="0.2">
      <c r="A86" s="43"/>
      <c r="C86" s="3" t="s">
        <v>17</v>
      </c>
      <c r="D86" s="3" t="s">
        <v>113</v>
      </c>
      <c r="E86" s="6" t="s">
        <v>19</v>
      </c>
      <c r="F86" s="3" t="s">
        <v>25</v>
      </c>
      <c r="G86" s="5" t="s">
        <v>50</v>
      </c>
      <c r="H86" s="52" t="b">
        <v>0</v>
      </c>
      <c r="J86" s="46" t="s">
        <v>91</v>
      </c>
      <c r="K86" s="46" t="s">
        <v>91</v>
      </c>
      <c r="L86" s="46" t="s">
        <v>91</v>
      </c>
      <c r="M86" s="56" t="b">
        <v>0</v>
      </c>
      <c r="Q86" s="51" t="b">
        <v>1</v>
      </c>
      <c r="R86" s="50" t="s">
        <v>53</v>
      </c>
      <c r="S86" s="55" t="b">
        <v>1</v>
      </c>
      <c r="T86" s="49">
        <v>13</v>
      </c>
      <c r="U86" s="47">
        <v>1.4999999999999999E-2</v>
      </c>
      <c r="V86" s="49">
        <v>75</v>
      </c>
      <c r="W86" s="49">
        <v>-75</v>
      </c>
      <c r="X86" s="47">
        <v>50</v>
      </c>
      <c r="Y86" s="47">
        <v>5</v>
      </c>
      <c r="Z86" s="51" t="b">
        <v>1</v>
      </c>
      <c r="AA86" s="50" t="s">
        <v>92</v>
      </c>
      <c r="AB86" s="54">
        <v>2</v>
      </c>
      <c r="AC86" s="56" t="b">
        <v>0</v>
      </c>
      <c r="AE86" s="56" t="b">
        <v>0</v>
      </c>
      <c r="AG86" s="55" t="b">
        <v>1</v>
      </c>
      <c r="AH86" s="48">
        <v>5</v>
      </c>
      <c r="AI86" s="48">
        <v>13</v>
      </c>
      <c r="AJ86" s="48">
        <v>34</v>
      </c>
      <c r="AK86" s="48">
        <v>89</v>
      </c>
      <c r="AL86" s="52" t="b">
        <v>0</v>
      </c>
      <c r="AM86" s="51" t="b">
        <v>1</v>
      </c>
      <c r="AN86" s="53" t="s">
        <v>34</v>
      </c>
      <c r="AO86" s="60">
        <v>1.0000000000000001E-5</v>
      </c>
      <c r="AP86" s="51" t="b">
        <v>1</v>
      </c>
      <c r="AQ86" s="60">
        <v>1.0000000000000001E-5</v>
      </c>
      <c r="AR86" s="56">
        <v>5</v>
      </c>
      <c r="AS86" s="56">
        <v>13</v>
      </c>
      <c r="AT86" s="56">
        <v>8</v>
      </c>
      <c r="AU86" s="51" t="b">
        <v>1</v>
      </c>
      <c r="AV86" s="47">
        <v>3</v>
      </c>
      <c r="AW86" s="62">
        <v>5</v>
      </c>
      <c r="AX86" s="47">
        <v>1</v>
      </c>
      <c r="AY86" s="51" t="b">
        <v>1</v>
      </c>
      <c r="AZ86" s="45" t="s">
        <v>73</v>
      </c>
      <c r="BA86" s="45">
        <v>4</v>
      </c>
      <c r="BB86" s="49">
        <v>0.05</v>
      </c>
      <c r="BC86" s="49">
        <v>0.5</v>
      </c>
      <c r="BD86" s="52" t="b">
        <v>0</v>
      </c>
      <c r="BE86" s="45" t="s">
        <v>98</v>
      </c>
      <c r="BF86" s="51" t="b">
        <v>1</v>
      </c>
      <c r="BG86" s="45" t="s">
        <v>71</v>
      </c>
      <c r="BH86" s="54">
        <v>0.02</v>
      </c>
      <c r="BI86" s="70" t="s">
        <v>5</v>
      </c>
      <c r="BJ86" s="51" t="b">
        <v>1</v>
      </c>
      <c r="BK86" s="72">
        <v>1.5</v>
      </c>
      <c r="BL86" s="52" t="b">
        <v>0</v>
      </c>
      <c r="BM86" s="70" t="s">
        <v>6</v>
      </c>
      <c r="BN86" s="51" t="b">
        <v>1</v>
      </c>
      <c r="BO86" s="70" t="s">
        <v>15</v>
      </c>
      <c r="BP86" s="71">
        <v>1</v>
      </c>
      <c r="BQ86" s="71">
        <v>0.5</v>
      </c>
      <c r="BR86" s="75" t="str">
        <f t="shared" ref="BR86" si="164">AH86&amp;"/ "&amp;AI86&amp;"/ "&amp;AJ86&amp;"/ "&amp;AK86</f>
        <v>5/ 13/ 34/ 89</v>
      </c>
      <c r="BS86" s="75" t="str">
        <f t="shared" si="147"/>
        <v>5 / 13 / 8</v>
      </c>
      <c r="BT86" s="75" t="str">
        <f t="shared" si="148"/>
        <v>0.05 / 0.5</v>
      </c>
      <c r="BU86" s="7">
        <v>425</v>
      </c>
      <c r="BV86" s="7">
        <v>260</v>
      </c>
      <c r="BW86" s="7">
        <v>204</v>
      </c>
      <c r="BX86" s="27">
        <f t="shared" si="149"/>
        <v>56</v>
      </c>
      <c r="BY86" s="7">
        <v>47</v>
      </c>
      <c r="BZ86" s="21">
        <f t="shared" si="150"/>
        <v>118</v>
      </c>
      <c r="CA86" s="98">
        <f t="shared" si="162"/>
        <v>0.61176470588235299</v>
      </c>
      <c r="CB86" s="99">
        <f t="shared" si="163"/>
        <v>0.11058823529411765</v>
      </c>
      <c r="CC86" s="20">
        <v>6.7</v>
      </c>
      <c r="CD86" s="20">
        <v>30.24</v>
      </c>
      <c r="CE86" s="20">
        <v>0.47</v>
      </c>
      <c r="CF86" s="77">
        <f t="shared" si="151"/>
        <v>1.5</v>
      </c>
      <c r="CG86" s="20">
        <v>0.7</v>
      </c>
      <c r="CH86" s="20">
        <v>0.51</v>
      </c>
      <c r="CI86" s="22">
        <v>7842.4</v>
      </c>
      <c r="CJ86" s="20">
        <v>30.16</v>
      </c>
      <c r="CK86" s="20">
        <v>27.9</v>
      </c>
      <c r="CL86" s="20">
        <v>-5.6</v>
      </c>
      <c r="CM86" s="74">
        <v>1000</v>
      </c>
      <c r="CN86" s="22">
        <v>12850.28</v>
      </c>
      <c r="CO86" s="35">
        <f t="shared" si="152"/>
        <v>13850.28</v>
      </c>
      <c r="CP86" s="35">
        <f t="shared" si="153"/>
        <v>1285.028</v>
      </c>
      <c r="CR86" s="15">
        <f t="shared" si="154"/>
        <v>12</v>
      </c>
      <c r="CS86" s="13">
        <f t="shared" si="155"/>
        <v>653.5333333333333</v>
      </c>
      <c r="CT86" s="13">
        <f t="shared" si="156"/>
        <v>1070.8566666666668</v>
      </c>
      <c r="CU86" s="13">
        <f t="shared" si="157"/>
        <v>107.08566666666668</v>
      </c>
      <c r="CW86" s="13">
        <f t="shared" si="158"/>
        <v>7842.4</v>
      </c>
      <c r="CX86" s="13">
        <f t="shared" si="159"/>
        <v>12850.28</v>
      </c>
      <c r="CY86" s="13">
        <f t="shared" si="160"/>
        <v>1285.028</v>
      </c>
    </row>
    <row r="87" spans="1:103" outlineLevel="1" x14ac:dyDescent="0.2">
      <c r="A87" s="43"/>
      <c r="B87" s="10"/>
      <c r="C87" s="3" t="s">
        <v>17</v>
      </c>
      <c r="D87" s="3" t="s">
        <v>113</v>
      </c>
      <c r="E87" s="6" t="s">
        <v>19</v>
      </c>
      <c r="F87" s="3" t="s">
        <v>25</v>
      </c>
      <c r="G87" s="5" t="s">
        <v>50</v>
      </c>
      <c r="H87" s="52" t="b">
        <v>0</v>
      </c>
      <c r="J87" s="46" t="s">
        <v>91</v>
      </c>
      <c r="K87" s="46" t="s">
        <v>91</v>
      </c>
      <c r="L87" s="46" t="s">
        <v>91</v>
      </c>
      <c r="M87" s="56" t="b">
        <v>0</v>
      </c>
      <c r="Q87" s="51" t="b">
        <v>1</v>
      </c>
      <c r="R87" s="50" t="s">
        <v>53</v>
      </c>
      <c r="S87" s="55" t="b">
        <v>1</v>
      </c>
      <c r="T87" s="49">
        <v>13</v>
      </c>
      <c r="U87" s="47">
        <v>1.4999999999999999E-2</v>
      </c>
      <c r="V87" s="49">
        <v>75</v>
      </c>
      <c r="W87" s="49">
        <v>-75</v>
      </c>
      <c r="X87" s="47">
        <v>50</v>
      </c>
      <c r="Y87" s="47">
        <v>5</v>
      </c>
      <c r="Z87" s="51" t="b">
        <v>1</v>
      </c>
      <c r="AA87" s="50" t="s">
        <v>92</v>
      </c>
      <c r="AB87" s="54">
        <v>2</v>
      </c>
      <c r="AC87" s="56" t="b">
        <v>0</v>
      </c>
      <c r="AE87" s="56" t="b">
        <v>0</v>
      </c>
      <c r="AG87" s="55" t="b">
        <v>1</v>
      </c>
      <c r="AH87" s="48">
        <v>5</v>
      </c>
      <c r="AI87" s="48">
        <v>13</v>
      </c>
      <c r="AJ87" s="48">
        <v>34</v>
      </c>
      <c r="AK87" s="48">
        <v>89</v>
      </c>
      <c r="AL87" s="52" t="b">
        <v>0</v>
      </c>
      <c r="AM87" s="51" t="b">
        <v>1</v>
      </c>
      <c r="AN87" s="53" t="s">
        <v>34</v>
      </c>
      <c r="AO87" s="60">
        <v>1.0000000000000001E-5</v>
      </c>
      <c r="AP87" s="51" t="b">
        <v>1</v>
      </c>
      <c r="AQ87" s="60">
        <v>1.0000000000000001E-5</v>
      </c>
      <c r="AR87" s="65">
        <v>8</v>
      </c>
      <c r="AS87" s="65">
        <v>13</v>
      </c>
      <c r="AT87" s="65">
        <v>8</v>
      </c>
      <c r="AU87" s="51" t="b">
        <v>1</v>
      </c>
      <c r="AV87" s="47">
        <v>3</v>
      </c>
      <c r="AW87" s="62">
        <v>5</v>
      </c>
      <c r="AX87" s="47">
        <v>1</v>
      </c>
      <c r="AY87" s="51" t="b">
        <v>1</v>
      </c>
      <c r="AZ87" s="45" t="s">
        <v>73</v>
      </c>
      <c r="BA87" s="45">
        <v>4</v>
      </c>
      <c r="BB87" s="49">
        <v>0.05</v>
      </c>
      <c r="BC87" s="49">
        <v>0.5</v>
      </c>
      <c r="BD87" s="52" t="b">
        <v>0</v>
      </c>
      <c r="BE87" s="45" t="s">
        <v>98</v>
      </c>
      <c r="BF87" s="51" t="b">
        <v>1</v>
      </c>
      <c r="BG87" s="45" t="s">
        <v>71</v>
      </c>
      <c r="BH87" s="54">
        <v>0.02</v>
      </c>
      <c r="BI87" s="70" t="s">
        <v>5</v>
      </c>
      <c r="BJ87" s="51" t="b">
        <v>1</v>
      </c>
      <c r="BK87" s="72">
        <v>1.5</v>
      </c>
      <c r="BL87" s="52" t="b">
        <v>0</v>
      </c>
      <c r="BM87" s="70" t="s">
        <v>6</v>
      </c>
      <c r="BN87" s="51" t="b">
        <v>1</v>
      </c>
      <c r="BO87" s="70" t="s">
        <v>15</v>
      </c>
      <c r="BP87" s="71">
        <v>1</v>
      </c>
      <c r="BQ87" s="71">
        <v>0.5</v>
      </c>
      <c r="BR87" s="75" t="str">
        <f t="shared" ref="BR87" si="165">AH87&amp;"/ "&amp;AI87&amp;"/ "&amp;AJ87&amp;"/ "&amp;AK87</f>
        <v>5/ 13/ 34/ 89</v>
      </c>
      <c r="BS87" s="75" t="str">
        <f t="shared" si="147"/>
        <v>8 / 13 / 8</v>
      </c>
      <c r="BT87" s="75" t="str">
        <f t="shared" si="148"/>
        <v>0.05 / 0.5</v>
      </c>
      <c r="BU87" s="7">
        <v>425</v>
      </c>
      <c r="BV87" s="7">
        <v>260</v>
      </c>
      <c r="BW87" s="7">
        <v>204</v>
      </c>
      <c r="BX87" s="27">
        <f t="shared" si="149"/>
        <v>56</v>
      </c>
      <c r="BY87" s="7">
        <v>47</v>
      </c>
      <c r="BZ87" s="21">
        <f t="shared" si="150"/>
        <v>118</v>
      </c>
      <c r="CA87" s="98">
        <f t="shared" si="162"/>
        <v>0.61176470588235299</v>
      </c>
      <c r="CB87" s="99">
        <f t="shared" si="163"/>
        <v>0.11058823529411765</v>
      </c>
      <c r="CC87" s="20">
        <v>6.7</v>
      </c>
      <c r="CD87" s="20">
        <v>30.24</v>
      </c>
      <c r="CE87" s="20">
        <v>0.47</v>
      </c>
      <c r="CF87" s="77">
        <f t="shared" si="151"/>
        <v>1.5</v>
      </c>
      <c r="CG87" s="20">
        <v>0.7</v>
      </c>
      <c r="CH87" s="20">
        <v>0.51</v>
      </c>
      <c r="CI87" s="22">
        <v>7842.4</v>
      </c>
      <c r="CJ87" s="20">
        <v>30.16</v>
      </c>
      <c r="CK87" s="20">
        <v>27.9</v>
      </c>
      <c r="CL87" s="20">
        <v>-5.6</v>
      </c>
      <c r="CM87" s="74">
        <v>1000</v>
      </c>
      <c r="CN87" s="22">
        <v>12850.28</v>
      </c>
      <c r="CO87" s="35">
        <f t="shared" si="152"/>
        <v>13850.28</v>
      </c>
      <c r="CP87" s="35">
        <f t="shared" si="153"/>
        <v>1285.028</v>
      </c>
      <c r="CR87" s="15">
        <f t="shared" si="154"/>
        <v>12</v>
      </c>
      <c r="CS87" s="13">
        <f t="shared" si="155"/>
        <v>653.5333333333333</v>
      </c>
      <c r="CT87" s="13">
        <f t="shared" si="156"/>
        <v>1070.8566666666668</v>
      </c>
      <c r="CU87" s="13">
        <f t="shared" si="157"/>
        <v>107.08566666666668</v>
      </c>
      <c r="CW87" s="13">
        <f t="shared" si="158"/>
        <v>7842.4</v>
      </c>
      <c r="CX87" s="13">
        <f t="shared" si="159"/>
        <v>12850.28</v>
      </c>
      <c r="CY87" s="13">
        <f t="shared" si="160"/>
        <v>1285.028</v>
      </c>
    </row>
    <row r="88" spans="1:103" outlineLevel="1" x14ac:dyDescent="0.2">
      <c r="A88" s="43"/>
      <c r="B88" s="10"/>
      <c r="C88" s="3" t="s">
        <v>17</v>
      </c>
      <c r="D88" s="3" t="s">
        <v>113</v>
      </c>
      <c r="E88" s="6" t="s">
        <v>19</v>
      </c>
      <c r="F88" s="3" t="s">
        <v>25</v>
      </c>
      <c r="G88" s="5" t="s">
        <v>50</v>
      </c>
      <c r="H88" s="52" t="b">
        <v>0</v>
      </c>
      <c r="J88" s="46" t="s">
        <v>91</v>
      </c>
      <c r="K88" s="46" t="s">
        <v>91</v>
      </c>
      <c r="L88" s="46" t="s">
        <v>91</v>
      </c>
      <c r="M88" s="56" t="b">
        <v>0</v>
      </c>
      <c r="Q88" s="51" t="b">
        <v>1</v>
      </c>
      <c r="R88" s="50" t="s">
        <v>53</v>
      </c>
      <c r="S88" s="55" t="b">
        <v>1</v>
      </c>
      <c r="T88" s="49">
        <v>13</v>
      </c>
      <c r="U88" s="47">
        <v>1.4999999999999999E-2</v>
      </c>
      <c r="V88" s="49">
        <v>75</v>
      </c>
      <c r="W88" s="49">
        <v>-75</v>
      </c>
      <c r="X88" s="47">
        <v>50</v>
      </c>
      <c r="Y88" s="47">
        <v>5</v>
      </c>
      <c r="Z88" s="51" t="b">
        <v>1</v>
      </c>
      <c r="AA88" s="50" t="s">
        <v>92</v>
      </c>
      <c r="AB88" s="54">
        <v>2</v>
      </c>
      <c r="AC88" s="56" t="b">
        <v>0</v>
      </c>
      <c r="AE88" s="56" t="b">
        <v>0</v>
      </c>
      <c r="AG88" s="55" t="b">
        <v>1</v>
      </c>
      <c r="AH88" s="48">
        <v>5</v>
      </c>
      <c r="AI88" s="48">
        <v>13</v>
      </c>
      <c r="AJ88" s="48">
        <v>34</v>
      </c>
      <c r="AK88" s="48">
        <v>89</v>
      </c>
      <c r="AL88" s="52" t="b">
        <v>0</v>
      </c>
      <c r="AM88" s="51" t="b">
        <v>1</v>
      </c>
      <c r="AN88" s="53" t="s">
        <v>34</v>
      </c>
      <c r="AO88" s="60">
        <v>1.0000000000000001E-5</v>
      </c>
      <c r="AP88" s="51" t="b">
        <v>1</v>
      </c>
      <c r="AQ88" s="60">
        <v>1.0000000000000001E-5</v>
      </c>
      <c r="AR88" s="65">
        <v>8</v>
      </c>
      <c r="AS88" s="65">
        <v>13</v>
      </c>
      <c r="AT88" s="65">
        <v>11</v>
      </c>
      <c r="AU88" s="51" t="b">
        <v>1</v>
      </c>
      <c r="AV88" s="47">
        <v>3</v>
      </c>
      <c r="AW88" s="62">
        <v>5</v>
      </c>
      <c r="AX88" s="47">
        <v>1</v>
      </c>
      <c r="AY88" s="51" t="b">
        <v>1</v>
      </c>
      <c r="AZ88" s="45" t="s">
        <v>73</v>
      </c>
      <c r="BA88" s="45">
        <v>4</v>
      </c>
      <c r="BB88" s="49">
        <v>0.05</v>
      </c>
      <c r="BC88" s="49">
        <v>0.5</v>
      </c>
      <c r="BD88" s="52" t="b">
        <v>0</v>
      </c>
      <c r="BE88" s="45" t="s">
        <v>98</v>
      </c>
      <c r="BF88" s="51" t="b">
        <v>1</v>
      </c>
      <c r="BG88" s="45" t="s">
        <v>71</v>
      </c>
      <c r="BH88" s="54">
        <v>0.02</v>
      </c>
      <c r="BI88" s="70" t="s">
        <v>5</v>
      </c>
      <c r="BJ88" s="51" t="b">
        <v>1</v>
      </c>
      <c r="BK88" s="72">
        <v>1.5</v>
      </c>
      <c r="BL88" s="52" t="b">
        <v>0</v>
      </c>
      <c r="BM88" s="70" t="s">
        <v>6</v>
      </c>
      <c r="BN88" s="51" t="b">
        <v>1</v>
      </c>
      <c r="BO88" s="70" t="s">
        <v>15</v>
      </c>
      <c r="BP88" s="71">
        <v>1</v>
      </c>
      <c r="BQ88" s="71">
        <v>0.5</v>
      </c>
      <c r="BR88" s="75" t="str">
        <f t="shared" ref="BR88" si="166">AH88&amp;"/ "&amp;AI88&amp;"/ "&amp;AJ88&amp;"/ "&amp;AK88</f>
        <v>5/ 13/ 34/ 89</v>
      </c>
      <c r="BS88" s="75" t="str">
        <f t="shared" si="147"/>
        <v>8 / 13 / 11</v>
      </c>
      <c r="BT88" s="75" t="str">
        <f t="shared" si="148"/>
        <v>0.05 / 0.5</v>
      </c>
      <c r="BU88" s="7">
        <v>422</v>
      </c>
      <c r="BV88" s="7">
        <v>259</v>
      </c>
      <c r="BW88" s="7">
        <v>203</v>
      </c>
      <c r="BX88" s="27">
        <f t="shared" si="149"/>
        <v>56</v>
      </c>
      <c r="BY88" s="7">
        <v>45</v>
      </c>
      <c r="BZ88" s="21">
        <f t="shared" si="150"/>
        <v>118</v>
      </c>
      <c r="CA88" s="98">
        <f t="shared" si="162"/>
        <v>0.61374407582938384</v>
      </c>
      <c r="CB88" s="99">
        <f t="shared" si="163"/>
        <v>0.1066350710900474</v>
      </c>
      <c r="CC88" s="20">
        <v>7.13</v>
      </c>
      <c r="CD88" s="20">
        <v>31.3</v>
      </c>
      <c r="CE88" s="20">
        <v>0.48</v>
      </c>
      <c r="CF88" s="77">
        <f t="shared" si="151"/>
        <v>1.5</v>
      </c>
      <c r="CG88" s="20">
        <v>0.71</v>
      </c>
      <c r="CH88" s="20">
        <v>0.52</v>
      </c>
      <c r="CI88" s="22">
        <v>7776.3</v>
      </c>
      <c r="CJ88" s="20">
        <v>30.02</v>
      </c>
      <c r="CK88" s="20">
        <v>27.5</v>
      </c>
      <c r="CL88" s="20">
        <v>-4.57</v>
      </c>
      <c r="CM88" s="74">
        <v>1000</v>
      </c>
      <c r="CN88" s="102">
        <v>13207.55</v>
      </c>
      <c r="CO88" s="103">
        <f t="shared" si="152"/>
        <v>14207.55</v>
      </c>
      <c r="CP88" s="103">
        <f t="shared" si="153"/>
        <v>1320.7549999999999</v>
      </c>
      <c r="CR88" s="15">
        <f t="shared" si="154"/>
        <v>12</v>
      </c>
      <c r="CS88" s="13">
        <f t="shared" si="155"/>
        <v>648.02499999999998</v>
      </c>
      <c r="CT88" s="13">
        <f t="shared" si="156"/>
        <v>1100.6291666666666</v>
      </c>
      <c r="CU88" s="13">
        <f t="shared" si="157"/>
        <v>110.06291666666667</v>
      </c>
      <c r="CW88" s="13">
        <f t="shared" si="158"/>
        <v>7776.3</v>
      </c>
      <c r="CX88" s="13">
        <f t="shared" si="159"/>
        <v>13207.55</v>
      </c>
      <c r="CY88" s="13">
        <f t="shared" si="160"/>
        <v>1320.7549999999999</v>
      </c>
    </row>
    <row r="89" spans="1:103" outlineLevel="1" x14ac:dyDescent="0.2">
      <c r="A89" s="43"/>
      <c r="B89" s="10"/>
      <c r="C89" s="3" t="s">
        <v>17</v>
      </c>
      <c r="D89" s="3" t="s">
        <v>113</v>
      </c>
      <c r="E89" s="6" t="s">
        <v>19</v>
      </c>
      <c r="F89" s="3" t="s">
        <v>25</v>
      </c>
      <c r="G89" s="5" t="s">
        <v>50</v>
      </c>
      <c r="H89" s="52" t="b">
        <v>0</v>
      </c>
      <c r="J89" s="46" t="s">
        <v>91</v>
      </c>
      <c r="K89" s="46" t="s">
        <v>91</v>
      </c>
      <c r="L89" s="46" t="s">
        <v>91</v>
      </c>
      <c r="M89" s="56" t="b">
        <v>0</v>
      </c>
      <c r="Q89" s="51" t="b">
        <v>1</v>
      </c>
      <c r="R89" s="50" t="s">
        <v>53</v>
      </c>
      <c r="S89" s="55" t="b">
        <v>1</v>
      </c>
      <c r="T89" s="49">
        <v>13</v>
      </c>
      <c r="U89" s="47">
        <v>1.4999999999999999E-2</v>
      </c>
      <c r="V89" s="49">
        <v>75</v>
      </c>
      <c r="W89" s="49">
        <v>-75</v>
      </c>
      <c r="X89" s="47">
        <v>50</v>
      </c>
      <c r="Y89" s="47">
        <v>5</v>
      </c>
      <c r="Z89" s="51" t="b">
        <v>1</v>
      </c>
      <c r="AA89" s="50" t="s">
        <v>92</v>
      </c>
      <c r="AB89" s="54">
        <v>2</v>
      </c>
      <c r="AC89" s="56" t="b">
        <v>0</v>
      </c>
      <c r="AE89" s="56" t="b">
        <v>0</v>
      </c>
      <c r="AG89" s="55" t="b">
        <v>1</v>
      </c>
      <c r="AH89" s="48">
        <v>5</v>
      </c>
      <c r="AI89" s="48">
        <v>13</v>
      </c>
      <c r="AJ89" s="48">
        <v>34</v>
      </c>
      <c r="AK89" s="48">
        <v>89</v>
      </c>
      <c r="AL89" s="52" t="b">
        <v>0</v>
      </c>
      <c r="AM89" s="51" t="b">
        <v>1</v>
      </c>
      <c r="AN89" s="53" t="s">
        <v>34</v>
      </c>
      <c r="AO89" s="60">
        <v>1.0000000000000001E-5</v>
      </c>
      <c r="AP89" s="51" t="b">
        <v>1</v>
      </c>
      <c r="AQ89" s="60">
        <v>1.0000000000000001E-5</v>
      </c>
      <c r="AR89" s="66">
        <v>8</v>
      </c>
      <c r="AS89" s="66">
        <v>17</v>
      </c>
      <c r="AT89" s="66">
        <v>9</v>
      </c>
      <c r="AU89" s="51" t="b">
        <v>1</v>
      </c>
      <c r="AV89" s="47">
        <v>3</v>
      </c>
      <c r="AW89" s="62">
        <v>5</v>
      </c>
      <c r="AX89" s="47">
        <v>1</v>
      </c>
      <c r="AY89" s="51" t="b">
        <v>1</v>
      </c>
      <c r="AZ89" s="45" t="s">
        <v>73</v>
      </c>
      <c r="BA89" s="45">
        <v>4</v>
      </c>
      <c r="BB89" s="49">
        <v>0.05</v>
      </c>
      <c r="BC89" s="49">
        <v>0.5</v>
      </c>
      <c r="BD89" s="52" t="b">
        <v>0</v>
      </c>
      <c r="BE89" s="45" t="s">
        <v>98</v>
      </c>
      <c r="BF89" s="51" t="b">
        <v>1</v>
      </c>
      <c r="BG89" s="45" t="s">
        <v>71</v>
      </c>
      <c r="BH89" s="54">
        <v>0.02</v>
      </c>
      <c r="BI89" s="70" t="s">
        <v>5</v>
      </c>
      <c r="BJ89" s="51" t="b">
        <v>1</v>
      </c>
      <c r="BK89" s="72">
        <v>1.5</v>
      </c>
      <c r="BL89" s="52" t="b">
        <v>0</v>
      </c>
      <c r="BM89" s="70" t="s">
        <v>6</v>
      </c>
      <c r="BN89" s="51" t="b">
        <v>1</v>
      </c>
      <c r="BO89" s="70" t="s">
        <v>15</v>
      </c>
      <c r="BP89" s="71">
        <v>1</v>
      </c>
      <c r="BQ89" s="71">
        <v>0.5</v>
      </c>
      <c r="BR89" s="75" t="str">
        <f t="shared" ref="BR89" si="167">AH89&amp;"/ "&amp;AI89&amp;"/ "&amp;AJ89&amp;"/ "&amp;AK89</f>
        <v>5/ 13/ 34/ 89</v>
      </c>
      <c r="BS89" s="75" t="str">
        <f t="shared" si="147"/>
        <v>8 / 17 / 9</v>
      </c>
      <c r="BT89" s="75" t="str">
        <f t="shared" si="148"/>
        <v>0.05 / 0.5</v>
      </c>
      <c r="BU89" s="7">
        <v>413</v>
      </c>
      <c r="BV89" s="7">
        <v>254</v>
      </c>
      <c r="BW89" s="7">
        <v>203</v>
      </c>
      <c r="BX89" s="27">
        <f t="shared" si="149"/>
        <v>51</v>
      </c>
      <c r="BY89" s="7">
        <v>46</v>
      </c>
      <c r="BZ89" s="21">
        <f t="shared" si="150"/>
        <v>113</v>
      </c>
      <c r="CA89" s="98">
        <f t="shared" si="162"/>
        <v>0.61501210653753025</v>
      </c>
      <c r="CB89" s="99">
        <f t="shared" si="163"/>
        <v>0.11138014527845036</v>
      </c>
      <c r="CC89" s="20">
        <v>7.16</v>
      </c>
      <c r="CD89" s="20">
        <v>29.54</v>
      </c>
      <c r="CE89" s="20">
        <v>0.48</v>
      </c>
      <c r="CF89" s="77">
        <f t="shared" si="151"/>
        <v>1.5</v>
      </c>
      <c r="CG89" s="20">
        <v>0.69</v>
      </c>
      <c r="CH89" s="20">
        <v>0.51</v>
      </c>
      <c r="CI89" s="22">
        <v>7585.4</v>
      </c>
      <c r="CJ89" s="20">
        <v>29.86</v>
      </c>
      <c r="CK89" s="20">
        <v>27.56</v>
      </c>
      <c r="CL89" s="20">
        <v>-6.03</v>
      </c>
      <c r="CM89" s="74">
        <v>1000</v>
      </c>
      <c r="CN89" s="22">
        <v>12201.2</v>
      </c>
      <c r="CO89" s="35">
        <f t="shared" si="152"/>
        <v>13201.2</v>
      </c>
      <c r="CP89" s="35">
        <f t="shared" si="153"/>
        <v>1220.1200000000001</v>
      </c>
      <c r="CR89" s="15">
        <f t="shared" si="154"/>
        <v>12</v>
      </c>
      <c r="CS89" s="13">
        <f t="shared" si="155"/>
        <v>632.11666666666667</v>
      </c>
      <c r="CT89" s="13">
        <f t="shared" si="156"/>
        <v>1016.7666666666668</v>
      </c>
      <c r="CU89" s="13">
        <f t="shared" si="157"/>
        <v>101.67666666666668</v>
      </c>
      <c r="CW89" s="13">
        <f t="shared" si="158"/>
        <v>7585.4</v>
      </c>
      <c r="CX89" s="13">
        <f t="shared" si="159"/>
        <v>12201.2</v>
      </c>
      <c r="CY89" s="13">
        <f t="shared" si="160"/>
        <v>1220.1200000000001</v>
      </c>
    </row>
    <row r="90" spans="1:103" outlineLevel="1" x14ac:dyDescent="0.2">
      <c r="A90" s="43"/>
      <c r="B90" s="10"/>
      <c r="C90" s="3" t="s">
        <v>17</v>
      </c>
      <c r="D90" s="3" t="s">
        <v>113</v>
      </c>
      <c r="E90" s="6" t="s">
        <v>19</v>
      </c>
      <c r="F90" s="3" t="s">
        <v>25</v>
      </c>
      <c r="G90" s="5" t="s">
        <v>50</v>
      </c>
      <c r="H90" s="52" t="b">
        <v>0</v>
      </c>
      <c r="J90" s="46" t="s">
        <v>91</v>
      </c>
      <c r="K90" s="46" t="s">
        <v>91</v>
      </c>
      <c r="L90" s="46" t="s">
        <v>91</v>
      </c>
      <c r="M90" s="56" t="b">
        <v>0</v>
      </c>
      <c r="Q90" s="51" t="b">
        <v>1</v>
      </c>
      <c r="R90" s="50" t="s">
        <v>53</v>
      </c>
      <c r="S90" s="55" t="b">
        <v>1</v>
      </c>
      <c r="T90" s="49">
        <v>13</v>
      </c>
      <c r="U90" s="47">
        <v>1.4999999999999999E-2</v>
      </c>
      <c r="V90" s="49">
        <v>75</v>
      </c>
      <c r="W90" s="49">
        <v>-75</v>
      </c>
      <c r="X90" s="47">
        <v>50</v>
      </c>
      <c r="Y90" s="47">
        <v>5</v>
      </c>
      <c r="Z90" s="51" t="b">
        <v>1</v>
      </c>
      <c r="AA90" s="50" t="s">
        <v>92</v>
      </c>
      <c r="AB90" s="54">
        <v>2</v>
      </c>
      <c r="AC90" s="56" t="b">
        <v>0</v>
      </c>
      <c r="AE90" s="56" t="b">
        <v>0</v>
      </c>
      <c r="AG90" s="55" t="b">
        <v>1</v>
      </c>
      <c r="AH90" s="48">
        <v>5</v>
      </c>
      <c r="AI90" s="48">
        <v>13</v>
      </c>
      <c r="AJ90" s="48">
        <v>34</v>
      </c>
      <c r="AK90" s="48">
        <v>89</v>
      </c>
      <c r="AL90" s="52" t="b">
        <v>0</v>
      </c>
      <c r="AM90" s="51" t="b">
        <v>1</v>
      </c>
      <c r="AN90" s="53" t="s">
        <v>34</v>
      </c>
      <c r="AO90" s="60">
        <v>1.0000000000000001E-5</v>
      </c>
      <c r="AP90" s="51" t="b">
        <v>1</v>
      </c>
      <c r="AQ90" s="60">
        <v>1.0000000000000001E-5</v>
      </c>
      <c r="AR90" s="67">
        <v>12</v>
      </c>
      <c r="AS90" s="67">
        <v>26</v>
      </c>
      <c r="AT90" s="67">
        <v>9</v>
      </c>
      <c r="AU90" s="51" t="b">
        <v>1</v>
      </c>
      <c r="AV90" s="47">
        <v>3</v>
      </c>
      <c r="AW90" s="62">
        <v>5</v>
      </c>
      <c r="AX90" s="47">
        <v>1</v>
      </c>
      <c r="AY90" s="51" t="b">
        <v>1</v>
      </c>
      <c r="AZ90" s="45" t="s">
        <v>73</v>
      </c>
      <c r="BA90" s="45">
        <v>4</v>
      </c>
      <c r="BB90" s="49">
        <v>0.05</v>
      </c>
      <c r="BC90" s="49">
        <v>0.5</v>
      </c>
      <c r="BD90" s="52" t="b">
        <v>0</v>
      </c>
      <c r="BE90" s="45" t="s">
        <v>98</v>
      </c>
      <c r="BF90" s="51" t="b">
        <v>1</v>
      </c>
      <c r="BG90" s="45" t="s">
        <v>71</v>
      </c>
      <c r="BH90" s="54">
        <v>0.02</v>
      </c>
      <c r="BI90" s="70" t="s">
        <v>5</v>
      </c>
      <c r="BJ90" s="51" t="b">
        <v>1</v>
      </c>
      <c r="BK90" s="72">
        <v>1.5</v>
      </c>
      <c r="BL90" s="52" t="b">
        <v>0</v>
      </c>
      <c r="BM90" s="70" t="s">
        <v>6</v>
      </c>
      <c r="BN90" s="51" t="b">
        <v>1</v>
      </c>
      <c r="BO90" s="70" t="s">
        <v>15</v>
      </c>
      <c r="BP90" s="71">
        <v>1</v>
      </c>
      <c r="BQ90" s="71">
        <v>0.5</v>
      </c>
      <c r="BR90" s="75" t="str">
        <f t="shared" ref="BR90:BR91" si="168">AH90&amp;"/ "&amp;AI90&amp;"/ "&amp;AJ90&amp;"/ "&amp;AK90</f>
        <v>5/ 13/ 34/ 89</v>
      </c>
      <c r="BS90" s="75" t="str">
        <f t="shared" si="147"/>
        <v>12 / 26 / 9</v>
      </c>
      <c r="BT90" s="75" t="str">
        <f t="shared" si="148"/>
        <v>0.05 / 0.5</v>
      </c>
      <c r="BU90" s="7">
        <v>420</v>
      </c>
      <c r="BV90" s="7">
        <v>250</v>
      </c>
      <c r="BW90" s="7">
        <v>196</v>
      </c>
      <c r="BX90" s="27">
        <f t="shared" si="149"/>
        <v>54</v>
      </c>
      <c r="BY90" s="7">
        <v>48</v>
      </c>
      <c r="BZ90" s="21">
        <f t="shared" si="150"/>
        <v>122</v>
      </c>
      <c r="CA90" s="98">
        <f t="shared" si="162"/>
        <v>0.59523809523809523</v>
      </c>
      <c r="CB90" s="99">
        <f t="shared" si="163"/>
        <v>0.11428571428571428</v>
      </c>
      <c r="CC90" s="20">
        <v>6.15</v>
      </c>
      <c r="CD90" s="20">
        <v>30.01</v>
      </c>
      <c r="CE90" s="20">
        <v>0.45</v>
      </c>
      <c r="CF90" s="77">
        <f t="shared" si="151"/>
        <v>1.5</v>
      </c>
      <c r="CG90" s="20">
        <v>0.72</v>
      </c>
      <c r="CH90" s="20">
        <v>0.51</v>
      </c>
      <c r="CI90" s="22">
        <v>7467.3</v>
      </c>
      <c r="CJ90" s="20">
        <v>29.87</v>
      </c>
      <c r="CK90" s="20">
        <v>27.26</v>
      </c>
      <c r="CL90" s="20">
        <v>-4.3899999999999997</v>
      </c>
      <c r="CM90" s="74">
        <v>1000</v>
      </c>
      <c r="CN90" s="22">
        <v>12605.36</v>
      </c>
      <c r="CO90" s="35">
        <f t="shared" si="152"/>
        <v>13605.36</v>
      </c>
      <c r="CP90" s="35">
        <f t="shared" si="153"/>
        <v>1260.5360000000001</v>
      </c>
      <c r="CR90" s="15">
        <f t="shared" si="154"/>
        <v>12</v>
      </c>
      <c r="CS90" s="13">
        <f t="shared" si="155"/>
        <v>622.27499999999998</v>
      </c>
      <c r="CT90" s="13">
        <f t="shared" si="156"/>
        <v>1050.4466666666667</v>
      </c>
      <c r="CU90" s="13">
        <f t="shared" si="157"/>
        <v>105.04466666666667</v>
      </c>
      <c r="CW90" s="13">
        <f t="shared" si="158"/>
        <v>7467.3</v>
      </c>
      <c r="CX90" s="13">
        <f t="shared" si="159"/>
        <v>12605.36</v>
      </c>
      <c r="CY90" s="13">
        <f t="shared" si="160"/>
        <v>1260.5360000000001</v>
      </c>
    </row>
    <row r="91" spans="1:103" outlineLevel="1" x14ac:dyDescent="0.2">
      <c r="A91" s="43"/>
      <c r="B91" s="10"/>
      <c r="C91" s="3" t="s">
        <v>17</v>
      </c>
      <c r="D91" s="3" t="s">
        <v>113</v>
      </c>
      <c r="E91" s="6" t="s">
        <v>19</v>
      </c>
      <c r="F91" s="3" t="s">
        <v>25</v>
      </c>
      <c r="G91" s="5" t="s">
        <v>50</v>
      </c>
      <c r="H91" s="52" t="b">
        <v>0</v>
      </c>
      <c r="J91" s="46" t="s">
        <v>91</v>
      </c>
      <c r="K91" s="46" t="s">
        <v>91</v>
      </c>
      <c r="L91" s="46" t="s">
        <v>91</v>
      </c>
      <c r="M91" s="56" t="b">
        <v>0</v>
      </c>
      <c r="Q91" s="51" t="b">
        <v>1</v>
      </c>
      <c r="R91" s="50" t="s">
        <v>53</v>
      </c>
      <c r="S91" s="55" t="b">
        <v>1</v>
      </c>
      <c r="T91" s="49">
        <v>13</v>
      </c>
      <c r="U91" s="47">
        <v>1.4999999999999999E-2</v>
      </c>
      <c r="V91" s="49">
        <v>75</v>
      </c>
      <c r="W91" s="49">
        <v>-75</v>
      </c>
      <c r="X91" s="47">
        <v>50</v>
      </c>
      <c r="Y91" s="47">
        <v>5</v>
      </c>
      <c r="Z91" s="51" t="b">
        <v>1</v>
      </c>
      <c r="AA91" s="50" t="s">
        <v>92</v>
      </c>
      <c r="AB91" s="54">
        <v>2</v>
      </c>
      <c r="AC91" s="56" t="b">
        <v>0</v>
      </c>
      <c r="AE91" s="56" t="b">
        <v>0</v>
      </c>
      <c r="AG91" s="55" t="b">
        <v>1</v>
      </c>
      <c r="AH91" s="48">
        <v>5</v>
      </c>
      <c r="AI91" s="48">
        <v>13</v>
      </c>
      <c r="AJ91" s="48">
        <v>34</v>
      </c>
      <c r="AK91" s="48">
        <v>89</v>
      </c>
      <c r="AL91" s="52" t="b">
        <v>0</v>
      </c>
      <c r="AM91" s="51" t="b">
        <v>1</v>
      </c>
      <c r="AN91" s="53" t="s">
        <v>34</v>
      </c>
      <c r="AO91" s="60">
        <v>1.0000000000000001E-5</v>
      </c>
      <c r="AP91" s="51" t="b">
        <v>1</v>
      </c>
      <c r="AQ91" s="60">
        <v>1.0000000000000001E-5</v>
      </c>
      <c r="AR91" s="56">
        <v>21</v>
      </c>
      <c r="AS91" s="56">
        <v>34</v>
      </c>
      <c r="AT91" s="56">
        <v>9</v>
      </c>
      <c r="AU91" s="51" t="b">
        <v>1</v>
      </c>
      <c r="AV91" s="47">
        <v>3</v>
      </c>
      <c r="AW91" s="62">
        <v>5</v>
      </c>
      <c r="AX91" s="47">
        <v>1</v>
      </c>
      <c r="AY91" s="51" t="b">
        <v>1</v>
      </c>
      <c r="AZ91" s="45" t="s">
        <v>73</v>
      </c>
      <c r="BA91" s="45">
        <v>4</v>
      </c>
      <c r="BB91" s="49">
        <v>0.05</v>
      </c>
      <c r="BC91" s="49">
        <v>0.5</v>
      </c>
      <c r="BD91" s="52" t="b">
        <v>0</v>
      </c>
      <c r="BE91" s="45" t="s">
        <v>98</v>
      </c>
      <c r="BF91" s="51" t="b">
        <v>1</v>
      </c>
      <c r="BG91" s="45" t="s">
        <v>71</v>
      </c>
      <c r="BH91" s="54">
        <v>0.02</v>
      </c>
      <c r="BI91" s="70" t="s">
        <v>5</v>
      </c>
      <c r="BJ91" s="51" t="b">
        <v>1</v>
      </c>
      <c r="BK91" s="72">
        <v>1.5</v>
      </c>
      <c r="BL91" s="52" t="b">
        <v>0</v>
      </c>
      <c r="BM91" s="70" t="s">
        <v>6</v>
      </c>
      <c r="BN91" s="51" t="b">
        <v>1</v>
      </c>
      <c r="BO91" s="70" t="s">
        <v>15</v>
      </c>
      <c r="BP91" s="71">
        <v>1</v>
      </c>
      <c r="BQ91" s="71">
        <v>0.5</v>
      </c>
      <c r="BR91" s="75" t="str">
        <f t="shared" si="168"/>
        <v>5/ 13/ 34/ 89</v>
      </c>
      <c r="BS91" s="75" t="str">
        <f t="shared" si="147"/>
        <v>21 / 34 / 9</v>
      </c>
      <c r="BT91" s="75" t="str">
        <f t="shared" si="148"/>
        <v>0.05 / 0.5</v>
      </c>
      <c r="BU91" s="7">
        <v>419</v>
      </c>
      <c r="BV91" s="7">
        <v>242</v>
      </c>
      <c r="BW91" s="7">
        <v>190</v>
      </c>
      <c r="BX91" s="27">
        <f t="shared" si="149"/>
        <v>52</v>
      </c>
      <c r="BY91" s="7">
        <v>51</v>
      </c>
      <c r="BZ91" s="21">
        <f t="shared" si="150"/>
        <v>126</v>
      </c>
      <c r="CA91" s="98">
        <f t="shared" si="162"/>
        <v>0.57756563245823389</v>
      </c>
      <c r="CB91" s="99">
        <f t="shared" si="163"/>
        <v>0.12171837708830549</v>
      </c>
      <c r="CC91" s="20">
        <v>5.39</v>
      </c>
      <c r="CD91" s="20">
        <v>28.11</v>
      </c>
      <c r="CE91" s="20">
        <v>0.43</v>
      </c>
      <c r="CF91" s="77">
        <f t="shared" si="151"/>
        <v>1.5</v>
      </c>
      <c r="CG91" s="20">
        <v>0.72</v>
      </c>
      <c r="CH91" s="20">
        <v>0.56000000000000005</v>
      </c>
      <c r="CI91" s="22">
        <v>7278.7</v>
      </c>
      <c r="CJ91" s="20">
        <v>30.08</v>
      </c>
      <c r="CK91" s="20">
        <v>27.74</v>
      </c>
      <c r="CL91" s="20">
        <v>-6.3</v>
      </c>
      <c r="CM91" s="74">
        <v>1000</v>
      </c>
      <c r="CN91" s="22">
        <v>11776.98</v>
      </c>
      <c r="CO91" s="35">
        <f t="shared" si="152"/>
        <v>12776.98</v>
      </c>
      <c r="CP91" s="35">
        <f t="shared" si="153"/>
        <v>1177.6979999999999</v>
      </c>
      <c r="CR91" s="15">
        <f t="shared" si="154"/>
        <v>12</v>
      </c>
      <c r="CS91" s="13">
        <f t="shared" si="155"/>
        <v>606.55833333333328</v>
      </c>
      <c r="CT91" s="13">
        <f t="shared" si="156"/>
        <v>981.41499999999996</v>
      </c>
      <c r="CU91" s="13">
        <f t="shared" si="157"/>
        <v>98.141499999999994</v>
      </c>
      <c r="CW91" s="13">
        <f t="shared" si="158"/>
        <v>7278.7</v>
      </c>
      <c r="CX91" s="13">
        <f t="shared" si="159"/>
        <v>11776.98</v>
      </c>
      <c r="CY91" s="13">
        <f t="shared" si="160"/>
        <v>1177.6979999999999</v>
      </c>
    </row>
    <row r="92" spans="1:103" s="37" customFormat="1" x14ac:dyDescent="0.2">
      <c r="G92" s="104"/>
      <c r="H92" s="85"/>
      <c r="I92" s="85"/>
      <c r="J92" s="86"/>
      <c r="K92" s="86"/>
      <c r="L92" s="86"/>
      <c r="M92" s="63"/>
      <c r="N92" s="63"/>
      <c r="O92" s="63"/>
      <c r="P92" s="63"/>
      <c r="Q92" s="85"/>
      <c r="R92" s="85"/>
      <c r="S92" s="63"/>
      <c r="T92" s="63"/>
      <c r="U92" s="63"/>
      <c r="V92" s="63"/>
      <c r="W92" s="63"/>
      <c r="X92" s="63"/>
      <c r="Y92" s="63"/>
      <c r="Z92" s="85"/>
      <c r="AA92" s="85"/>
      <c r="AB92" s="85"/>
      <c r="AC92" s="87"/>
      <c r="AD92" s="87"/>
      <c r="AE92" s="87"/>
      <c r="AF92" s="63"/>
      <c r="AG92" s="63"/>
      <c r="AH92" s="63"/>
      <c r="AI92" s="63"/>
      <c r="AJ92" s="63"/>
      <c r="AK92" s="63"/>
      <c r="AL92" s="85"/>
      <c r="AM92" s="85"/>
      <c r="AN92" s="85"/>
      <c r="AO92" s="85"/>
      <c r="AP92" s="85"/>
      <c r="AQ92" s="85"/>
      <c r="AR92" s="85"/>
      <c r="AS92" s="89"/>
      <c r="AT92" s="90"/>
      <c r="AU92" s="85"/>
      <c r="AV92" s="63"/>
      <c r="AW92" s="63"/>
      <c r="AX92" s="63"/>
      <c r="AY92" s="85"/>
      <c r="AZ92" s="85"/>
      <c r="BA92" s="85"/>
      <c r="BB92" s="90"/>
      <c r="BC92" s="91"/>
      <c r="BD92" s="85"/>
      <c r="BE92" s="85"/>
      <c r="BF92" s="85"/>
      <c r="BG92" s="85"/>
      <c r="BH92" s="85"/>
      <c r="BI92" s="91"/>
      <c r="BJ92" s="85"/>
      <c r="BK92" s="92"/>
      <c r="BL92" s="85"/>
      <c r="BM92" s="91"/>
      <c r="BN92" s="85"/>
      <c r="BO92" s="91"/>
      <c r="BP92" s="93"/>
      <c r="BQ92" s="93"/>
      <c r="BS92" s="94"/>
      <c r="BT92" s="94"/>
      <c r="BU92" s="95"/>
      <c r="CB92" s="97"/>
      <c r="CF92" s="96"/>
    </row>
    <row r="93" spans="1:103" x14ac:dyDescent="0.2">
      <c r="A93" s="43">
        <v>250706</v>
      </c>
      <c r="B93" s="10" t="s">
        <v>129</v>
      </c>
      <c r="C93" s="3" t="s">
        <v>17</v>
      </c>
      <c r="D93" s="3" t="s">
        <v>23</v>
      </c>
      <c r="E93" s="6" t="s">
        <v>19</v>
      </c>
      <c r="F93" s="3" t="s">
        <v>25</v>
      </c>
      <c r="G93" s="5" t="s">
        <v>50</v>
      </c>
      <c r="H93" s="52" t="b">
        <v>0</v>
      </c>
      <c r="J93" s="46" t="s">
        <v>91</v>
      </c>
      <c r="K93" s="46" t="s">
        <v>91</v>
      </c>
      <c r="L93" s="46" t="s">
        <v>91</v>
      </c>
      <c r="M93" s="56" t="b">
        <v>0</v>
      </c>
      <c r="Q93" s="51" t="b">
        <v>1</v>
      </c>
      <c r="R93" s="50" t="s">
        <v>53</v>
      </c>
      <c r="S93" s="55" t="b">
        <v>1</v>
      </c>
      <c r="T93" s="49">
        <v>13</v>
      </c>
      <c r="U93" s="47">
        <v>1.4999999999999999E-2</v>
      </c>
      <c r="V93" s="49">
        <v>75</v>
      </c>
      <c r="W93" s="49">
        <v>-75</v>
      </c>
      <c r="X93" s="47">
        <v>50</v>
      </c>
      <c r="Y93" s="47">
        <v>5</v>
      </c>
      <c r="Z93" s="51" t="b">
        <v>1</v>
      </c>
      <c r="AA93" s="50" t="s">
        <v>92</v>
      </c>
      <c r="AB93" s="54">
        <v>2</v>
      </c>
      <c r="AC93" s="56" t="b">
        <v>0</v>
      </c>
      <c r="AE93" s="56" t="b">
        <v>0</v>
      </c>
      <c r="AG93" s="55" t="b">
        <v>1</v>
      </c>
      <c r="AH93" s="48">
        <v>5</v>
      </c>
      <c r="AI93" s="48">
        <v>13</v>
      </c>
      <c r="AJ93" s="48">
        <v>34</v>
      </c>
      <c r="AK93" s="48">
        <v>89</v>
      </c>
      <c r="AL93" s="52" t="b">
        <v>0</v>
      </c>
      <c r="AM93" s="51" t="b">
        <v>1</v>
      </c>
      <c r="AN93" s="53" t="s">
        <v>34</v>
      </c>
      <c r="AO93" s="60">
        <v>1.0000000000000001E-5</v>
      </c>
      <c r="AP93" s="51" t="b">
        <v>1</v>
      </c>
      <c r="AQ93" s="60">
        <v>1.0000000000000001E-5</v>
      </c>
      <c r="AR93" s="49">
        <v>5</v>
      </c>
      <c r="AS93" s="49">
        <v>8</v>
      </c>
      <c r="AT93" s="49">
        <v>5</v>
      </c>
      <c r="AU93" s="51" t="b">
        <v>1</v>
      </c>
      <c r="AV93" s="47">
        <v>3</v>
      </c>
      <c r="AW93" s="62">
        <v>5</v>
      </c>
      <c r="AX93" s="47">
        <v>1</v>
      </c>
      <c r="AY93" s="51" t="b">
        <v>1</v>
      </c>
      <c r="AZ93" s="45" t="s">
        <v>73</v>
      </c>
      <c r="BA93" s="45">
        <v>4</v>
      </c>
      <c r="BB93" s="49">
        <v>0.05</v>
      </c>
      <c r="BC93" s="49">
        <v>0.5</v>
      </c>
      <c r="BD93" s="52" t="b">
        <v>0</v>
      </c>
      <c r="BE93" s="45" t="s">
        <v>98</v>
      </c>
      <c r="BF93" s="51" t="b">
        <v>1</v>
      </c>
      <c r="BG93" s="45" t="s">
        <v>71</v>
      </c>
      <c r="BH93" s="54">
        <v>0.02</v>
      </c>
      <c r="BI93" s="70" t="s">
        <v>5</v>
      </c>
      <c r="BJ93" s="51" t="b">
        <v>1</v>
      </c>
      <c r="BK93" s="72">
        <v>1.5</v>
      </c>
      <c r="BL93" s="52" t="b">
        <v>0</v>
      </c>
      <c r="BM93" s="70" t="s">
        <v>6</v>
      </c>
      <c r="BN93" s="51" t="b">
        <v>1</v>
      </c>
      <c r="BO93" s="70" t="s">
        <v>15</v>
      </c>
      <c r="BP93" s="71">
        <v>1</v>
      </c>
      <c r="BQ93" s="71">
        <v>0.5</v>
      </c>
      <c r="BR93" s="75" t="str">
        <f t="shared" ref="BR93" si="169">AH93&amp;"/ "&amp;AI93&amp;"/ "&amp;AJ93&amp;"/ "&amp;AK93</f>
        <v>5/ 13/ 34/ 89</v>
      </c>
      <c r="BS93" s="75" t="str">
        <f t="shared" ref="BS93:BS100" si="170">AR93&amp;" / "&amp;AS93&amp;" / "&amp;AT93</f>
        <v>5 / 8 / 5</v>
      </c>
      <c r="BT93" s="75" t="str">
        <f t="shared" ref="BT93:BT100" si="171">BB93&amp;" / "&amp;BC93</f>
        <v>0.05 / 0.5</v>
      </c>
      <c r="BU93" s="7">
        <v>1654</v>
      </c>
      <c r="BV93" s="7">
        <v>1010</v>
      </c>
      <c r="BW93" s="7">
        <v>834</v>
      </c>
      <c r="BX93" s="27">
        <f t="shared" ref="BX93:BX100" si="172">BV93-BW93</f>
        <v>176</v>
      </c>
      <c r="BY93" s="7">
        <v>160</v>
      </c>
      <c r="BZ93" s="21">
        <f t="shared" ref="BZ93:BZ100" si="173">BU93-SUM(BW93:BY93)</f>
        <v>484</v>
      </c>
      <c r="CA93" s="98">
        <f>IF(BU93=0,0,BV93/BU93)</f>
        <v>0.61064087061668681</v>
      </c>
      <c r="CB93" s="99">
        <f>IF(BU93=0,0,BY93/BU93)</f>
        <v>9.6735187424425634E-2</v>
      </c>
      <c r="CC93" s="20">
        <v>5.54</v>
      </c>
      <c r="CD93" s="20">
        <v>44.26</v>
      </c>
      <c r="CE93" s="20">
        <v>0.5</v>
      </c>
      <c r="CF93" s="77">
        <f t="shared" ref="CF93:CF100" si="174">BK93</f>
        <v>1.5</v>
      </c>
      <c r="CG93" s="20">
        <v>0.66</v>
      </c>
      <c r="CH93" s="20">
        <v>0.52</v>
      </c>
      <c r="CI93" s="22">
        <v>14285.8</v>
      </c>
      <c r="CJ93" s="20">
        <v>14.14</v>
      </c>
      <c r="CK93" s="20">
        <v>13.92</v>
      </c>
      <c r="CL93" s="20">
        <v>-5.47</v>
      </c>
      <c r="CM93" s="74">
        <v>1000</v>
      </c>
      <c r="CN93" s="22">
        <v>73205.37</v>
      </c>
      <c r="CO93" s="35">
        <f t="shared" ref="CO93:CO100" si="175">CM93+CN93</f>
        <v>74205.37</v>
      </c>
      <c r="CP93" s="35">
        <f t="shared" ref="CP93:CP100" si="176">CN93/10</f>
        <v>7320.5369999999994</v>
      </c>
      <c r="CR93" s="15">
        <f t="shared" ref="CR93:CR100" si="177">CR$4</f>
        <v>12</v>
      </c>
      <c r="CS93" s="13">
        <f t="shared" ref="CS93:CS100" si="178">CI93/CR93</f>
        <v>1190.4833333333333</v>
      </c>
      <c r="CT93" s="13">
        <f t="shared" ref="CT93:CT100" si="179">CN93/CR93</f>
        <v>6100.4474999999993</v>
      </c>
      <c r="CU93" s="13">
        <f t="shared" ref="CU93:CU100" si="180">CT93/10</f>
        <v>610.04474999999991</v>
      </c>
      <c r="CW93" s="13">
        <f t="shared" ref="CW93:CW100" si="181">CI93</f>
        <v>14285.8</v>
      </c>
      <c r="CX93" s="13">
        <f t="shared" ref="CX93:CX100" si="182">CN93</f>
        <v>73205.37</v>
      </c>
      <c r="CY93" s="13">
        <f t="shared" ref="CY93:CY100" si="183">CP93</f>
        <v>7320.5369999999994</v>
      </c>
    </row>
    <row r="94" spans="1:103" x14ac:dyDescent="0.2">
      <c r="A94" s="43"/>
      <c r="B94" s="10"/>
      <c r="C94" s="3" t="s">
        <v>17</v>
      </c>
      <c r="D94" s="3" t="s">
        <v>23</v>
      </c>
      <c r="E94" s="6" t="s">
        <v>19</v>
      </c>
      <c r="F94" s="3" t="s">
        <v>25</v>
      </c>
      <c r="G94" s="5" t="s">
        <v>50</v>
      </c>
      <c r="H94" s="52" t="b">
        <v>0</v>
      </c>
      <c r="J94" s="46" t="s">
        <v>91</v>
      </c>
      <c r="K94" s="46" t="s">
        <v>91</v>
      </c>
      <c r="L94" s="46" t="s">
        <v>91</v>
      </c>
      <c r="M94" s="56" t="b">
        <v>0</v>
      </c>
      <c r="Q94" s="51" t="b">
        <v>1</v>
      </c>
      <c r="R94" s="50" t="s">
        <v>53</v>
      </c>
      <c r="S94" s="55" t="b">
        <v>1</v>
      </c>
      <c r="T94" s="49">
        <v>13</v>
      </c>
      <c r="U94" s="47">
        <v>1.4999999999999999E-2</v>
      </c>
      <c r="V94" s="49">
        <v>75</v>
      </c>
      <c r="W94" s="49">
        <v>-75</v>
      </c>
      <c r="X94" s="47">
        <v>50</v>
      </c>
      <c r="Y94" s="47">
        <v>5</v>
      </c>
      <c r="Z94" s="51" t="b">
        <v>1</v>
      </c>
      <c r="AA94" s="50" t="s">
        <v>92</v>
      </c>
      <c r="AB94" s="54">
        <v>2</v>
      </c>
      <c r="AC94" s="56" t="b">
        <v>0</v>
      </c>
      <c r="AE94" s="56" t="b">
        <v>0</v>
      </c>
      <c r="AG94" s="55" t="b">
        <v>1</v>
      </c>
      <c r="AH94" s="48">
        <v>5</v>
      </c>
      <c r="AI94" s="48">
        <v>13</v>
      </c>
      <c r="AJ94" s="48">
        <v>34</v>
      </c>
      <c r="AK94" s="48">
        <v>89</v>
      </c>
      <c r="AL94" s="52" t="b">
        <v>0</v>
      </c>
      <c r="AM94" s="51" t="b">
        <v>1</v>
      </c>
      <c r="AN94" s="53" t="s">
        <v>34</v>
      </c>
      <c r="AO94" s="60">
        <v>1.0000000000000001E-5</v>
      </c>
      <c r="AP94" s="51" t="b">
        <v>1</v>
      </c>
      <c r="AQ94" s="60">
        <v>1.0000000000000001E-5</v>
      </c>
      <c r="AR94" s="56">
        <v>5</v>
      </c>
      <c r="AS94" s="56">
        <v>13</v>
      </c>
      <c r="AT94" s="56">
        <v>5</v>
      </c>
      <c r="AU94" s="51" t="b">
        <v>1</v>
      </c>
      <c r="AV94" s="47">
        <v>3</v>
      </c>
      <c r="AW94" s="62">
        <v>5</v>
      </c>
      <c r="AX94" s="47">
        <v>1</v>
      </c>
      <c r="AY94" s="51" t="b">
        <v>1</v>
      </c>
      <c r="AZ94" s="45" t="s">
        <v>73</v>
      </c>
      <c r="BA94" s="45">
        <v>4</v>
      </c>
      <c r="BB94" s="49">
        <v>0.05</v>
      </c>
      <c r="BC94" s="49">
        <v>0.5</v>
      </c>
      <c r="BD94" s="52" t="b">
        <v>0</v>
      </c>
      <c r="BE94" s="45" t="s">
        <v>98</v>
      </c>
      <c r="BF94" s="51" t="b">
        <v>1</v>
      </c>
      <c r="BG94" s="45" t="s">
        <v>71</v>
      </c>
      <c r="BH94" s="54">
        <v>0.02</v>
      </c>
      <c r="BI94" s="70" t="s">
        <v>5</v>
      </c>
      <c r="BJ94" s="51" t="b">
        <v>1</v>
      </c>
      <c r="BK94" s="72">
        <v>1.5</v>
      </c>
      <c r="BL94" s="52" t="b">
        <v>0</v>
      </c>
      <c r="BM94" s="70" t="s">
        <v>6</v>
      </c>
      <c r="BN94" s="51" t="b">
        <v>1</v>
      </c>
      <c r="BO94" s="70" t="s">
        <v>15</v>
      </c>
      <c r="BP94" s="71">
        <v>1</v>
      </c>
      <c r="BQ94" s="71">
        <v>0.5</v>
      </c>
      <c r="BR94" s="75" t="str">
        <f>AH94&amp;"/ "&amp;AI94&amp;"/ "&amp;AJ94&amp;"/ "&amp;AK94</f>
        <v>5/ 13/ 34/ 89</v>
      </c>
      <c r="BS94" s="75" t="str">
        <f t="shared" si="170"/>
        <v>5 / 13 / 5</v>
      </c>
      <c r="BT94" s="75" t="str">
        <f t="shared" si="171"/>
        <v>0.05 / 0.5</v>
      </c>
      <c r="BU94" s="7"/>
      <c r="BV94" s="7"/>
      <c r="BW94" s="7"/>
      <c r="BX94" s="27">
        <f t="shared" si="172"/>
        <v>0</v>
      </c>
      <c r="BY94" s="7"/>
      <c r="BZ94" s="21">
        <f t="shared" si="173"/>
        <v>0</v>
      </c>
      <c r="CA94" s="98">
        <f t="shared" ref="CA94:CA100" si="184">IF(BU94=0,0,BV94/BU94)</f>
        <v>0</v>
      </c>
      <c r="CB94" s="99">
        <f>IF(BU94=0,0,BY94/BU94)</f>
        <v>0</v>
      </c>
      <c r="CC94" s="20"/>
      <c r="CD94" s="20"/>
      <c r="CE94" s="20"/>
      <c r="CF94" s="77">
        <f t="shared" si="174"/>
        <v>1.5</v>
      </c>
      <c r="CG94" s="20"/>
      <c r="CH94" s="20"/>
      <c r="CI94" s="22"/>
      <c r="CJ94" s="20"/>
      <c r="CK94" s="20"/>
      <c r="CL94" s="20"/>
      <c r="CM94" s="74">
        <v>1000</v>
      </c>
      <c r="CN94" s="22"/>
      <c r="CO94" s="35">
        <f t="shared" si="175"/>
        <v>1000</v>
      </c>
      <c r="CP94" s="35">
        <f t="shared" si="176"/>
        <v>0</v>
      </c>
      <c r="CR94" s="15">
        <f t="shared" si="177"/>
        <v>12</v>
      </c>
      <c r="CS94" s="13">
        <f t="shared" si="178"/>
        <v>0</v>
      </c>
      <c r="CT94" s="13">
        <f t="shared" si="179"/>
        <v>0</v>
      </c>
      <c r="CU94" s="13">
        <f t="shared" si="180"/>
        <v>0</v>
      </c>
      <c r="CW94" s="13">
        <f t="shared" si="181"/>
        <v>0</v>
      </c>
      <c r="CX94" s="13">
        <f t="shared" si="182"/>
        <v>0</v>
      </c>
      <c r="CY94" s="13">
        <f t="shared" si="183"/>
        <v>0</v>
      </c>
    </row>
    <row r="95" spans="1:103" x14ac:dyDescent="0.2">
      <c r="A95" s="43"/>
      <c r="B95" s="10"/>
      <c r="C95" s="3" t="s">
        <v>17</v>
      </c>
      <c r="D95" s="3" t="s">
        <v>23</v>
      </c>
      <c r="E95" s="6" t="s">
        <v>19</v>
      </c>
      <c r="F95" s="3" t="s">
        <v>25</v>
      </c>
      <c r="G95" s="5" t="s">
        <v>50</v>
      </c>
      <c r="H95" s="52" t="b">
        <v>0</v>
      </c>
      <c r="J95" s="46" t="s">
        <v>91</v>
      </c>
      <c r="K95" s="46" t="s">
        <v>91</v>
      </c>
      <c r="L95" s="46" t="s">
        <v>91</v>
      </c>
      <c r="M95" s="56" t="b">
        <v>0</v>
      </c>
      <c r="Q95" s="51" t="b">
        <v>1</v>
      </c>
      <c r="R95" s="50" t="s">
        <v>53</v>
      </c>
      <c r="S95" s="55" t="b">
        <v>1</v>
      </c>
      <c r="T95" s="49">
        <v>13</v>
      </c>
      <c r="U95" s="47">
        <v>1.4999999999999999E-2</v>
      </c>
      <c r="V95" s="49">
        <v>75</v>
      </c>
      <c r="W95" s="49">
        <v>-75</v>
      </c>
      <c r="X95" s="47">
        <v>50</v>
      </c>
      <c r="Y95" s="47">
        <v>5</v>
      </c>
      <c r="Z95" s="51" t="b">
        <v>1</v>
      </c>
      <c r="AA95" s="50" t="s">
        <v>92</v>
      </c>
      <c r="AB95" s="54">
        <v>2</v>
      </c>
      <c r="AC95" s="56" t="b">
        <v>0</v>
      </c>
      <c r="AE95" s="56" t="b">
        <v>0</v>
      </c>
      <c r="AG95" s="55" t="b">
        <v>1</v>
      </c>
      <c r="AH95" s="48">
        <v>5</v>
      </c>
      <c r="AI95" s="48">
        <v>13</v>
      </c>
      <c r="AJ95" s="48">
        <v>34</v>
      </c>
      <c r="AK95" s="48">
        <v>89</v>
      </c>
      <c r="AL95" s="52" t="b">
        <v>0</v>
      </c>
      <c r="AM95" s="51" t="b">
        <v>1</v>
      </c>
      <c r="AN95" s="53" t="s">
        <v>34</v>
      </c>
      <c r="AO95" s="60">
        <v>1.0000000000000001E-5</v>
      </c>
      <c r="AP95" s="51" t="b">
        <v>1</v>
      </c>
      <c r="AQ95" s="60">
        <v>1.0000000000000001E-5</v>
      </c>
      <c r="AR95" s="56">
        <v>5</v>
      </c>
      <c r="AS95" s="56">
        <v>13</v>
      </c>
      <c r="AT95" s="56">
        <v>8</v>
      </c>
      <c r="AU95" s="51" t="b">
        <v>1</v>
      </c>
      <c r="AV95" s="47">
        <v>3</v>
      </c>
      <c r="AW95" s="62">
        <v>5</v>
      </c>
      <c r="AX95" s="47">
        <v>1</v>
      </c>
      <c r="AY95" s="51" t="b">
        <v>1</v>
      </c>
      <c r="AZ95" s="45" t="s">
        <v>73</v>
      </c>
      <c r="BA95" s="45">
        <v>4</v>
      </c>
      <c r="BB95" s="49">
        <v>0.05</v>
      </c>
      <c r="BC95" s="49">
        <v>0.5</v>
      </c>
      <c r="BD95" s="52" t="b">
        <v>0</v>
      </c>
      <c r="BE95" s="45" t="s">
        <v>98</v>
      </c>
      <c r="BF95" s="51" t="b">
        <v>1</v>
      </c>
      <c r="BG95" s="45" t="s">
        <v>71</v>
      </c>
      <c r="BH95" s="54">
        <v>0.02</v>
      </c>
      <c r="BI95" s="70" t="s">
        <v>5</v>
      </c>
      <c r="BJ95" s="51" t="b">
        <v>1</v>
      </c>
      <c r="BK95" s="72">
        <v>1.5</v>
      </c>
      <c r="BL95" s="52" t="b">
        <v>0</v>
      </c>
      <c r="BM95" s="70" t="s">
        <v>6</v>
      </c>
      <c r="BN95" s="51" t="b">
        <v>1</v>
      </c>
      <c r="BO95" s="70" t="s">
        <v>15</v>
      </c>
      <c r="BP95" s="71">
        <v>1</v>
      </c>
      <c r="BQ95" s="71">
        <v>0.5</v>
      </c>
      <c r="BR95" s="75" t="str">
        <f>AH95&amp;"/ "&amp;AI95&amp;"/ "&amp;AJ95&amp;"/ "&amp;AK95</f>
        <v>5/ 13/ 34/ 89</v>
      </c>
      <c r="BS95" s="75" t="str">
        <f t="shared" si="170"/>
        <v>5 / 13 / 8</v>
      </c>
      <c r="BT95" s="75" t="str">
        <f t="shared" si="171"/>
        <v>0.05 / 0.5</v>
      </c>
      <c r="BU95" s="7"/>
      <c r="BV95" s="7"/>
      <c r="BW95" s="7"/>
      <c r="BX95" s="27">
        <f t="shared" si="172"/>
        <v>0</v>
      </c>
      <c r="BY95" s="7"/>
      <c r="BZ95" s="21">
        <f t="shared" si="173"/>
        <v>0</v>
      </c>
      <c r="CA95" s="98">
        <f t="shared" si="184"/>
        <v>0</v>
      </c>
      <c r="CB95" s="99">
        <f>IF(BU95=0,0,BY95/BU95)</f>
        <v>0</v>
      </c>
      <c r="CC95" s="20"/>
      <c r="CD95" s="20"/>
      <c r="CE95" s="20"/>
      <c r="CF95" s="77">
        <f t="shared" si="174"/>
        <v>1.5</v>
      </c>
      <c r="CG95" s="20"/>
      <c r="CH95" s="20"/>
      <c r="CI95" s="22"/>
      <c r="CJ95" s="20"/>
      <c r="CK95" s="20"/>
      <c r="CL95" s="20"/>
      <c r="CM95" s="74">
        <v>1000</v>
      </c>
      <c r="CN95" s="22"/>
      <c r="CO95" s="35">
        <f t="shared" si="175"/>
        <v>1000</v>
      </c>
      <c r="CP95" s="35">
        <f t="shared" si="176"/>
        <v>0</v>
      </c>
      <c r="CR95" s="15">
        <f t="shared" si="177"/>
        <v>12</v>
      </c>
      <c r="CS95" s="13">
        <f t="shared" si="178"/>
        <v>0</v>
      </c>
      <c r="CT95" s="13">
        <f t="shared" si="179"/>
        <v>0</v>
      </c>
      <c r="CU95" s="13">
        <f t="shared" si="180"/>
        <v>0</v>
      </c>
      <c r="CW95" s="13">
        <f t="shared" si="181"/>
        <v>0</v>
      </c>
      <c r="CX95" s="13">
        <f t="shared" si="182"/>
        <v>0</v>
      </c>
      <c r="CY95" s="13">
        <f t="shared" si="183"/>
        <v>0</v>
      </c>
    </row>
    <row r="96" spans="1:103" x14ac:dyDescent="0.2">
      <c r="A96" s="43"/>
      <c r="B96" s="10"/>
      <c r="C96" s="3" t="s">
        <v>17</v>
      </c>
      <c r="D96" s="3" t="s">
        <v>23</v>
      </c>
      <c r="E96" s="6" t="s">
        <v>19</v>
      </c>
      <c r="F96" s="3" t="s">
        <v>25</v>
      </c>
      <c r="G96" s="5" t="s">
        <v>50</v>
      </c>
      <c r="H96" s="52" t="b">
        <v>0</v>
      </c>
      <c r="J96" s="46" t="s">
        <v>91</v>
      </c>
      <c r="K96" s="46" t="s">
        <v>91</v>
      </c>
      <c r="L96" s="46" t="s">
        <v>91</v>
      </c>
      <c r="M96" s="56" t="b">
        <v>0</v>
      </c>
      <c r="Q96" s="51" t="b">
        <v>1</v>
      </c>
      <c r="R96" s="50" t="s">
        <v>53</v>
      </c>
      <c r="S96" s="55" t="b">
        <v>1</v>
      </c>
      <c r="T96" s="49">
        <v>13</v>
      </c>
      <c r="U96" s="47">
        <v>1.4999999999999999E-2</v>
      </c>
      <c r="V96" s="49">
        <v>75</v>
      </c>
      <c r="W96" s="49">
        <v>-75</v>
      </c>
      <c r="X96" s="47">
        <v>50</v>
      </c>
      <c r="Y96" s="47">
        <v>5</v>
      </c>
      <c r="Z96" s="51" t="b">
        <v>1</v>
      </c>
      <c r="AA96" s="50" t="s">
        <v>92</v>
      </c>
      <c r="AB96" s="54">
        <v>2</v>
      </c>
      <c r="AC96" s="56" t="b">
        <v>0</v>
      </c>
      <c r="AE96" s="56" t="b">
        <v>0</v>
      </c>
      <c r="AG96" s="55" t="b">
        <v>1</v>
      </c>
      <c r="AH96" s="48">
        <v>5</v>
      </c>
      <c r="AI96" s="48">
        <v>13</v>
      </c>
      <c r="AJ96" s="48">
        <v>34</v>
      </c>
      <c r="AK96" s="48">
        <v>89</v>
      </c>
      <c r="AL96" s="52" t="b">
        <v>0</v>
      </c>
      <c r="AM96" s="51" t="b">
        <v>1</v>
      </c>
      <c r="AN96" s="53" t="s">
        <v>34</v>
      </c>
      <c r="AO96" s="60">
        <v>1.0000000000000001E-5</v>
      </c>
      <c r="AP96" s="51" t="b">
        <v>1</v>
      </c>
      <c r="AQ96" s="60">
        <v>1.0000000000000001E-5</v>
      </c>
      <c r="AR96" s="65">
        <v>8</v>
      </c>
      <c r="AS96" s="65">
        <v>13</v>
      </c>
      <c r="AT96" s="65">
        <v>8</v>
      </c>
      <c r="AU96" s="51" t="b">
        <v>1</v>
      </c>
      <c r="AV96" s="47">
        <v>3</v>
      </c>
      <c r="AW96" s="62">
        <v>5</v>
      </c>
      <c r="AX96" s="47">
        <v>1</v>
      </c>
      <c r="AY96" s="51" t="b">
        <v>1</v>
      </c>
      <c r="AZ96" s="45" t="s">
        <v>73</v>
      </c>
      <c r="BA96" s="45">
        <v>4</v>
      </c>
      <c r="BB96" s="49">
        <v>0.05</v>
      </c>
      <c r="BC96" s="49">
        <v>0.5</v>
      </c>
      <c r="BD96" s="52" t="b">
        <v>0</v>
      </c>
      <c r="BE96" s="45" t="s">
        <v>98</v>
      </c>
      <c r="BF96" s="51" t="b">
        <v>1</v>
      </c>
      <c r="BG96" s="45" t="s">
        <v>71</v>
      </c>
      <c r="BH96" s="54">
        <v>0.02</v>
      </c>
      <c r="BI96" s="70" t="s">
        <v>5</v>
      </c>
      <c r="BJ96" s="51" t="b">
        <v>1</v>
      </c>
      <c r="BK96" s="72">
        <v>1.5</v>
      </c>
      <c r="BL96" s="52" t="b">
        <v>0</v>
      </c>
      <c r="BM96" s="70" t="s">
        <v>6</v>
      </c>
      <c r="BN96" s="51" t="b">
        <v>1</v>
      </c>
      <c r="BO96" s="70" t="s">
        <v>15</v>
      </c>
      <c r="BP96" s="71">
        <v>1</v>
      </c>
      <c r="BQ96" s="71">
        <v>0.5</v>
      </c>
      <c r="BR96" s="75" t="str">
        <f t="shared" ref="BR96:BR100" si="185">AH96&amp;"/ "&amp;AI96&amp;"/ "&amp;AJ96&amp;"/ "&amp;AK96</f>
        <v>5/ 13/ 34/ 89</v>
      </c>
      <c r="BS96" s="75" t="str">
        <f t="shared" si="170"/>
        <v>8 / 13 / 8</v>
      </c>
      <c r="BT96" s="75" t="str">
        <f t="shared" si="171"/>
        <v>0.05 / 0.5</v>
      </c>
      <c r="BU96" s="7"/>
      <c r="BV96" s="7"/>
      <c r="BW96" s="7"/>
      <c r="BX96" s="27">
        <f t="shared" si="172"/>
        <v>0</v>
      </c>
      <c r="BY96" s="7"/>
      <c r="BZ96" s="21">
        <f t="shared" si="173"/>
        <v>0</v>
      </c>
      <c r="CA96" s="98">
        <f t="shared" si="184"/>
        <v>0</v>
      </c>
      <c r="CB96" s="99">
        <f t="shared" ref="CB96:CB100" si="186">IF(BU96=0,0,BY96/BU96)</f>
        <v>0</v>
      </c>
      <c r="CC96" s="20"/>
      <c r="CD96" s="20"/>
      <c r="CE96" s="20"/>
      <c r="CF96" s="77">
        <f t="shared" si="174"/>
        <v>1.5</v>
      </c>
      <c r="CG96" s="20"/>
      <c r="CH96" s="20"/>
      <c r="CI96" s="22"/>
      <c r="CJ96" s="20"/>
      <c r="CK96" s="20"/>
      <c r="CL96" s="20"/>
      <c r="CM96" s="74">
        <v>1000</v>
      </c>
      <c r="CN96" s="22"/>
      <c r="CO96" s="35">
        <f t="shared" si="175"/>
        <v>1000</v>
      </c>
      <c r="CP96" s="35">
        <f t="shared" si="176"/>
        <v>0</v>
      </c>
      <c r="CR96" s="15">
        <f t="shared" si="177"/>
        <v>12</v>
      </c>
      <c r="CS96" s="13">
        <f t="shared" si="178"/>
        <v>0</v>
      </c>
      <c r="CT96" s="13">
        <f t="shared" si="179"/>
        <v>0</v>
      </c>
      <c r="CU96" s="13">
        <f t="shared" si="180"/>
        <v>0</v>
      </c>
      <c r="CW96" s="13">
        <f t="shared" si="181"/>
        <v>0</v>
      </c>
      <c r="CX96" s="13">
        <f t="shared" si="182"/>
        <v>0</v>
      </c>
      <c r="CY96" s="13">
        <f t="shared" si="183"/>
        <v>0</v>
      </c>
    </row>
    <row r="97" spans="1:103" x14ac:dyDescent="0.2">
      <c r="A97" s="43"/>
      <c r="B97" s="10"/>
      <c r="C97" s="3" t="s">
        <v>17</v>
      </c>
      <c r="D97" s="3" t="s">
        <v>23</v>
      </c>
      <c r="E97" s="6" t="s">
        <v>19</v>
      </c>
      <c r="F97" s="3" t="s">
        <v>25</v>
      </c>
      <c r="G97" s="5" t="s">
        <v>50</v>
      </c>
      <c r="H97" s="52" t="b">
        <v>0</v>
      </c>
      <c r="J97" s="46" t="s">
        <v>91</v>
      </c>
      <c r="K97" s="46" t="s">
        <v>91</v>
      </c>
      <c r="L97" s="46" t="s">
        <v>91</v>
      </c>
      <c r="M97" s="56" t="b">
        <v>0</v>
      </c>
      <c r="Q97" s="51" t="b">
        <v>1</v>
      </c>
      <c r="R97" s="50" t="s">
        <v>53</v>
      </c>
      <c r="S97" s="55" t="b">
        <v>1</v>
      </c>
      <c r="T97" s="49">
        <v>13</v>
      </c>
      <c r="U97" s="47">
        <v>1.4999999999999999E-2</v>
      </c>
      <c r="V97" s="49">
        <v>75</v>
      </c>
      <c r="W97" s="49">
        <v>-75</v>
      </c>
      <c r="X97" s="47">
        <v>50</v>
      </c>
      <c r="Y97" s="47">
        <v>5</v>
      </c>
      <c r="Z97" s="51" t="b">
        <v>1</v>
      </c>
      <c r="AA97" s="50" t="s">
        <v>92</v>
      </c>
      <c r="AB97" s="54">
        <v>2</v>
      </c>
      <c r="AC97" s="56" t="b">
        <v>0</v>
      </c>
      <c r="AE97" s="56" t="b">
        <v>0</v>
      </c>
      <c r="AG97" s="55" t="b">
        <v>1</v>
      </c>
      <c r="AH97" s="48">
        <v>5</v>
      </c>
      <c r="AI97" s="48">
        <v>13</v>
      </c>
      <c r="AJ97" s="48">
        <v>34</v>
      </c>
      <c r="AK97" s="48">
        <v>89</v>
      </c>
      <c r="AL97" s="52" t="b">
        <v>0</v>
      </c>
      <c r="AM97" s="51" t="b">
        <v>1</v>
      </c>
      <c r="AN97" s="53" t="s">
        <v>34</v>
      </c>
      <c r="AO97" s="60">
        <v>1.0000000000000001E-5</v>
      </c>
      <c r="AP97" s="51" t="b">
        <v>1</v>
      </c>
      <c r="AQ97" s="60">
        <v>1.0000000000000001E-5</v>
      </c>
      <c r="AR97" s="65">
        <v>8</v>
      </c>
      <c r="AS97" s="65">
        <v>13</v>
      </c>
      <c r="AT97" s="65">
        <v>11</v>
      </c>
      <c r="AU97" s="51" t="b">
        <v>1</v>
      </c>
      <c r="AV97" s="47">
        <v>3</v>
      </c>
      <c r="AW97" s="62">
        <v>5</v>
      </c>
      <c r="AX97" s="47">
        <v>1</v>
      </c>
      <c r="AY97" s="51" t="b">
        <v>1</v>
      </c>
      <c r="AZ97" s="45" t="s">
        <v>73</v>
      </c>
      <c r="BA97" s="45">
        <v>4</v>
      </c>
      <c r="BB97" s="49">
        <v>0.05</v>
      </c>
      <c r="BC97" s="49">
        <v>0.5</v>
      </c>
      <c r="BD97" s="52" t="b">
        <v>0</v>
      </c>
      <c r="BE97" s="45" t="s">
        <v>98</v>
      </c>
      <c r="BF97" s="51" t="b">
        <v>1</v>
      </c>
      <c r="BG97" s="45" t="s">
        <v>71</v>
      </c>
      <c r="BH97" s="54">
        <v>0.02</v>
      </c>
      <c r="BI97" s="70" t="s">
        <v>5</v>
      </c>
      <c r="BJ97" s="51" t="b">
        <v>1</v>
      </c>
      <c r="BK97" s="72">
        <v>1.5</v>
      </c>
      <c r="BL97" s="52" t="b">
        <v>0</v>
      </c>
      <c r="BM97" s="70" t="s">
        <v>6</v>
      </c>
      <c r="BN97" s="51" t="b">
        <v>1</v>
      </c>
      <c r="BO97" s="70" t="s">
        <v>15</v>
      </c>
      <c r="BP97" s="71">
        <v>1</v>
      </c>
      <c r="BQ97" s="71">
        <v>0.5</v>
      </c>
      <c r="BR97" s="75" t="str">
        <f t="shared" si="185"/>
        <v>5/ 13/ 34/ 89</v>
      </c>
      <c r="BS97" s="75" t="str">
        <f t="shared" si="170"/>
        <v>8 / 13 / 11</v>
      </c>
      <c r="BT97" s="75" t="str">
        <f t="shared" si="171"/>
        <v>0.05 / 0.5</v>
      </c>
      <c r="BU97" s="7"/>
      <c r="BV97" s="7"/>
      <c r="BW97" s="7"/>
      <c r="BX97" s="27">
        <f t="shared" si="172"/>
        <v>0</v>
      </c>
      <c r="BY97" s="7"/>
      <c r="BZ97" s="21">
        <f t="shared" si="173"/>
        <v>0</v>
      </c>
      <c r="CA97" s="98">
        <f t="shared" si="184"/>
        <v>0</v>
      </c>
      <c r="CB97" s="99">
        <f t="shared" si="186"/>
        <v>0</v>
      </c>
      <c r="CC97" s="20"/>
      <c r="CD97" s="20"/>
      <c r="CE97" s="20"/>
      <c r="CF97" s="77">
        <f t="shared" si="174"/>
        <v>1.5</v>
      </c>
      <c r="CG97" s="20"/>
      <c r="CH97" s="20"/>
      <c r="CI97" s="22"/>
      <c r="CJ97" s="20"/>
      <c r="CK97" s="20"/>
      <c r="CL97" s="20"/>
      <c r="CM97" s="74">
        <v>1000</v>
      </c>
      <c r="CN97" s="22"/>
      <c r="CO97" s="35">
        <f t="shared" si="175"/>
        <v>1000</v>
      </c>
      <c r="CP97" s="35">
        <f t="shared" si="176"/>
        <v>0</v>
      </c>
      <c r="CR97" s="15">
        <f t="shared" si="177"/>
        <v>12</v>
      </c>
      <c r="CS97" s="13">
        <f t="shared" si="178"/>
        <v>0</v>
      </c>
      <c r="CT97" s="13">
        <f t="shared" si="179"/>
        <v>0</v>
      </c>
      <c r="CU97" s="13">
        <f t="shared" si="180"/>
        <v>0</v>
      </c>
      <c r="CW97" s="13">
        <f t="shared" si="181"/>
        <v>0</v>
      </c>
      <c r="CX97" s="13">
        <f t="shared" si="182"/>
        <v>0</v>
      </c>
      <c r="CY97" s="13">
        <f t="shared" si="183"/>
        <v>0</v>
      </c>
    </row>
    <row r="98" spans="1:103" x14ac:dyDescent="0.2">
      <c r="A98" s="43"/>
      <c r="B98" s="10"/>
      <c r="C98" s="3" t="s">
        <v>17</v>
      </c>
      <c r="D98" s="3" t="s">
        <v>23</v>
      </c>
      <c r="E98" s="6" t="s">
        <v>19</v>
      </c>
      <c r="F98" s="3" t="s">
        <v>25</v>
      </c>
      <c r="G98" s="5" t="s">
        <v>50</v>
      </c>
      <c r="H98" s="52" t="b">
        <v>0</v>
      </c>
      <c r="J98" s="46" t="s">
        <v>91</v>
      </c>
      <c r="K98" s="46" t="s">
        <v>91</v>
      </c>
      <c r="L98" s="46" t="s">
        <v>91</v>
      </c>
      <c r="M98" s="56" t="b">
        <v>0</v>
      </c>
      <c r="Q98" s="51" t="b">
        <v>1</v>
      </c>
      <c r="R98" s="50" t="s">
        <v>53</v>
      </c>
      <c r="S98" s="55" t="b">
        <v>1</v>
      </c>
      <c r="T98" s="49">
        <v>13</v>
      </c>
      <c r="U98" s="47">
        <v>1.4999999999999999E-2</v>
      </c>
      <c r="V98" s="49">
        <v>75</v>
      </c>
      <c r="W98" s="49">
        <v>-75</v>
      </c>
      <c r="X98" s="47">
        <v>50</v>
      </c>
      <c r="Y98" s="47">
        <v>5</v>
      </c>
      <c r="Z98" s="51" t="b">
        <v>1</v>
      </c>
      <c r="AA98" s="50" t="s">
        <v>92</v>
      </c>
      <c r="AB98" s="54">
        <v>2</v>
      </c>
      <c r="AC98" s="56" t="b">
        <v>0</v>
      </c>
      <c r="AE98" s="56" t="b">
        <v>0</v>
      </c>
      <c r="AG98" s="55" t="b">
        <v>1</v>
      </c>
      <c r="AH98" s="48">
        <v>5</v>
      </c>
      <c r="AI98" s="48">
        <v>13</v>
      </c>
      <c r="AJ98" s="48">
        <v>34</v>
      </c>
      <c r="AK98" s="48">
        <v>89</v>
      </c>
      <c r="AL98" s="52" t="b">
        <v>0</v>
      </c>
      <c r="AM98" s="51" t="b">
        <v>1</v>
      </c>
      <c r="AN98" s="53" t="s">
        <v>34</v>
      </c>
      <c r="AO98" s="60">
        <v>1.0000000000000001E-5</v>
      </c>
      <c r="AP98" s="51" t="b">
        <v>1</v>
      </c>
      <c r="AQ98" s="60">
        <v>1.0000000000000001E-5</v>
      </c>
      <c r="AR98" s="66">
        <v>8</v>
      </c>
      <c r="AS98" s="66">
        <v>17</v>
      </c>
      <c r="AT98" s="66">
        <v>9</v>
      </c>
      <c r="AU98" s="51" t="b">
        <v>1</v>
      </c>
      <c r="AV98" s="47">
        <v>3</v>
      </c>
      <c r="AW98" s="62">
        <v>5</v>
      </c>
      <c r="AX98" s="47">
        <v>1</v>
      </c>
      <c r="AY98" s="51" t="b">
        <v>1</v>
      </c>
      <c r="AZ98" s="45" t="s">
        <v>73</v>
      </c>
      <c r="BA98" s="45">
        <v>4</v>
      </c>
      <c r="BB98" s="49">
        <v>0.05</v>
      </c>
      <c r="BC98" s="49">
        <v>0.5</v>
      </c>
      <c r="BD98" s="52" t="b">
        <v>0</v>
      </c>
      <c r="BE98" s="45" t="s">
        <v>98</v>
      </c>
      <c r="BF98" s="51" t="b">
        <v>1</v>
      </c>
      <c r="BG98" s="45" t="s">
        <v>71</v>
      </c>
      <c r="BH98" s="54">
        <v>0.02</v>
      </c>
      <c r="BI98" s="70" t="s">
        <v>5</v>
      </c>
      <c r="BJ98" s="51" t="b">
        <v>1</v>
      </c>
      <c r="BK98" s="72">
        <v>1.5</v>
      </c>
      <c r="BL98" s="52" t="b">
        <v>0</v>
      </c>
      <c r="BM98" s="70" t="s">
        <v>6</v>
      </c>
      <c r="BN98" s="51" t="b">
        <v>1</v>
      </c>
      <c r="BO98" s="70" t="s">
        <v>15</v>
      </c>
      <c r="BP98" s="71">
        <v>1</v>
      </c>
      <c r="BQ98" s="71">
        <v>0.5</v>
      </c>
      <c r="BR98" s="75" t="str">
        <f t="shared" si="185"/>
        <v>5/ 13/ 34/ 89</v>
      </c>
      <c r="BS98" s="75" t="str">
        <f t="shared" si="170"/>
        <v>8 / 17 / 9</v>
      </c>
      <c r="BT98" s="75" t="str">
        <f t="shared" si="171"/>
        <v>0.05 / 0.5</v>
      </c>
      <c r="BU98" s="7"/>
      <c r="BV98" s="7"/>
      <c r="BW98" s="7"/>
      <c r="BX98" s="27">
        <f t="shared" si="172"/>
        <v>0</v>
      </c>
      <c r="BY98" s="7"/>
      <c r="BZ98" s="21">
        <f t="shared" si="173"/>
        <v>0</v>
      </c>
      <c r="CA98" s="98">
        <f t="shared" si="184"/>
        <v>0</v>
      </c>
      <c r="CB98" s="99">
        <f t="shared" si="186"/>
        <v>0</v>
      </c>
      <c r="CC98" s="20"/>
      <c r="CD98" s="20"/>
      <c r="CE98" s="20"/>
      <c r="CF98" s="77">
        <f t="shared" si="174"/>
        <v>1.5</v>
      </c>
      <c r="CG98" s="20"/>
      <c r="CH98" s="20"/>
      <c r="CI98" s="22"/>
      <c r="CJ98" s="20"/>
      <c r="CK98" s="20"/>
      <c r="CL98" s="20"/>
      <c r="CM98" s="74">
        <v>1000</v>
      </c>
      <c r="CN98" s="22"/>
      <c r="CO98" s="35">
        <f t="shared" si="175"/>
        <v>1000</v>
      </c>
      <c r="CP98" s="35">
        <f t="shared" si="176"/>
        <v>0</v>
      </c>
      <c r="CR98" s="15">
        <f t="shared" si="177"/>
        <v>12</v>
      </c>
      <c r="CS98" s="13">
        <f t="shared" si="178"/>
        <v>0</v>
      </c>
      <c r="CT98" s="13">
        <f t="shared" si="179"/>
        <v>0</v>
      </c>
      <c r="CU98" s="13">
        <f t="shared" si="180"/>
        <v>0</v>
      </c>
      <c r="CW98" s="13">
        <f t="shared" si="181"/>
        <v>0</v>
      </c>
      <c r="CX98" s="13">
        <f t="shared" si="182"/>
        <v>0</v>
      </c>
      <c r="CY98" s="13">
        <f t="shared" si="183"/>
        <v>0</v>
      </c>
    </row>
    <row r="99" spans="1:103" x14ac:dyDescent="0.2">
      <c r="A99" s="43"/>
      <c r="B99" s="10"/>
      <c r="C99" s="3" t="s">
        <v>17</v>
      </c>
      <c r="D99" s="3" t="s">
        <v>23</v>
      </c>
      <c r="E99" s="6" t="s">
        <v>19</v>
      </c>
      <c r="F99" s="3" t="s">
        <v>25</v>
      </c>
      <c r="G99" s="5" t="s">
        <v>50</v>
      </c>
      <c r="H99" s="52" t="b">
        <v>0</v>
      </c>
      <c r="J99" s="46" t="s">
        <v>91</v>
      </c>
      <c r="K99" s="46" t="s">
        <v>91</v>
      </c>
      <c r="L99" s="46" t="s">
        <v>91</v>
      </c>
      <c r="M99" s="56" t="b">
        <v>0</v>
      </c>
      <c r="Q99" s="51" t="b">
        <v>1</v>
      </c>
      <c r="R99" s="50" t="s">
        <v>53</v>
      </c>
      <c r="S99" s="55" t="b">
        <v>1</v>
      </c>
      <c r="T99" s="49">
        <v>13</v>
      </c>
      <c r="U99" s="47">
        <v>1.4999999999999999E-2</v>
      </c>
      <c r="V99" s="49">
        <v>75</v>
      </c>
      <c r="W99" s="49">
        <v>-75</v>
      </c>
      <c r="X99" s="47">
        <v>50</v>
      </c>
      <c r="Y99" s="47">
        <v>5</v>
      </c>
      <c r="Z99" s="51" t="b">
        <v>1</v>
      </c>
      <c r="AA99" s="50" t="s">
        <v>92</v>
      </c>
      <c r="AB99" s="54">
        <v>2</v>
      </c>
      <c r="AC99" s="56" t="b">
        <v>0</v>
      </c>
      <c r="AE99" s="56" t="b">
        <v>0</v>
      </c>
      <c r="AG99" s="55" t="b">
        <v>1</v>
      </c>
      <c r="AH99" s="48">
        <v>5</v>
      </c>
      <c r="AI99" s="48">
        <v>13</v>
      </c>
      <c r="AJ99" s="48">
        <v>34</v>
      </c>
      <c r="AK99" s="48">
        <v>89</v>
      </c>
      <c r="AL99" s="52" t="b">
        <v>0</v>
      </c>
      <c r="AM99" s="51" t="b">
        <v>1</v>
      </c>
      <c r="AN99" s="53" t="s">
        <v>34</v>
      </c>
      <c r="AO99" s="60">
        <v>1.0000000000000001E-5</v>
      </c>
      <c r="AP99" s="51" t="b">
        <v>1</v>
      </c>
      <c r="AQ99" s="60">
        <v>1.0000000000000001E-5</v>
      </c>
      <c r="AR99" s="67">
        <v>12</v>
      </c>
      <c r="AS99" s="67">
        <v>26</v>
      </c>
      <c r="AT99" s="67">
        <v>9</v>
      </c>
      <c r="AU99" s="51" t="b">
        <v>1</v>
      </c>
      <c r="AV99" s="47">
        <v>3</v>
      </c>
      <c r="AW99" s="62">
        <v>5</v>
      </c>
      <c r="AX99" s="47">
        <v>1</v>
      </c>
      <c r="AY99" s="51" t="b">
        <v>1</v>
      </c>
      <c r="AZ99" s="45" t="s">
        <v>73</v>
      </c>
      <c r="BA99" s="45">
        <v>4</v>
      </c>
      <c r="BB99" s="49">
        <v>0.05</v>
      </c>
      <c r="BC99" s="49">
        <v>0.5</v>
      </c>
      <c r="BD99" s="52" t="b">
        <v>0</v>
      </c>
      <c r="BE99" s="45" t="s">
        <v>98</v>
      </c>
      <c r="BF99" s="51" t="b">
        <v>1</v>
      </c>
      <c r="BG99" s="45" t="s">
        <v>71</v>
      </c>
      <c r="BH99" s="54">
        <v>0.02</v>
      </c>
      <c r="BI99" s="70" t="s">
        <v>5</v>
      </c>
      <c r="BJ99" s="51" t="b">
        <v>1</v>
      </c>
      <c r="BK99" s="72">
        <v>1.5</v>
      </c>
      <c r="BL99" s="52" t="b">
        <v>0</v>
      </c>
      <c r="BM99" s="70" t="s">
        <v>6</v>
      </c>
      <c r="BN99" s="51" t="b">
        <v>1</v>
      </c>
      <c r="BO99" s="70" t="s">
        <v>15</v>
      </c>
      <c r="BP99" s="71">
        <v>1</v>
      </c>
      <c r="BQ99" s="71">
        <v>0.5</v>
      </c>
      <c r="BR99" s="75" t="str">
        <f t="shared" si="185"/>
        <v>5/ 13/ 34/ 89</v>
      </c>
      <c r="BS99" s="75" t="str">
        <f t="shared" si="170"/>
        <v>12 / 26 / 9</v>
      </c>
      <c r="BT99" s="75" t="str">
        <f t="shared" si="171"/>
        <v>0.05 / 0.5</v>
      </c>
      <c r="BU99" s="7"/>
      <c r="BV99" s="7"/>
      <c r="BW99" s="7"/>
      <c r="BX99" s="27">
        <f t="shared" si="172"/>
        <v>0</v>
      </c>
      <c r="BY99" s="7"/>
      <c r="BZ99" s="21">
        <f t="shared" si="173"/>
        <v>0</v>
      </c>
      <c r="CA99" s="98">
        <f t="shared" si="184"/>
        <v>0</v>
      </c>
      <c r="CB99" s="99">
        <f t="shared" si="186"/>
        <v>0</v>
      </c>
      <c r="CC99" s="20"/>
      <c r="CD99" s="20"/>
      <c r="CE99" s="20"/>
      <c r="CF99" s="77">
        <f t="shared" si="174"/>
        <v>1.5</v>
      </c>
      <c r="CG99" s="20"/>
      <c r="CH99" s="20"/>
      <c r="CI99" s="22"/>
      <c r="CJ99" s="20"/>
      <c r="CK99" s="20"/>
      <c r="CL99" s="20"/>
      <c r="CM99" s="74">
        <v>1000</v>
      </c>
      <c r="CN99" s="22"/>
      <c r="CO99" s="35">
        <f t="shared" si="175"/>
        <v>1000</v>
      </c>
      <c r="CP99" s="35">
        <f t="shared" si="176"/>
        <v>0</v>
      </c>
      <c r="CR99" s="15">
        <f t="shared" si="177"/>
        <v>12</v>
      </c>
      <c r="CS99" s="13">
        <f t="shared" si="178"/>
        <v>0</v>
      </c>
      <c r="CT99" s="13">
        <f t="shared" si="179"/>
        <v>0</v>
      </c>
      <c r="CU99" s="13">
        <f t="shared" si="180"/>
        <v>0</v>
      </c>
      <c r="CW99" s="13">
        <f t="shared" si="181"/>
        <v>0</v>
      </c>
      <c r="CX99" s="13">
        <f t="shared" si="182"/>
        <v>0</v>
      </c>
      <c r="CY99" s="13">
        <f t="shared" si="183"/>
        <v>0</v>
      </c>
    </row>
    <row r="100" spans="1:103" x14ac:dyDescent="0.2">
      <c r="A100" s="43"/>
      <c r="B100" s="10"/>
      <c r="C100" s="3" t="s">
        <v>17</v>
      </c>
      <c r="D100" s="3" t="s">
        <v>23</v>
      </c>
      <c r="E100" s="6" t="s">
        <v>19</v>
      </c>
      <c r="F100" s="3" t="s">
        <v>25</v>
      </c>
      <c r="G100" s="5" t="s">
        <v>50</v>
      </c>
      <c r="H100" s="52" t="b">
        <v>0</v>
      </c>
      <c r="J100" s="46" t="s">
        <v>91</v>
      </c>
      <c r="K100" s="46" t="s">
        <v>91</v>
      </c>
      <c r="L100" s="46" t="s">
        <v>91</v>
      </c>
      <c r="M100" s="56" t="b">
        <v>0</v>
      </c>
      <c r="Q100" s="51" t="b">
        <v>1</v>
      </c>
      <c r="R100" s="50" t="s">
        <v>53</v>
      </c>
      <c r="S100" s="55" t="b">
        <v>1</v>
      </c>
      <c r="T100" s="49">
        <v>13</v>
      </c>
      <c r="U100" s="47">
        <v>1.4999999999999999E-2</v>
      </c>
      <c r="V100" s="49">
        <v>75</v>
      </c>
      <c r="W100" s="49">
        <v>-75</v>
      </c>
      <c r="X100" s="47">
        <v>50</v>
      </c>
      <c r="Y100" s="47">
        <v>5</v>
      </c>
      <c r="Z100" s="51" t="b">
        <v>1</v>
      </c>
      <c r="AA100" s="50" t="s">
        <v>92</v>
      </c>
      <c r="AB100" s="54">
        <v>2</v>
      </c>
      <c r="AC100" s="56" t="b">
        <v>0</v>
      </c>
      <c r="AE100" s="56" t="b">
        <v>0</v>
      </c>
      <c r="AG100" s="55" t="b">
        <v>1</v>
      </c>
      <c r="AH100" s="48">
        <v>5</v>
      </c>
      <c r="AI100" s="48">
        <v>13</v>
      </c>
      <c r="AJ100" s="48">
        <v>34</v>
      </c>
      <c r="AK100" s="48">
        <v>89</v>
      </c>
      <c r="AL100" s="52" t="b">
        <v>0</v>
      </c>
      <c r="AM100" s="51" t="b">
        <v>1</v>
      </c>
      <c r="AN100" s="53" t="s">
        <v>34</v>
      </c>
      <c r="AO100" s="60">
        <v>1.0000000000000001E-5</v>
      </c>
      <c r="AP100" s="51" t="b">
        <v>1</v>
      </c>
      <c r="AQ100" s="60">
        <v>1.0000000000000001E-5</v>
      </c>
      <c r="AR100" s="56">
        <v>21</v>
      </c>
      <c r="AS100" s="56">
        <v>34</v>
      </c>
      <c r="AT100" s="56">
        <v>9</v>
      </c>
      <c r="AU100" s="51" t="b">
        <v>1</v>
      </c>
      <c r="AV100" s="47">
        <v>3</v>
      </c>
      <c r="AW100" s="62">
        <v>5</v>
      </c>
      <c r="AX100" s="47">
        <v>1</v>
      </c>
      <c r="AY100" s="51" t="b">
        <v>1</v>
      </c>
      <c r="AZ100" s="45" t="s">
        <v>73</v>
      </c>
      <c r="BA100" s="45">
        <v>4</v>
      </c>
      <c r="BB100" s="49">
        <v>0.05</v>
      </c>
      <c r="BC100" s="49">
        <v>0.5</v>
      </c>
      <c r="BD100" s="52" t="b">
        <v>0</v>
      </c>
      <c r="BE100" s="45" t="s">
        <v>98</v>
      </c>
      <c r="BF100" s="51" t="b">
        <v>1</v>
      </c>
      <c r="BG100" s="45" t="s">
        <v>71</v>
      </c>
      <c r="BH100" s="54">
        <v>0.02</v>
      </c>
      <c r="BI100" s="70" t="s">
        <v>5</v>
      </c>
      <c r="BJ100" s="51" t="b">
        <v>1</v>
      </c>
      <c r="BK100" s="72">
        <v>1.5</v>
      </c>
      <c r="BL100" s="52" t="b">
        <v>0</v>
      </c>
      <c r="BM100" s="70" t="s">
        <v>6</v>
      </c>
      <c r="BN100" s="51" t="b">
        <v>1</v>
      </c>
      <c r="BO100" s="70" t="s">
        <v>15</v>
      </c>
      <c r="BP100" s="71">
        <v>1</v>
      </c>
      <c r="BQ100" s="71">
        <v>0.5</v>
      </c>
      <c r="BR100" s="75" t="str">
        <f t="shared" si="185"/>
        <v>5/ 13/ 34/ 89</v>
      </c>
      <c r="BS100" s="75" t="str">
        <f t="shared" si="170"/>
        <v>21 / 34 / 9</v>
      </c>
      <c r="BT100" s="75" t="str">
        <f t="shared" si="171"/>
        <v>0.05 / 0.5</v>
      </c>
      <c r="BU100" s="7"/>
      <c r="BV100" s="7"/>
      <c r="BW100" s="7"/>
      <c r="BX100" s="27">
        <f t="shared" si="172"/>
        <v>0</v>
      </c>
      <c r="BY100" s="7"/>
      <c r="BZ100" s="21">
        <f t="shared" si="173"/>
        <v>0</v>
      </c>
      <c r="CA100" s="98">
        <f t="shared" si="184"/>
        <v>0</v>
      </c>
      <c r="CB100" s="99">
        <f t="shared" si="186"/>
        <v>0</v>
      </c>
      <c r="CC100" s="20"/>
      <c r="CD100" s="20"/>
      <c r="CE100" s="20"/>
      <c r="CF100" s="77">
        <f t="shared" si="174"/>
        <v>1.5</v>
      </c>
      <c r="CG100" s="20"/>
      <c r="CH100" s="20"/>
      <c r="CI100" s="22"/>
      <c r="CJ100" s="20"/>
      <c r="CK100" s="20"/>
      <c r="CL100" s="20"/>
      <c r="CM100" s="74">
        <v>1000</v>
      </c>
      <c r="CN100" s="22"/>
      <c r="CO100" s="35">
        <f t="shared" si="175"/>
        <v>1000</v>
      </c>
      <c r="CP100" s="35">
        <f t="shared" si="176"/>
        <v>0</v>
      </c>
      <c r="CR100" s="15">
        <f t="shared" si="177"/>
        <v>12</v>
      </c>
      <c r="CS100" s="13">
        <f t="shared" si="178"/>
        <v>0</v>
      </c>
      <c r="CT100" s="13">
        <f t="shared" si="179"/>
        <v>0</v>
      </c>
      <c r="CU100" s="13">
        <f t="shared" si="180"/>
        <v>0</v>
      </c>
      <c r="CW100" s="13">
        <f t="shared" si="181"/>
        <v>0</v>
      </c>
      <c r="CX100" s="13">
        <f t="shared" si="182"/>
        <v>0</v>
      </c>
      <c r="CY100" s="13">
        <f t="shared" si="183"/>
        <v>0</v>
      </c>
    </row>
    <row r="101" spans="1:103" x14ac:dyDescent="0.2">
      <c r="B101" s="2"/>
    </row>
    <row r="103" spans="1:103" x14ac:dyDescent="0.2">
      <c r="B103" s="2"/>
    </row>
    <row r="105" spans="1:103" x14ac:dyDescent="0.2">
      <c r="B105" s="2"/>
    </row>
    <row r="107" spans="1:103" x14ac:dyDescent="0.2">
      <c r="B107" s="2"/>
    </row>
    <row r="109" spans="1:103" x14ac:dyDescent="0.2">
      <c r="B109" s="2"/>
    </row>
    <row r="111" spans="1:103" x14ac:dyDescent="0.2">
      <c r="B111" s="2"/>
    </row>
    <row r="113" spans="2:2" x14ac:dyDescent="0.2">
      <c r="B113" s="2"/>
    </row>
    <row r="115" spans="2:2" x14ac:dyDescent="0.2">
      <c r="B115" s="2"/>
    </row>
    <row r="117" spans="2:2" x14ac:dyDescent="0.2">
      <c r="B117" s="2"/>
    </row>
    <row r="119" spans="2:2" x14ac:dyDescent="0.2">
      <c r="B119" s="2"/>
    </row>
    <row r="123" spans="2:2" x14ac:dyDescent="0.2">
      <c r="B123" s="2"/>
    </row>
    <row r="125" spans="2:2" x14ac:dyDescent="0.2">
      <c r="B125" s="2"/>
    </row>
    <row r="127" spans="2:2" x14ac:dyDescent="0.2">
      <c r="B127" s="2"/>
    </row>
    <row r="129" spans="2:25" x14ac:dyDescent="0.2">
      <c r="B129" s="2"/>
    </row>
    <row r="131" spans="2:25" x14ac:dyDescent="0.2">
      <c r="B131" s="2"/>
    </row>
    <row r="134" spans="2:25" x14ac:dyDescent="0.2">
      <c r="I134" s="57"/>
      <c r="J134" s="58"/>
      <c r="K134" s="58"/>
      <c r="L134" s="58"/>
      <c r="U134" s="59"/>
      <c r="X134" s="59"/>
      <c r="Y134" s="59"/>
    </row>
    <row r="135" spans="2:25" x14ac:dyDescent="0.2">
      <c r="H135" s="57"/>
      <c r="I135" s="57"/>
      <c r="J135" s="58"/>
      <c r="K135" s="58"/>
      <c r="L135" s="58"/>
      <c r="U135" s="59"/>
      <c r="X135" s="59"/>
      <c r="Y135" s="59"/>
    </row>
    <row r="136" spans="2:25" x14ac:dyDescent="0.2">
      <c r="H136" s="57"/>
      <c r="I136" s="57"/>
      <c r="J136" s="58"/>
      <c r="K136" s="58"/>
      <c r="L136" s="58"/>
      <c r="U136" s="59"/>
      <c r="X136" s="59"/>
      <c r="Y136" s="59"/>
    </row>
    <row r="139" spans="2:25" ht="19" x14ac:dyDescent="0.25">
      <c r="B139" s="1"/>
    </row>
    <row r="141" spans="2:25" x14ac:dyDescent="0.2">
      <c r="B141" s="2"/>
    </row>
    <row r="143" spans="2:25" x14ac:dyDescent="0.2">
      <c r="B143" s="2"/>
    </row>
    <row r="145" spans="2:2" x14ac:dyDescent="0.2">
      <c r="B145" s="2"/>
    </row>
    <row r="155" spans="2:2" x14ac:dyDescent="0.2">
      <c r="B155" s="12"/>
    </row>
    <row r="157" spans="2:2" x14ac:dyDescent="0.2">
      <c r="B157" s="4"/>
    </row>
    <row r="167" spans="2:2" ht="19" x14ac:dyDescent="0.25">
      <c r="B167" s="1"/>
    </row>
    <row r="169" spans="2:2" x14ac:dyDescent="0.2">
      <c r="B169" s="2"/>
    </row>
    <row r="171" spans="2:2" x14ac:dyDescent="0.2">
      <c r="B171" s="2"/>
    </row>
    <row r="173" spans="2:2" x14ac:dyDescent="0.2">
      <c r="B173" s="2"/>
    </row>
    <row r="175" spans="2:2" x14ac:dyDescent="0.2">
      <c r="B175" s="2"/>
    </row>
    <row r="177" spans="2:2" x14ac:dyDescent="0.2">
      <c r="B177" s="2"/>
    </row>
    <row r="179" spans="2:2" x14ac:dyDescent="0.2">
      <c r="B179" s="2"/>
    </row>
    <row r="181" spans="2:2" x14ac:dyDescent="0.2">
      <c r="B181" s="2"/>
    </row>
    <row r="183" spans="2:2" x14ac:dyDescent="0.2">
      <c r="B183" s="2"/>
    </row>
    <row r="185" spans="2:2" x14ac:dyDescent="0.2">
      <c r="B185" s="2"/>
    </row>
    <row r="187" spans="2:2" x14ac:dyDescent="0.2">
      <c r="B187" s="2"/>
    </row>
    <row r="189" spans="2:2" x14ac:dyDescent="0.2">
      <c r="B189" s="2"/>
    </row>
    <row r="191" spans="2:2" x14ac:dyDescent="0.2">
      <c r="B191" s="2"/>
    </row>
    <row r="200" spans="2:2" ht="19" x14ac:dyDescent="0.25">
      <c r="B200" s="1"/>
    </row>
    <row r="202" spans="2:2" x14ac:dyDescent="0.2">
      <c r="B202" s="2"/>
    </row>
    <row r="204" spans="2:2" x14ac:dyDescent="0.2">
      <c r="B204" s="2"/>
    </row>
    <row r="206" spans="2:2" x14ac:dyDescent="0.2">
      <c r="B206" s="2"/>
    </row>
    <row r="209" spans="2:2" x14ac:dyDescent="0.2">
      <c r="B209" s="2"/>
    </row>
    <row r="211" spans="2:2" x14ac:dyDescent="0.2">
      <c r="B211" s="2"/>
    </row>
    <row r="213" spans="2:2" x14ac:dyDescent="0.2">
      <c r="B213" s="2"/>
    </row>
    <row r="219" spans="2:2" x14ac:dyDescent="0.2">
      <c r="B219" s="2"/>
    </row>
    <row r="221" spans="2:2" x14ac:dyDescent="0.2">
      <c r="B221" s="2"/>
    </row>
    <row r="223" spans="2:2" x14ac:dyDescent="0.2">
      <c r="B223" s="2"/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 szczech</dc:creator>
  <cp:lastModifiedBy>maciek szczech</cp:lastModifiedBy>
  <dcterms:created xsi:type="dcterms:W3CDTF">2025-02-28T18:45:37Z</dcterms:created>
  <dcterms:modified xsi:type="dcterms:W3CDTF">2025-07-23T11:59:59Z</dcterms:modified>
</cp:coreProperties>
</file>