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defaultThemeVersion="202300"/>
  <mc:AlternateContent xmlns:mc="http://schemas.openxmlformats.org/markup-compatibility/2006">
    <mc:Choice Requires="x15">
      <x15ac:absPath xmlns:x15ac="http://schemas.microsoft.com/office/spreadsheetml/2010/11/ac" url="/Users/ms/Documents/MSZ/MSZ_FX/_EA_RRM_Backtest/"/>
    </mc:Choice>
  </mc:AlternateContent>
  <xr:revisionPtr revIDLastSave="0" documentId="13_ncr:1_{83EA794A-E82B-294D-90F7-A79C672BBC51}" xr6:coauthVersionLast="47" xr6:coauthVersionMax="47" xr10:uidLastSave="{00000000-0000-0000-0000-000000000000}"/>
  <bookViews>
    <workbookView xWindow="220" yWindow="1500" windowWidth="17800" windowHeight="19580" firstSheet="5" activeTab="6" xr2:uid="{113696E4-D068-2D47-948E-FC25178D8AC7}"/>
  </bookViews>
  <sheets>
    <sheet name="Logic" sheetId="4" r:id="rId1"/>
    <sheet name="mplfinance" sheetId="5" r:id="rId2"/>
    <sheet name="RRM-PQR" sheetId="6" r:id="rId3"/>
    <sheet name="RRM-JSON" sheetId="7" r:id="rId4"/>
    <sheet name="RRM-JSON-Refactoring" sheetId="9" r:id="rId5"/>
    <sheet name="RR-TEST" sheetId="8" r:id="rId6"/>
    <sheet name="RRM_EAv01_Blueprint" sheetId="24" r:id="rId7"/>
    <sheet name="RRM-TER_v1.1" sheetId="22" r:id="rId8"/>
    <sheet name="RRM-TER_v1" sheetId="2" r:id="rId9"/>
    <sheet name="RRM-TER_v0TXT" sheetId="1" r:id="rId10"/>
    <sheet name="RRM BP v1.0" sheetId="23" r:id="rId11"/>
    <sheet name="Indicators" sheetId="10" r:id="rId12"/>
    <sheet name="Test02-json" sheetId="17" r:id="rId13"/>
    <sheet name="Test02" sheetId="18" r:id="rId14"/>
    <sheet name="Test01.5" sheetId="21"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 i="22" l="1"/>
  <c r="C57" i="22"/>
  <c r="C52" i="22"/>
  <c r="C48" i="22"/>
  <c r="C42" i="22"/>
  <c r="C34" i="22"/>
  <c r="C29" i="22"/>
  <c r="C25" i="22"/>
  <c r="CX233" i="21"/>
  <c r="CW233" i="21"/>
  <c r="CR233" i="21"/>
  <c r="CT233" i="21" s="1"/>
  <c r="CU233" i="21" s="1"/>
  <c r="CP233" i="21"/>
  <c r="CY233" i="21" s="1"/>
  <c r="CO233" i="21"/>
  <c r="CF233" i="21"/>
  <c r="CB233" i="21"/>
  <c r="CA233" i="21"/>
  <c r="BX233" i="21"/>
  <c r="BZ233" i="21" s="1"/>
  <c r="BT233" i="21"/>
  <c r="BS233" i="21"/>
  <c r="BR233" i="21"/>
  <c r="CY232" i="21"/>
  <c r="CX232" i="21"/>
  <c r="CW232" i="21"/>
  <c r="CR232" i="21"/>
  <c r="CT232" i="21" s="1"/>
  <c r="CU232" i="21" s="1"/>
  <c r="CP232" i="21"/>
  <c r="CO232" i="21"/>
  <c r="CF232" i="21"/>
  <c r="CB232" i="21"/>
  <c r="CA232" i="21"/>
  <c r="BZ232" i="21"/>
  <c r="BX232" i="21"/>
  <c r="BT232" i="21"/>
  <c r="BS232" i="21"/>
  <c r="BR232" i="21"/>
  <c r="CY231" i="21"/>
  <c r="CX231" i="21"/>
  <c r="CW231" i="21"/>
  <c r="CT231" i="21"/>
  <c r="CU231" i="21" s="1"/>
  <c r="CS231" i="21"/>
  <c r="CR231" i="21"/>
  <c r="CP231" i="21"/>
  <c r="CO231" i="21"/>
  <c r="CF231" i="21"/>
  <c r="CB231" i="21"/>
  <c r="CA231" i="21"/>
  <c r="BZ231" i="21"/>
  <c r="BX231" i="21"/>
  <c r="BT231" i="21"/>
  <c r="BS231" i="21"/>
  <c r="BR231" i="21"/>
  <c r="CX230" i="21"/>
  <c r="CW230" i="21"/>
  <c r="CR230" i="21"/>
  <c r="CT230" i="21" s="1"/>
  <c r="CU230" i="21" s="1"/>
  <c r="CP230" i="21"/>
  <c r="CY230" i="21" s="1"/>
  <c r="CO230" i="21"/>
  <c r="CF230" i="21"/>
  <c r="CB230" i="21"/>
  <c r="CA230" i="21"/>
  <c r="BX230" i="21"/>
  <c r="BZ230" i="21" s="1"/>
  <c r="BT230" i="21"/>
  <c r="BS230" i="21"/>
  <c r="BR230" i="21"/>
  <c r="CY229" i="21"/>
  <c r="CX229" i="21"/>
  <c r="CW229" i="21"/>
  <c r="CR229" i="21"/>
  <c r="CT229" i="21" s="1"/>
  <c r="CU229" i="21" s="1"/>
  <c r="CP229" i="21"/>
  <c r="CO229" i="21"/>
  <c r="CF229" i="21"/>
  <c r="CB229" i="21"/>
  <c r="CA229" i="21"/>
  <c r="BX229" i="21"/>
  <c r="BZ229" i="21" s="1"/>
  <c r="BT229" i="21"/>
  <c r="BS229" i="21"/>
  <c r="BR229" i="21"/>
  <c r="CY228" i="21"/>
  <c r="CX228" i="21"/>
  <c r="CW228" i="21"/>
  <c r="CT228" i="21"/>
  <c r="CU228" i="21" s="1"/>
  <c r="CR228" i="21"/>
  <c r="CS228" i="21" s="1"/>
  <c r="CP228" i="21"/>
  <c r="CO228" i="21"/>
  <c r="CF228" i="21"/>
  <c r="CB228" i="21"/>
  <c r="CA228" i="21"/>
  <c r="BX228" i="21"/>
  <c r="BZ228" i="21" s="1"/>
  <c r="BT228" i="21"/>
  <c r="BS228" i="21"/>
  <c r="BR228" i="21"/>
  <c r="CX227" i="21"/>
  <c r="CW227" i="21"/>
  <c r="CR227" i="21"/>
  <c r="CT227" i="21" s="1"/>
  <c r="CU227" i="21" s="1"/>
  <c r="CP227" i="21"/>
  <c r="CY227" i="21" s="1"/>
  <c r="CO227" i="21"/>
  <c r="CF227" i="21"/>
  <c r="CB227" i="21"/>
  <c r="CA227" i="21"/>
  <c r="BX227" i="21"/>
  <c r="BZ227" i="21" s="1"/>
  <c r="BT227" i="21"/>
  <c r="BS227" i="21"/>
  <c r="BR227" i="21"/>
  <c r="CX226" i="21"/>
  <c r="CW226" i="21"/>
  <c r="CR226" i="21"/>
  <c r="CP226" i="21"/>
  <c r="CY226" i="21" s="1"/>
  <c r="CO226" i="21"/>
  <c r="CF226" i="21"/>
  <c r="CB226" i="21"/>
  <c r="CA226" i="21"/>
  <c r="BX226" i="21"/>
  <c r="BZ226" i="21" s="1"/>
  <c r="BT226" i="21"/>
  <c r="BS226" i="21"/>
  <c r="BR226" i="21"/>
  <c r="CY224" i="21"/>
  <c r="CX224" i="21"/>
  <c r="CW224" i="21"/>
  <c r="CR224" i="21"/>
  <c r="CT224" i="21" s="1"/>
  <c r="CU224" i="21" s="1"/>
  <c r="CP224" i="21"/>
  <c r="CO224" i="21"/>
  <c r="CF224" i="21"/>
  <c r="CB224" i="21"/>
  <c r="CA224" i="21"/>
  <c r="BX224" i="21"/>
  <c r="BZ224" i="21" s="1"/>
  <c r="BT224" i="21"/>
  <c r="BS224" i="21"/>
  <c r="BR224" i="21"/>
  <c r="CY223" i="21"/>
  <c r="CX223" i="21"/>
  <c r="CW223" i="21"/>
  <c r="CR223" i="21"/>
  <c r="CT223" i="21" s="1"/>
  <c r="CU223" i="21" s="1"/>
  <c r="CP223" i="21"/>
  <c r="CO223" i="21"/>
  <c r="CF223" i="21"/>
  <c r="CB223" i="21"/>
  <c r="CA223" i="21"/>
  <c r="BX223" i="21"/>
  <c r="BZ223" i="21" s="1"/>
  <c r="BT223" i="21"/>
  <c r="BS223" i="21"/>
  <c r="BR223" i="21"/>
  <c r="CX222" i="21"/>
  <c r="CW222" i="21"/>
  <c r="CS222" i="21"/>
  <c r="CR222" i="21"/>
  <c r="CT222" i="21" s="1"/>
  <c r="CU222" i="21" s="1"/>
  <c r="CP222" i="21"/>
  <c r="CY222" i="21" s="1"/>
  <c r="CO222" i="21"/>
  <c r="CF222" i="21"/>
  <c r="CB222" i="21"/>
  <c r="CA222" i="21"/>
  <c r="BX222" i="21"/>
  <c r="BZ222" i="21" s="1"/>
  <c r="BT222" i="21"/>
  <c r="BS222" i="21"/>
  <c r="BR222" i="21"/>
  <c r="CY221" i="21"/>
  <c r="CX221" i="21"/>
  <c r="CW221" i="21"/>
  <c r="CR221" i="21"/>
  <c r="CT221" i="21" s="1"/>
  <c r="CU221" i="21" s="1"/>
  <c r="CP221" i="21"/>
  <c r="CO221" i="21"/>
  <c r="CF221" i="21"/>
  <c r="CB221" i="21"/>
  <c r="CA221" i="21"/>
  <c r="BZ221" i="21"/>
  <c r="BX221" i="21"/>
  <c r="BT221" i="21"/>
  <c r="BS221" i="21"/>
  <c r="BR221" i="21"/>
  <c r="CY220" i="21"/>
  <c r="CX220" i="21"/>
  <c r="CW220" i="21"/>
  <c r="CT220" i="21"/>
  <c r="CU220" i="21" s="1"/>
  <c r="CS220" i="21"/>
  <c r="CR220" i="21"/>
  <c r="CP220" i="21"/>
  <c r="CO220" i="21"/>
  <c r="CF220" i="21"/>
  <c r="CB220" i="21"/>
  <c r="CA220" i="21"/>
  <c r="BX220" i="21"/>
  <c r="BZ220" i="21" s="1"/>
  <c r="BT220" i="21"/>
  <c r="BS220" i="21"/>
  <c r="BR220" i="21"/>
  <c r="CX219" i="21"/>
  <c r="CW219" i="21"/>
  <c r="CR219" i="21"/>
  <c r="CT219" i="21" s="1"/>
  <c r="CU219" i="21" s="1"/>
  <c r="CP219" i="21"/>
  <c r="CY219" i="21" s="1"/>
  <c r="CO219" i="21"/>
  <c r="CF219" i="21"/>
  <c r="CB219" i="21"/>
  <c r="CA219" i="21"/>
  <c r="BX219" i="21"/>
  <c r="BZ219" i="21" s="1"/>
  <c r="BT219" i="21"/>
  <c r="BS219" i="21"/>
  <c r="BR219" i="21"/>
  <c r="CX218" i="21"/>
  <c r="CW218" i="21"/>
  <c r="CR218" i="21"/>
  <c r="CT218" i="21" s="1"/>
  <c r="CU218" i="21" s="1"/>
  <c r="CP218" i="21"/>
  <c r="CY218" i="21" s="1"/>
  <c r="CO218" i="21"/>
  <c r="CF218" i="21"/>
  <c r="CB218" i="21"/>
  <c r="CA218" i="21"/>
  <c r="BX218" i="21"/>
  <c r="BZ218" i="21" s="1"/>
  <c r="BT218" i="21"/>
  <c r="BS218" i="21"/>
  <c r="BR218" i="21"/>
  <c r="CY217" i="21"/>
  <c r="CX217" i="21"/>
  <c r="CW217" i="21"/>
  <c r="CT217" i="21"/>
  <c r="CU217" i="21" s="1"/>
  <c r="CR217" i="21"/>
  <c r="CS217" i="21" s="1"/>
  <c r="CP217" i="21"/>
  <c r="CO217" i="21"/>
  <c r="CF217" i="21"/>
  <c r="CB217" i="21"/>
  <c r="CA217" i="21"/>
  <c r="BZ217" i="21"/>
  <c r="BX217" i="21"/>
  <c r="BT217" i="21"/>
  <c r="BS217" i="21"/>
  <c r="BR217" i="21"/>
  <c r="CX215" i="21"/>
  <c r="CW215" i="21"/>
  <c r="CR215" i="21"/>
  <c r="CT215" i="21" s="1"/>
  <c r="CU215" i="21" s="1"/>
  <c r="CP215" i="21"/>
  <c r="CY215" i="21" s="1"/>
  <c r="CO215" i="21"/>
  <c r="CF215" i="21"/>
  <c r="CB215" i="21"/>
  <c r="CA215" i="21"/>
  <c r="BX215" i="21"/>
  <c r="BZ215" i="21" s="1"/>
  <c r="BT215" i="21"/>
  <c r="BS215" i="21"/>
  <c r="BR215" i="21"/>
  <c r="CY214" i="21"/>
  <c r="CX214" i="21"/>
  <c r="CW214" i="21"/>
  <c r="CR214" i="21"/>
  <c r="CP214" i="21"/>
  <c r="CO214" i="21"/>
  <c r="CF214" i="21"/>
  <c r="CB214" i="21"/>
  <c r="CA214" i="21"/>
  <c r="BX214" i="21"/>
  <c r="BZ214" i="21" s="1"/>
  <c r="BT214" i="21"/>
  <c r="BS214" i="21"/>
  <c r="BR214" i="21"/>
  <c r="CY213" i="21"/>
  <c r="CX213" i="21"/>
  <c r="CW213" i="21"/>
  <c r="CR213" i="21"/>
  <c r="CT213" i="21" s="1"/>
  <c r="CU213" i="21" s="1"/>
  <c r="CP213" i="21"/>
  <c r="CO213" i="21"/>
  <c r="CF213" i="21"/>
  <c r="CB213" i="21"/>
  <c r="CA213" i="21"/>
  <c r="BX213" i="21"/>
  <c r="BZ213" i="21" s="1"/>
  <c r="BT213" i="21"/>
  <c r="BS213" i="21"/>
  <c r="BR213" i="21"/>
  <c r="CY212" i="21"/>
  <c r="CX212" i="21"/>
  <c r="CW212" i="21"/>
  <c r="CR212" i="21"/>
  <c r="CT212" i="21" s="1"/>
  <c r="CU212" i="21" s="1"/>
  <c r="CP212" i="21"/>
  <c r="CO212" i="21"/>
  <c r="CF212" i="21"/>
  <c r="CB212" i="21"/>
  <c r="CA212" i="21"/>
  <c r="BZ212" i="21"/>
  <c r="BX212" i="21"/>
  <c r="BT212" i="21"/>
  <c r="BS212" i="21"/>
  <c r="BR212" i="21"/>
  <c r="CX211" i="21"/>
  <c r="CW211" i="21"/>
  <c r="CR211" i="21"/>
  <c r="CT211" i="21" s="1"/>
  <c r="CU211" i="21" s="1"/>
  <c r="CP211" i="21"/>
  <c r="CY211" i="21" s="1"/>
  <c r="CO211" i="21"/>
  <c r="CF211" i="21"/>
  <c r="CB211" i="21"/>
  <c r="CA211" i="21"/>
  <c r="BX211" i="21"/>
  <c r="BZ211" i="21" s="1"/>
  <c r="BT211" i="21"/>
  <c r="BS211" i="21"/>
  <c r="BR211" i="21"/>
  <c r="CY210" i="21"/>
  <c r="CX210" i="21"/>
  <c r="CW210" i="21"/>
  <c r="CR210" i="21"/>
  <c r="CT210" i="21" s="1"/>
  <c r="CU210" i="21" s="1"/>
  <c r="CP210" i="21"/>
  <c r="CO210" i="21"/>
  <c r="CF210" i="21"/>
  <c r="CB210" i="21"/>
  <c r="CA210" i="21"/>
  <c r="BZ210" i="21"/>
  <c r="BX210" i="21"/>
  <c r="BT210" i="21"/>
  <c r="BS210" i="21"/>
  <c r="BR210" i="21"/>
  <c r="CY209" i="21"/>
  <c r="CX209" i="21"/>
  <c r="CW209" i="21"/>
  <c r="CT209" i="21"/>
  <c r="CU209" i="21" s="1"/>
  <c r="CS209" i="21"/>
  <c r="CR209" i="21"/>
  <c r="CP209" i="21"/>
  <c r="CO209" i="21"/>
  <c r="CF209" i="21"/>
  <c r="CB209" i="21"/>
  <c r="CA209" i="21"/>
  <c r="BZ209" i="21"/>
  <c r="BX209" i="21"/>
  <c r="BT209" i="21"/>
  <c r="BS209" i="21"/>
  <c r="BR209" i="21"/>
  <c r="CX208" i="21"/>
  <c r="CW208" i="21"/>
  <c r="CR208" i="21"/>
  <c r="CT208" i="21" s="1"/>
  <c r="CU208" i="21" s="1"/>
  <c r="CP208" i="21"/>
  <c r="CY208" i="21" s="1"/>
  <c r="CO208" i="21"/>
  <c r="CF208" i="21"/>
  <c r="CB208" i="21"/>
  <c r="CA208" i="21"/>
  <c r="BX208" i="21"/>
  <c r="BZ208" i="21" s="1"/>
  <c r="BT208" i="21"/>
  <c r="BS208" i="21"/>
  <c r="BR208" i="21"/>
  <c r="CX206" i="21"/>
  <c r="CW206" i="21"/>
  <c r="CR206" i="21"/>
  <c r="CT206" i="21" s="1"/>
  <c r="CU206" i="21" s="1"/>
  <c r="CP206" i="21"/>
  <c r="CY206" i="21" s="1"/>
  <c r="CO206" i="21"/>
  <c r="CF206" i="21"/>
  <c r="CB206" i="21"/>
  <c r="CA206" i="21"/>
  <c r="BX206" i="21"/>
  <c r="BZ206" i="21" s="1"/>
  <c r="BT206" i="21"/>
  <c r="BS206" i="21"/>
  <c r="BR206" i="21"/>
  <c r="CY205" i="21"/>
  <c r="CX205" i="21"/>
  <c r="CW205" i="21"/>
  <c r="CU205" i="21"/>
  <c r="CT205" i="21"/>
  <c r="CR205" i="21"/>
  <c r="CS205" i="21" s="1"/>
  <c r="CP205" i="21"/>
  <c r="CO205" i="21"/>
  <c r="CF205" i="21"/>
  <c r="CB205" i="21"/>
  <c r="CA205" i="21"/>
  <c r="BZ205" i="21"/>
  <c r="BX205" i="21"/>
  <c r="BT205" i="21"/>
  <c r="BS205" i="21"/>
  <c r="BR205" i="21"/>
  <c r="CX204" i="21"/>
  <c r="CW204" i="21"/>
  <c r="CR204" i="21"/>
  <c r="CT204" i="21" s="1"/>
  <c r="CU204" i="21" s="1"/>
  <c r="CP204" i="21"/>
  <c r="CY204" i="21" s="1"/>
  <c r="CO204" i="21"/>
  <c r="CF204" i="21"/>
  <c r="CB204" i="21"/>
  <c r="CA204" i="21"/>
  <c r="BX204" i="21"/>
  <c r="BZ204" i="21" s="1"/>
  <c r="BT204" i="21"/>
  <c r="BS204" i="21"/>
  <c r="BR204" i="21"/>
  <c r="CY203" i="21"/>
  <c r="CX203" i="21"/>
  <c r="CW203" i="21"/>
  <c r="CR203" i="21"/>
  <c r="CP203" i="21"/>
  <c r="CO203" i="21"/>
  <c r="CF203" i="21"/>
  <c r="CB203" i="21"/>
  <c r="CA203" i="21"/>
  <c r="BX203" i="21"/>
  <c r="BZ203" i="21" s="1"/>
  <c r="BT203" i="21"/>
  <c r="BS203" i="21"/>
  <c r="BR203" i="21"/>
  <c r="CY202" i="21"/>
  <c r="CX202" i="21"/>
  <c r="CW202" i="21"/>
  <c r="CR202" i="21"/>
  <c r="CT202" i="21" s="1"/>
  <c r="CU202" i="21" s="1"/>
  <c r="CP202" i="21"/>
  <c r="CO202" i="21"/>
  <c r="CF202" i="21"/>
  <c r="CB202" i="21"/>
  <c r="CA202" i="21"/>
  <c r="BZ202" i="21"/>
  <c r="BX202" i="21"/>
  <c r="BT202" i="21"/>
  <c r="BS202" i="21"/>
  <c r="BR202" i="21"/>
  <c r="CY201" i="21"/>
  <c r="CX201" i="21"/>
  <c r="CW201" i="21"/>
  <c r="CT201" i="21"/>
  <c r="CU201" i="21" s="1"/>
  <c r="CS201" i="21"/>
  <c r="CR201" i="21"/>
  <c r="CP201" i="21"/>
  <c r="CO201" i="21"/>
  <c r="CF201" i="21"/>
  <c r="CB201" i="21"/>
  <c r="CA201" i="21"/>
  <c r="BZ201" i="21"/>
  <c r="BX201" i="21"/>
  <c r="BT201" i="21"/>
  <c r="BS201" i="21"/>
  <c r="BR201" i="21"/>
  <c r="CX200" i="21"/>
  <c r="CW200" i="21"/>
  <c r="CS200" i="21"/>
  <c r="CR200" i="21"/>
  <c r="CT200" i="21" s="1"/>
  <c r="CU200" i="21" s="1"/>
  <c r="CP200" i="21"/>
  <c r="CY200" i="21" s="1"/>
  <c r="CO200" i="21"/>
  <c r="CF200" i="21"/>
  <c r="CB200" i="21"/>
  <c r="CA200" i="21"/>
  <c r="BX200" i="21"/>
  <c r="BZ200" i="21" s="1"/>
  <c r="BT200" i="21"/>
  <c r="BS200" i="21"/>
  <c r="BR200" i="21"/>
  <c r="CY199" i="21"/>
  <c r="CX199" i="21"/>
  <c r="CW199" i="21"/>
  <c r="CR199" i="21"/>
  <c r="CT199" i="21" s="1"/>
  <c r="CU199" i="21" s="1"/>
  <c r="CP199" i="21"/>
  <c r="CO199" i="21"/>
  <c r="CF199" i="21"/>
  <c r="CB199" i="21"/>
  <c r="CA199" i="21"/>
  <c r="BZ199" i="21"/>
  <c r="BX199" i="21"/>
  <c r="BT199" i="21"/>
  <c r="BS199" i="21"/>
  <c r="BR199" i="21"/>
  <c r="CY197" i="21"/>
  <c r="CX197" i="21"/>
  <c r="CW197" i="21"/>
  <c r="CT197" i="21"/>
  <c r="CU197" i="21" s="1"/>
  <c r="CS197" i="21"/>
  <c r="CR197" i="21"/>
  <c r="CP197" i="21"/>
  <c r="CO197" i="21"/>
  <c r="CF197" i="21"/>
  <c r="CB197" i="21"/>
  <c r="CA197" i="21"/>
  <c r="BX197" i="21"/>
  <c r="BZ197" i="21" s="1"/>
  <c r="BT197" i="21"/>
  <c r="BS197" i="21"/>
  <c r="BR197" i="21"/>
  <c r="CX196" i="21"/>
  <c r="CW196" i="21"/>
  <c r="CR196" i="21"/>
  <c r="CT196" i="21" s="1"/>
  <c r="CU196" i="21" s="1"/>
  <c r="CP196" i="21"/>
  <c r="CY196" i="21" s="1"/>
  <c r="CO196" i="21"/>
  <c r="CF196" i="21"/>
  <c r="CB196" i="21"/>
  <c r="CA196" i="21"/>
  <c r="BX196" i="21"/>
  <c r="BZ196" i="21" s="1"/>
  <c r="BT196" i="21"/>
  <c r="BS196" i="21"/>
  <c r="BR196" i="21"/>
  <c r="CY195" i="21"/>
  <c r="CX195" i="21"/>
  <c r="CW195" i="21"/>
  <c r="CR195" i="21"/>
  <c r="CT195" i="21" s="1"/>
  <c r="CU195" i="21" s="1"/>
  <c r="CP195" i="21"/>
  <c r="CO195" i="21"/>
  <c r="CF195" i="21"/>
  <c r="CB195" i="21"/>
  <c r="CA195" i="21"/>
  <c r="BX195" i="21"/>
  <c r="BZ195" i="21" s="1"/>
  <c r="BT195" i="21"/>
  <c r="BS195" i="21"/>
  <c r="BR195" i="21"/>
  <c r="CY194" i="21"/>
  <c r="CX194" i="21"/>
  <c r="CW194" i="21"/>
  <c r="CT194" i="21"/>
  <c r="CU194" i="21" s="1"/>
  <c r="CR194" i="21"/>
  <c r="CS194" i="21" s="1"/>
  <c r="CP194" i="21"/>
  <c r="CO194" i="21"/>
  <c r="CF194" i="21"/>
  <c r="CB194" i="21"/>
  <c r="CA194" i="21"/>
  <c r="BZ194" i="21"/>
  <c r="BX194" i="21"/>
  <c r="BT194" i="21"/>
  <c r="BS194" i="21"/>
  <c r="BR194" i="21"/>
  <c r="CX193" i="21"/>
  <c r="CW193" i="21"/>
  <c r="CR193" i="21"/>
  <c r="CT193" i="21" s="1"/>
  <c r="CU193" i="21" s="1"/>
  <c r="CP193" i="21"/>
  <c r="CY193" i="21" s="1"/>
  <c r="CO193" i="21"/>
  <c r="CF193" i="21"/>
  <c r="CB193" i="21"/>
  <c r="CA193" i="21"/>
  <c r="BX193" i="21"/>
  <c r="BZ193" i="21" s="1"/>
  <c r="BT193" i="21"/>
  <c r="BS193" i="21"/>
  <c r="BR193" i="21"/>
  <c r="CX192" i="21"/>
  <c r="CW192" i="21"/>
  <c r="CR192" i="21"/>
  <c r="CP192" i="21"/>
  <c r="CY192" i="21" s="1"/>
  <c r="CO192" i="21"/>
  <c r="CF192" i="21"/>
  <c r="CB192" i="21"/>
  <c r="CA192" i="21"/>
  <c r="BX192" i="21"/>
  <c r="BZ192" i="21" s="1"/>
  <c r="BT192" i="21"/>
  <c r="BS192" i="21"/>
  <c r="BR192" i="21"/>
  <c r="CY191" i="21"/>
  <c r="CX191" i="21"/>
  <c r="CW191" i="21"/>
  <c r="CU191" i="21"/>
  <c r="CR191" i="21"/>
  <c r="CT191" i="21" s="1"/>
  <c r="CP191" i="21"/>
  <c r="CO191" i="21"/>
  <c r="CF191" i="21"/>
  <c r="CB191" i="21"/>
  <c r="CA191" i="21"/>
  <c r="BX191" i="21"/>
  <c r="BZ191" i="21" s="1"/>
  <c r="BT191" i="21"/>
  <c r="BS191" i="21"/>
  <c r="BR191" i="21"/>
  <c r="CY190" i="21"/>
  <c r="CX190" i="21"/>
  <c r="CW190" i="21"/>
  <c r="CT190" i="21"/>
  <c r="CU190" i="21" s="1"/>
  <c r="CR190" i="21"/>
  <c r="CS190" i="21" s="1"/>
  <c r="CP190" i="21"/>
  <c r="CO190" i="21"/>
  <c r="CF190" i="21"/>
  <c r="CB190" i="21"/>
  <c r="CA190" i="21"/>
  <c r="BZ190" i="21"/>
  <c r="BX190" i="21"/>
  <c r="BT190" i="21"/>
  <c r="BS190" i="21"/>
  <c r="BR190" i="21"/>
  <c r="CX188" i="21"/>
  <c r="CW188" i="21"/>
  <c r="CR188" i="21"/>
  <c r="CT188" i="21" s="1"/>
  <c r="CU188" i="21" s="1"/>
  <c r="CP188" i="21"/>
  <c r="CY188" i="21" s="1"/>
  <c r="CO188" i="21"/>
  <c r="CF188" i="21"/>
  <c r="CB188" i="21"/>
  <c r="CA188" i="21"/>
  <c r="BX188" i="21"/>
  <c r="BZ188" i="21" s="1"/>
  <c r="BT188" i="21"/>
  <c r="BS188" i="21"/>
  <c r="BR188" i="21"/>
  <c r="CY187" i="21"/>
  <c r="CX187" i="21"/>
  <c r="CW187" i="21"/>
  <c r="CR187" i="21"/>
  <c r="CT187" i="21" s="1"/>
  <c r="CU187" i="21" s="1"/>
  <c r="CP187" i="21"/>
  <c r="CO187" i="21"/>
  <c r="CF187" i="21"/>
  <c r="CB187" i="21"/>
  <c r="CA187" i="21"/>
  <c r="BZ187" i="21"/>
  <c r="BX187" i="21"/>
  <c r="BT187" i="21"/>
  <c r="BS187" i="21"/>
  <c r="BR187" i="21"/>
  <c r="CY186" i="21"/>
  <c r="CX186" i="21"/>
  <c r="CW186" i="21"/>
  <c r="CT186" i="21"/>
  <c r="CU186" i="21" s="1"/>
  <c r="CS186" i="21"/>
  <c r="CR186" i="21"/>
  <c r="CP186" i="21"/>
  <c r="CO186" i="21"/>
  <c r="CF186" i="21"/>
  <c r="CB186" i="21"/>
  <c r="CA186" i="21"/>
  <c r="BX186" i="21"/>
  <c r="BZ186" i="21" s="1"/>
  <c r="BT186" i="21"/>
  <c r="BS186" i="21"/>
  <c r="BR186" i="21"/>
  <c r="CX185" i="21"/>
  <c r="CW185" i="21"/>
  <c r="CR185" i="21"/>
  <c r="CT185" i="21" s="1"/>
  <c r="CU185" i="21" s="1"/>
  <c r="CP185" i="21"/>
  <c r="CY185" i="21" s="1"/>
  <c r="CO185" i="21"/>
  <c r="CF185" i="21"/>
  <c r="CB185" i="21"/>
  <c r="CA185" i="21"/>
  <c r="BX185" i="21"/>
  <c r="BZ185" i="21" s="1"/>
  <c r="BT185" i="21"/>
  <c r="BS185" i="21"/>
  <c r="BR185" i="21"/>
  <c r="CY184" i="21"/>
  <c r="CX184" i="21"/>
  <c r="CW184" i="21"/>
  <c r="CR184" i="21"/>
  <c r="CT184" i="21" s="1"/>
  <c r="CU184" i="21" s="1"/>
  <c r="CP184" i="21"/>
  <c r="CO184" i="21"/>
  <c r="CF184" i="21"/>
  <c r="CB184" i="21"/>
  <c r="CA184" i="21"/>
  <c r="BX184" i="21"/>
  <c r="BZ184" i="21" s="1"/>
  <c r="BT184" i="21"/>
  <c r="BS184" i="21"/>
  <c r="BR184" i="21"/>
  <c r="CY183" i="21"/>
  <c r="CX183" i="21"/>
  <c r="CW183" i="21"/>
  <c r="CT183" i="21"/>
  <c r="CU183" i="21" s="1"/>
  <c r="CR183" i="21"/>
  <c r="CS183" i="21" s="1"/>
  <c r="CP183" i="21"/>
  <c r="CO183" i="21"/>
  <c r="CF183" i="21"/>
  <c r="CB183" i="21"/>
  <c r="CA183" i="21"/>
  <c r="BX183" i="21"/>
  <c r="BZ183" i="21" s="1"/>
  <c r="BT183" i="21"/>
  <c r="BS183" i="21"/>
  <c r="BR183" i="21"/>
  <c r="CX182" i="21"/>
  <c r="CW182" i="21"/>
  <c r="CT182" i="21"/>
  <c r="CU182" i="21" s="1"/>
  <c r="CS182" i="21"/>
  <c r="CR182" i="21"/>
  <c r="CP182" i="21"/>
  <c r="CY182" i="21" s="1"/>
  <c r="CO182" i="21"/>
  <c r="CF182" i="21"/>
  <c r="CB182" i="21"/>
  <c r="CA182" i="21"/>
  <c r="BX182" i="21"/>
  <c r="BZ182" i="21" s="1"/>
  <c r="BT182" i="21"/>
  <c r="BS182" i="21"/>
  <c r="BR182" i="21"/>
  <c r="CX181" i="21"/>
  <c r="CW181" i="21"/>
  <c r="CR181" i="21"/>
  <c r="CP181" i="21"/>
  <c r="CY181" i="21" s="1"/>
  <c r="CO181" i="21"/>
  <c r="CF181" i="21"/>
  <c r="CB181" i="21"/>
  <c r="CA181" i="21"/>
  <c r="BX181" i="21"/>
  <c r="BZ181" i="21" s="1"/>
  <c r="BT181" i="21"/>
  <c r="BS181" i="21"/>
  <c r="BR181" i="21"/>
  <c r="CY179" i="21"/>
  <c r="CX179" i="21"/>
  <c r="CW179" i="21"/>
  <c r="CR179" i="21"/>
  <c r="CT179" i="21" s="1"/>
  <c r="CU179" i="21" s="1"/>
  <c r="CP179" i="21"/>
  <c r="CO179" i="21"/>
  <c r="CF179" i="21"/>
  <c r="CB179" i="21"/>
  <c r="CA179" i="21"/>
  <c r="BZ179" i="21"/>
  <c r="BX179" i="21"/>
  <c r="BT179" i="21"/>
  <c r="BS179" i="21"/>
  <c r="BR179" i="21"/>
  <c r="CY178" i="21"/>
  <c r="CX178" i="21"/>
  <c r="CW178" i="21"/>
  <c r="CS178" i="21"/>
  <c r="CR178" i="21"/>
  <c r="CT178" i="21" s="1"/>
  <c r="CU178" i="21" s="1"/>
  <c r="CP178" i="21"/>
  <c r="CO178" i="21"/>
  <c r="CF178" i="21"/>
  <c r="CB178" i="21"/>
  <c r="CA178" i="21"/>
  <c r="BX178" i="21"/>
  <c r="BZ178" i="21" s="1"/>
  <c r="BT178" i="21"/>
  <c r="BS178" i="21"/>
  <c r="BR178" i="21"/>
  <c r="CX177" i="21"/>
  <c r="CW177" i="21"/>
  <c r="CR177" i="21"/>
  <c r="CT177" i="21" s="1"/>
  <c r="CU177" i="21" s="1"/>
  <c r="CP177" i="21"/>
  <c r="CY177" i="21" s="1"/>
  <c r="CO177" i="21"/>
  <c r="CF177" i="21"/>
  <c r="CB177" i="21"/>
  <c r="CA177" i="21"/>
  <c r="BX177" i="21"/>
  <c r="BZ177" i="21" s="1"/>
  <c r="BT177" i="21"/>
  <c r="BS177" i="21"/>
  <c r="BR177" i="21"/>
  <c r="CY176" i="21"/>
  <c r="CX176" i="21"/>
  <c r="CW176" i="21"/>
  <c r="CR176" i="21"/>
  <c r="CT176" i="21" s="1"/>
  <c r="CU176" i="21" s="1"/>
  <c r="CP176" i="21"/>
  <c r="CO176" i="21"/>
  <c r="CF176" i="21"/>
  <c r="CB176" i="21"/>
  <c r="CA176" i="21"/>
  <c r="BZ176" i="21"/>
  <c r="BX176" i="21"/>
  <c r="BT176" i="21"/>
  <c r="BS176" i="21"/>
  <c r="BR176" i="21"/>
  <c r="CY175" i="21"/>
  <c r="CX175" i="21"/>
  <c r="CW175" i="21"/>
  <c r="CU175" i="21"/>
  <c r="CT175" i="21"/>
  <c r="CS175" i="21"/>
  <c r="CR175" i="21"/>
  <c r="CP175" i="21"/>
  <c r="CO175" i="21"/>
  <c r="CF175" i="21"/>
  <c r="CB175" i="21"/>
  <c r="CA175" i="21"/>
  <c r="BX175" i="21"/>
  <c r="BZ175" i="21" s="1"/>
  <c r="BT175" i="21"/>
  <c r="BS175" i="21"/>
  <c r="BR175" i="21"/>
  <c r="CX174" i="21"/>
  <c r="CW174" i="21"/>
  <c r="CR174" i="21"/>
  <c r="CT174" i="21" s="1"/>
  <c r="CU174" i="21" s="1"/>
  <c r="CP174" i="21"/>
  <c r="CY174" i="21" s="1"/>
  <c r="CO174" i="21"/>
  <c r="CF174" i="21"/>
  <c r="CB174" i="21"/>
  <c r="CA174" i="21"/>
  <c r="BX174" i="21"/>
  <c r="BZ174" i="21" s="1"/>
  <c r="BT174" i="21"/>
  <c r="BS174" i="21"/>
  <c r="BR174" i="21"/>
  <c r="CX173" i="21"/>
  <c r="CW173" i="21"/>
  <c r="CR173" i="21"/>
  <c r="CT173" i="21" s="1"/>
  <c r="CU173" i="21" s="1"/>
  <c r="CP173" i="21"/>
  <c r="CY173" i="21" s="1"/>
  <c r="CO173" i="21"/>
  <c r="CF173" i="21"/>
  <c r="CB173" i="21"/>
  <c r="CA173" i="21"/>
  <c r="BX173" i="21"/>
  <c r="BZ173" i="21" s="1"/>
  <c r="BT173" i="21"/>
  <c r="BS173" i="21"/>
  <c r="BR173" i="21"/>
  <c r="CY172" i="21"/>
  <c r="CX172" i="21"/>
  <c r="CW172" i="21"/>
  <c r="CU172" i="21"/>
  <c r="CT172" i="21"/>
  <c r="CR172" i="21"/>
  <c r="CS172" i="21" s="1"/>
  <c r="CP172" i="21"/>
  <c r="CO172" i="21"/>
  <c r="CF172" i="21"/>
  <c r="CB172" i="21"/>
  <c r="CA172" i="21"/>
  <c r="BX172" i="21"/>
  <c r="BZ172" i="21" s="1"/>
  <c r="BT172" i="21"/>
  <c r="BS172" i="21"/>
  <c r="BR172" i="21"/>
  <c r="CX170" i="21"/>
  <c r="CW170" i="21"/>
  <c r="CR170" i="21"/>
  <c r="CT170" i="21" s="1"/>
  <c r="CU170" i="21" s="1"/>
  <c r="CP170" i="21"/>
  <c r="CY170" i="21" s="1"/>
  <c r="CO170" i="21"/>
  <c r="CF170" i="21"/>
  <c r="CB170" i="21"/>
  <c r="CA170" i="21"/>
  <c r="BX170" i="21"/>
  <c r="BZ170" i="21" s="1"/>
  <c r="BT170" i="21"/>
  <c r="BS170" i="21"/>
  <c r="BR170" i="21"/>
  <c r="CY169" i="21"/>
  <c r="CX169" i="21"/>
  <c r="CW169" i="21"/>
  <c r="CR169" i="21"/>
  <c r="CP169" i="21"/>
  <c r="CO169" i="21"/>
  <c r="CF169" i="21"/>
  <c r="CB169" i="21"/>
  <c r="CA169" i="21"/>
  <c r="BX169" i="21"/>
  <c r="BZ169" i="21" s="1"/>
  <c r="BT169" i="21"/>
  <c r="BS169" i="21"/>
  <c r="BR169" i="21"/>
  <c r="CY168" i="21"/>
  <c r="CX168" i="21"/>
  <c r="CW168" i="21"/>
  <c r="CU168" i="21"/>
  <c r="CR168" i="21"/>
  <c r="CT168" i="21" s="1"/>
  <c r="CP168" i="21"/>
  <c r="CO168" i="21"/>
  <c r="CF168" i="21"/>
  <c r="CB168" i="21"/>
  <c r="CA168" i="21"/>
  <c r="BX168" i="21"/>
  <c r="BZ168" i="21" s="1"/>
  <c r="BT168" i="21"/>
  <c r="BS168" i="21"/>
  <c r="BR168" i="21"/>
  <c r="CY167" i="21"/>
  <c r="CX167" i="21"/>
  <c r="CW167" i="21"/>
  <c r="CT167" i="21"/>
  <c r="CU167" i="21" s="1"/>
  <c r="CR167" i="21"/>
  <c r="CS167" i="21" s="1"/>
  <c r="CP167" i="21"/>
  <c r="CO167" i="21"/>
  <c r="CF167" i="21"/>
  <c r="CB167" i="21"/>
  <c r="CA167" i="21"/>
  <c r="BX167" i="21"/>
  <c r="BZ167" i="21" s="1"/>
  <c r="BT167" i="21"/>
  <c r="BS167" i="21"/>
  <c r="BR167" i="21"/>
  <c r="CX166" i="21"/>
  <c r="CW166" i="21"/>
  <c r="CR166" i="21"/>
  <c r="CT166" i="21" s="1"/>
  <c r="CU166" i="21" s="1"/>
  <c r="CP166" i="21"/>
  <c r="CY166" i="21" s="1"/>
  <c r="CO166" i="21"/>
  <c r="CF166" i="21"/>
  <c r="CB166" i="21"/>
  <c r="CA166" i="21"/>
  <c r="BX166" i="21"/>
  <c r="BZ166" i="21" s="1"/>
  <c r="BT166" i="21"/>
  <c r="BS166" i="21"/>
  <c r="BR166" i="21"/>
  <c r="CY165" i="21"/>
  <c r="CX165" i="21"/>
  <c r="CW165" i="21"/>
  <c r="CR165" i="21"/>
  <c r="CT165" i="21" s="1"/>
  <c r="CU165" i="21" s="1"/>
  <c r="CP165" i="21"/>
  <c r="CO165" i="21"/>
  <c r="CF165" i="21"/>
  <c r="CB165" i="21"/>
  <c r="CA165" i="21"/>
  <c r="BZ165" i="21"/>
  <c r="BX165" i="21"/>
  <c r="BT165" i="21"/>
  <c r="BS165" i="21"/>
  <c r="BR165" i="21"/>
  <c r="CY164" i="21"/>
  <c r="CX164" i="21"/>
  <c r="CW164" i="21"/>
  <c r="CT164" i="21"/>
  <c r="CU164" i="21" s="1"/>
  <c r="CS164" i="21"/>
  <c r="CR164" i="21"/>
  <c r="CP164" i="21"/>
  <c r="CO164" i="21"/>
  <c r="CF164" i="21"/>
  <c r="CB164" i="21"/>
  <c r="CA164" i="21"/>
  <c r="BX164" i="21"/>
  <c r="BZ164" i="21" s="1"/>
  <c r="BT164" i="21"/>
  <c r="BS164" i="21"/>
  <c r="BR164" i="21"/>
  <c r="CX163" i="21"/>
  <c r="CW163" i="21"/>
  <c r="CT163" i="21"/>
  <c r="CU163" i="21" s="1"/>
  <c r="CR163" i="21"/>
  <c r="CS163" i="21" s="1"/>
  <c r="CP163" i="21"/>
  <c r="CY163" i="21" s="1"/>
  <c r="CO163" i="21"/>
  <c r="CF163" i="21"/>
  <c r="CB163" i="21"/>
  <c r="CA163" i="21"/>
  <c r="BX163" i="21"/>
  <c r="BZ163" i="21" s="1"/>
  <c r="BT163" i="21"/>
  <c r="BS163" i="21"/>
  <c r="BR163" i="21"/>
  <c r="CX161" i="21"/>
  <c r="CW161" i="21"/>
  <c r="CR161" i="21"/>
  <c r="CP161" i="21"/>
  <c r="CY161" i="21" s="1"/>
  <c r="CO161" i="21"/>
  <c r="CF161" i="21"/>
  <c r="CB161" i="21"/>
  <c r="CA161" i="21"/>
  <c r="BX161" i="21"/>
  <c r="BZ161" i="21" s="1"/>
  <c r="BT161" i="21"/>
  <c r="BS161" i="21"/>
  <c r="BR161" i="21"/>
  <c r="CY160" i="21"/>
  <c r="CX160" i="21"/>
  <c r="CW160" i="21"/>
  <c r="CT160" i="21"/>
  <c r="CU160" i="21" s="1"/>
  <c r="CR160" i="21"/>
  <c r="CS160" i="21" s="1"/>
  <c r="CP160" i="21"/>
  <c r="CO160" i="21"/>
  <c r="CF160" i="21"/>
  <c r="CB160" i="21"/>
  <c r="CA160" i="21"/>
  <c r="BX160" i="21"/>
  <c r="BZ160" i="21" s="1"/>
  <c r="BT160" i="21"/>
  <c r="BS160" i="21"/>
  <c r="BR160" i="21"/>
  <c r="CX159" i="21"/>
  <c r="CW159" i="21"/>
  <c r="CT159" i="21"/>
  <c r="CU159" i="21" s="1"/>
  <c r="CR159" i="21"/>
  <c r="CS159" i="21" s="1"/>
  <c r="CP159" i="21"/>
  <c r="CY159" i="21" s="1"/>
  <c r="CO159" i="21"/>
  <c r="CF159" i="21"/>
  <c r="CB159" i="21"/>
  <c r="CA159" i="21"/>
  <c r="BX159" i="21"/>
  <c r="BZ159" i="21" s="1"/>
  <c r="BT159" i="21"/>
  <c r="BS159" i="21"/>
  <c r="BR159" i="21"/>
  <c r="CY158" i="21"/>
  <c r="CX158" i="21"/>
  <c r="CW158" i="21"/>
  <c r="CS158" i="21"/>
  <c r="CR158" i="21"/>
  <c r="CT158" i="21" s="1"/>
  <c r="CU158" i="21" s="1"/>
  <c r="CP158" i="21"/>
  <c r="CO158" i="21"/>
  <c r="CF158" i="21"/>
  <c r="CB158" i="21"/>
  <c r="CA158" i="21"/>
  <c r="BX158" i="21"/>
  <c r="BZ158" i="21" s="1"/>
  <c r="BT158" i="21"/>
  <c r="BS158" i="21"/>
  <c r="BR158" i="21"/>
  <c r="CY157" i="21"/>
  <c r="CX157" i="21"/>
  <c r="CW157" i="21"/>
  <c r="CU157" i="21"/>
  <c r="CR157" i="21"/>
  <c r="CT157" i="21" s="1"/>
  <c r="CP157" i="21"/>
  <c r="CO157" i="21"/>
  <c r="CF157" i="21"/>
  <c r="CB157" i="21"/>
  <c r="CA157" i="21"/>
  <c r="BX157" i="21"/>
  <c r="BZ157" i="21" s="1"/>
  <c r="BT157" i="21"/>
  <c r="BS157" i="21"/>
  <c r="BR157" i="21"/>
  <c r="CY155" i="21"/>
  <c r="CX155" i="21"/>
  <c r="CW155" i="21"/>
  <c r="CT155" i="21"/>
  <c r="CU155" i="21" s="1"/>
  <c r="CR155" i="21"/>
  <c r="CS155" i="21" s="1"/>
  <c r="CP155" i="21"/>
  <c r="CO155" i="21"/>
  <c r="CF155" i="21"/>
  <c r="CB155" i="21"/>
  <c r="CA155" i="21"/>
  <c r="BX155" i="21"/>
  <c r="BZ155" i="21" s="1"/>
  <c r="BT155" i="21"/>
  <c r="BS155" i="21"/>
  <c r="BR155" i="21"/>
  <c r="CX154" i="21"/>
  <c r="CW154" i="21"/>
  <c r="CR154" i="21"/>
  <c r="CT154" i="21" s="1"/>
  <c r="CU154" i="21" s="1"/>
  <c r="CP154" i="21"/>
  <c r="CY154" i="21" s="1"/>
  <c r="CO154" i="21"/>
  <c r="CF154" i="21"/>
  <c r="CB154" i="21"/>
  <c r="CA154" i="21"/>
  <c r="BX154" i="21"/>
  <c r="BZ154" i="21" s="1"/>
  <c r="BT154" i="21"/>
  <c r="BS154" i="21"/>
  <c r="BR154" i="21"/>
  <c r="CY153" i="21"/>
  <c r="CX153" i="21"/>
  <c r="CW153" i="21"/>
  <c r="CR153" i="21"/>
  <c r="CT153" i="21" s="1"/>
  <c r="CU153" i="21" s="1"/>
  <c r="CP153" i="21"/>
  <c r="CO153" i="21"/>
  <c r="CF153" i="21"/>
  <c r="CB153" i="21"/>
  <c r="CA153" i="21"/>
  <c r="BZ153" i="21"/>
  <c r="BX153" i="21"/>
  <c r="BT153" i="21"/>
  <c r="BS153" i="21"/>
  <c r="BR153" i="21"/>
  <c r="CY152" i="21"/>
  <c r="CX152" i="21"/>
  <c r="CW152" i="21"/>
  <c r="CU152" i="21"/>
  <c r="CT152" i="21"/>
  <c r="CS152" i="21"/>
  <c r="CR152" i="21"/>
  <c r="CP152" i="21"/>
  <c r="CO152" i="21"/>
  <c r="CF152" i="21"/>
  <c r="CB152" i="21"/>
  <c r="CA152" i="21"/>
  <c r="BX152" i="21"/>
  <c r="BZ152" i="21" s="1"/>
  <c r="BT152" i="21"/>
  <c r="BS152" i="21"/>
  <c r="BR152" i="21"/>
  <c r="CX151" i="21"/>
  <c r="CW151" i="21"/>
  <c r="CR151" i="21"/>
  <c r="CT151" i="21" s="1"/>
  <c r="CU151" i="21" s="1"/>
  <c r="CP151" i="21"/>
  <c r="CY151" i="21" s="1"/>
  <c r="CO151" i="21"/>
  <c r="CF151" i="21"/>
  <c r="CB151" i="21"/>
  <c r="CA151" i="21"/>
  <c r="BX151" i="21"/>
  <c r="BZ151" i="21" s="1"/>
  <c r="BT151" i="21"/>
  <c r="BS151" i="21"/>
  <c r="BR151" i="21"/>
  <c r="CX149" i="21"/>
  <c r="CW149" i="21"/>
  <c r="CR149" i="21"/>
  <c r="CP149" i="21"/>
  <c r="CY149" i="21" s="1"/>
  <c r="CO149" i="21"/>
  <c r="CF149" i="21"/>
  <c r="CB149" i="21"/>
  <c r="CA149" i="21"/>
  <c r="BX149" i="21"/>
  <c r="BZ149" i="21" s="1"/>
  <c r="BT149" i="21"/>
  <c r="BS149" i="21"/>
  <c r="BR149" i="21"/>
  <c r="CY148" i="21"/>
  <c r="CX148" i="21"/>
  <c r="CW148" i="21"/>
  <c r="CT148" i="21"/>
  <c r="CU148" i="21" s="1"/>
  <c r="CR148" i="21"/>
  <c r="CS148" i="21" s="1"/>
  <c r="CP148" i="21"/>
  <c r="CO148" i="21"/>
  <c r="CF148" i="21"/>
  <c r="CB148" i="21"/>
  <c r="CA148" i="21"/>
  <c r="BX148" i="21"/>
  <c r="BZ148" i="21" s="1"/>
  <c r="BT148" i="21"/>
  <c r="BS148" i="21"/>
  <c r="BR148" i="21"/>
  <c r="CX147" i="21"/>
  <c r="CW147" i="21"/>
  <c r="CS147" i="21"/>
  <c r="CR147" i="21"/>
  <c r="CT147" i="21" s="1"/>
  <c r="CU147" i="21" s="1"/>
  <c r="CP147" i="21"/>
  <c r="CY147" i="21" s="1"/>
  <c r="CO147" i="21"/>
  <c r="CF147" i="21"/>
  <c r="CB147" i="21"/>
  <c r="CA147" i="21"/>
  <c r="BX147" i="21"/>
  <c r="BZ147" i="21" s="1"/>
  <c r="BT147" i="21"/>
  <c r="BS147" i="21"/>
  <c r="BR147" i="21"/>
  <c r="CY146" i="21"/>
  <c r="CX146" i="21"/>
  <c r="CW146" i="21"/>
  <c r="CR146" i="21"/>
  <c r="CT146" i="21" s="1"/>
  <c r="CU146" i="21" s="1"/>
  <c r="CP146" i="21"/>
  <c r="CO146" i="21"/>
  <c r="CF146" i="21"/>
  <c r="CB146" i="21"/>
  <c r="CA146" i="21"/>
  <c r="BX146" i="21"/>
  <c r="BZ146" i="21" s="1"/>
  <c r="BT146" i="21"/>
  <c r="BS146" i="21"/>
  <c r="BR146" i="21"/>
  <c r="CY145" i="21"/>
  <c r="CX145" i="21"/>
  <c r="CW145" i="21"/>
  <c r="CR145" i="21"/>
  <c r="CT145" i="21" s="1"/>
  <c r="CU145" i="21" s="1"/>
  <c r="CP145" i="21"/>
  <c r="CO145" i="21"/>
  <c r="CF145" i="21"/>
  <c r="CB145" i="21"/>
  <c r="CA145" i="21"/>
  <c r="BX145" i="21"/>
  <c r="BZ145" i="21" s="1"/>
  <c r="BT145" i="21"/>
  <c r="BS145" i="21"/>
  <c r="BR145" i="21"/>
  <c r="CV143" i="21"/>
  <c r="CX143" i="21" s="1"/>
  <c r="CY143" i="21" s="1"/>
  <c r="CU143" i="21"/>
  <c r="CT143" i="21"/>
  <c r="CS143" i="21"/>
  <c r="CP143" i="21"/>
  <c r="CO143" i="21"/>
  <c r="CF143" i="21"/>
  <c r="CB143" i="21"/>
  <c r="CA143" i="21"/>
  <c r="BX143" i="21"/>
  <c r="BZ143" i="21" s="1"/>
  <c r="BT143" i="21"/>
  <c r="BS143" i="21"/>
  <c r="BR143" i="21"/>
  <c r="CV142" i="21"/>
  <c r="CX142" i="21" s="1"/>
  <c r="CY142" i="21" s="1"/>
  <c r="CU142" i="21"/>
  <c r="CT142" i="21"/>
  <c r="CS142" i="21"/>
  <c r="CP142" i="21"/>
  <c r="CO142" i="21"/>
  <c r="CF142" i="21"/>
  <c r="CB142" i="21"/>
  <c r="CA142" i="21"/>
  <c r="BX142" i="21"/>
  <c r="BZ142" i="21" s="1"/>
  <c r="BT142" i="21"/>
  <c r="BS142" i="21"/>
  <c r="BR142" i="21"/>
  <c r="CY141" i="21"/>
  <c r="CX141" i="21"/>
  <c r="CW141" i="21"/>
  <c r="CV141" i="21"/>
  <c r="CT141" i="21"/>
  <c r="CS141" i="21"/>
  <c r="CP141" i="21"/>
  <c r="CU141" i="21" s="1"/>
  <c r="CO141" i="21"/>
  <c r="CF141" i="21"/>
  <c r="CB141" i="21"/>
  <c r="CA141" i="21"/>
  <c r="BZ141" i="21"/>
  <c r="BX141" i="21"/>
  <c r="BT141" i="21"/>
  <c r="BS141" i="21"/>
  <c r="BR141" i="21"/>
  <c r="CW140" i="21"/>
  <c r="CV140" i="21"/>
  <c r="CX140" i="21" s="1"/>
  <c r="CY140" i="21" s="1"/>
  <c r="CU140" i="21"/>
  <c r="CT140" i="21"/>
  <c r="CS140" i="21"/>
  <c r="CP140" i="21"/>
  <c r="CO140" i="21"/>
  <c r="CF140" i="21"/>
  <c r="CB140" i="21"/>
  <c r="CA140" i="21"/>
  <c r="BZ140" i="21"/>
  <c r="BX140" i="21"/>
  <c r="BT140" i="21"/>
  <c r="BS140" i="21"/>
  <c r="BR140" i="21"/>
  <c r="CV139" i="21"/>
  <c r="CU139" i="21"/>
  <c r="CT139" i="21"/>
  <c r="CS139" i="21"/>
  <c r="CP139" i="21"/>
  <c r="CO139" i="21"/>
  <c r="CF139" i="21"/>
  <c r="CB139" i="21"/>
  <c r="CA139" i="21"/>
  <c r="BX139" i="21"/>
  <c r="BZ139" i="21" s="1"/>
  <c r="BT139" i="21"/>
  <c r="BS139" i="21"/>
  <c r="BR139" i="21"/>
  <c r="CP137" i="21"/>
  <c r="CO137" i="21"/>
  <c r="CF137" i="21"/>
  <c r="CB137" i="21"/>
  <c r="CA137" i="21"/>
  <c r="BX137" i="21"/>
  <c r="BZ137" i="21" s="1"/>
  <c r="BT137" i="21"/>
  <c r="BS137" i="21"/>
  <c r="BR137" i="21"/>
  <c r="CP136" i="21"/>
  <c r="CO136" i="21"/>
  <c r="CF136" i="21"/>
  <c r="CB136" i="21"/>
  <c r="CA136" i="21"/>
  <c r="BX136" i="21"/>
  <c r="BZ136" i="21" s="1"/>
  <c r="BT136" i="21"/>
  <c r="BS136" i="21"/>
  <c r="BR136" i="21"/>
  <c r="CP135" i="21"/>
  <c r="CO135" i="21"/>
  <c r="CF135" i="21"/>
  <c r="CB135" i="21"/>
  <c r="CA135" i="21"/>
  <c r="BX135" i="21"/>
  <c r="BZ135" i="21" s="1"/>
  <c r="BT135" i="21"/>
  <c r="BS135" i="21"/>
  <c r="BR135" i="21"/>
  <c r="CP134" i="21"/>
  <c r="CO134" i="21"/>
  <c r="CF134" i="21"/>
  <c r="CB134" i="21"/>
  <c r="CA134" i="21"/>
  <c r="BX134" i="21"/>
  <c r="BZ134" i="21" s="1"/>
  <c r="BT134" i="21"/>
  <c r="BS134" i="21"/>
  <c r="BR134" i="21"/>
  <c r="CP133" i="21"/>
  <c r="CO133" i="21"/>
  <c r="CF133" i="21"/>
  <c r="CB133" i="21"/>
  <c r="CA133" i="21"/>
  <c r="BX133" i="21"/>
  <c r="BZ133" i="21" s="1"/>
  <c r="BT133" i="21"/>
  <c r="BS133" i="21"/>
  <c r="BR133" i="21"/>
  <c r="CP132" i="21"/>
  <c r="CO132" i="21"/>
  <c r="CF132" i="21"/>
  <c r="CB132" i="21"/>
  <c r="CA132" i="21"/>
  <c r="BX132" i="21"/>
  <c r="BZ132" i="21" s="1"/>
  <c r="BT132" i="21"/>
  <c r="BS132" i="21"/>
  <c r="BR132" i="21"/>
  <c r="CP131" i="21"/>
  <c r="CO131" i="21"/>
  <c r="CF131" i="21"/>
  <c r="CB131" i="21"/>
  <c r="CA131" i="21"/>
  <c r="BX131" i="21"/>
  <c r="BZ131" i="21" s="1"/>
  <c r="BT131" i="21"/>
  <c r="BS131" i="21"/>
  <c r="BR131" i="21"/>
  <c r="CP130" i="21"/>
  <c r="CO130" i="21"/>
  <c r="CF130" i="21"/>
  <c r="CB130" i="21"/>
  <c r="CA130" i="21"/>
  <c r="BX130" i="21"/>
  <c r="BZ130" i="21" s="1"/>
  <c r="BT130" i="21"/>
  <c r="BS130" i="21"/>
  <c r="BR130" i="21"/>
  <c r="CP128" i="21"/>
  <c r="CO128" i="21"/>
  <c r="CF128" i="21"/>
  <c r="CB128" i="21"/>
  <c r="CA128" i="21"/>
  <c r="BX128" i="21"/>
  <c r="BZ128" i="21" s="1"/>
  <c r="BT128" i="21"/>
  <c r="BS128" i="21"/>
  <c r="BR128" i="21"/>
  <c r="CP127" i="21"/>
  <c r="CO127" i="21"/>
  <c r="CF127" i="21"/>
  <c r="CB127" i="21"/>
  <c r="CA127" i="21"/>
  <c r="BX127" i="21"/>
  <c r="BZ127" i="21" s="1"/>
  <c r="BT127" i="21"/>
  <c r="BS127" i="21"/>
  <c r="BR127" i="21"/>
  <c r="CP126" i="21"/>
  <c r="CO126" i="21"/>
  <c r="CF126" i="21"/>
  <c r="CB126" i="21"/>
  <c r="CA126" i="21"/>
  <c r="BX126" i="21"/>
  <c r="BZ126" i="21" s="1"/>
  <c r="BT126" i="21"/>
  <c r="BS126" i="21"/>
  <c r="BR126" i="21"/>
  <c r="CP125" i="21"/>
  <c r="CO125" i="21"/>
  <c r="CF125" i="21"/>
  <c r="CB125" i="21"/>
  <c r="CA125" i="21"/>
  <c r="BX125" i="21"/>
  <c r="BZ125" i="21" s="1"/>
  <c r="BT125" i="21"/>
  <c r="BS125" i="21"/>
  <c r="BR125" i="21"/>
  <c r="CP124" i="21"/>
  <c r="CO124" i="21"/>
  <c r="CF124" i="21"/>
  <c r="CB124" i="21"/>
  <c r="CA124" i="21"/>
  <c r="BX124" i="21"/>
  <c r="BZ124" i="21" s="1"/>
  <c r="BT124" i="21"/>
  <c r="BS124" i="21"/>
  <c r="BR124" i="21"/>
  <c r="CP123" i="21"/>
  <c r="CO123" i="21"/>
  <c r="CF123" i="21"/>
  <c r="CB123" i="21"/>
  <c r="CA123" i="21"/>
  <c r="BX123" i="21"/>
  <c r="BZ123" i="21" s="1"/>
  <c r="BT123" i="21"/>
  <c r="BS123" i="21"/>
  <c r="BR123" i="21"/>
  <c r="CP122" i="21"/>
  <c r="CO122" i="21"/>
  <c r="CF122" i="21"/>
  <c r="CB122" i="21"/>
  <c r="CA122" i="21"/>
  <c r="BX122" i="21"/>
  <c r="BZ122" i="21" s="1"/>
  <c r="BT122" i="21"/>
  <c r="BS122" i="21"/>
  <c r="BR122" i="21"/>
  <c r="CP121" i="21"/>
  <c r="CO121" i="21"/>
  <c r="CF121" i="21"/>
  <c r="CB121" i="21"/>
  <c r="CA121" i="21"/>
  <c r="BX121" i="21"/>
  <c r="BZ121" i="21" s="1"/>
  <c r="BT121" i="21"/>
  <c r="BS121" i="21"/>
  <c r="BR121" i="21"/>
  <c r="CP119" i="21"/>
  <c r="CO119" i="21"/>
  <c r="CF119" i="21"/>
  <c r="CB119" i="21"/>
  <c r="CA119" i="21"/>
  <c r="BX119" i="21"/>
  <c r="BZ119" i="21" s="1"/>
  <c r="BT119" i="21"/>
  <c r="BS119" i="21"/>
  <c r="BR119" i="21"/>
  <c r="CP118" i="21"/>
  <c r="CO118" i="21"/>
  <c r="CF118" i="21"/>
  <c r="CB118" i="21"/>
  <c r="CA118" i="21"/>
  <c r="BX118" i="21"/>
  <c r="BZ118" i="21" s="1"/>
  <c r="BT118" i="21"/>
  <c r="BS118" i="21"/>
  <c r="BR118" i="21"/>
  <c r="CP117" i="21"/>
  <c r="CO117" i="21"/>
  <c r="CF117" i="21"/>
  <c r="CB117" i="21"/>
  <c r="CA117" i="21"/>
  <c r="BX117" i="21"/>
  <c r="BZ117" i="21" s="1"/>
  <c r="BT117" i="21"/>
  <c r="BS117" i="21"/>
  <c r="BR117" i="21"/>
  <c r="CP116" i="21"/>
  <c r="CO116" i="21"/>
  <c r="CF116" i="21"/>
  <c r="CB116" i="21"/>
  <c r="CA116" i="21"/>
  <c r="BX116" i="21"/>
  <c r="BZ116" i="21" s="1"/>
  <c r="BT116" i="21"/>
  <c r="BS116" i="21"/>
  <c r="BR116" i="21"/>
  <c r="CP115" i="21"/>
  <c r="CO115" i="21"/>
  <c r="CF115" i="21"/>
  <c r="CB115" i="21"/>
  <c r="CA115" i="21"/>
  <c r="BX115" i="21"/>
  <c r="BZ115" i="21" s="1"/>
  <c r="BT115" i="21"/>
  <c r="BS115" i="21"/>
  <c r="BR115" i="21"/>
  <c r="CP114" i="21"/>
  <c r="CO114" i="21"/>
  <c r="CF114" i="21"/>
  <c r="CB114" i="21"/>
  <c r="CA114" i="21"/>
  <c r="BX114" i="21"/>
  <c r="BZ114" i="21" s="1"/>
  <c r="BT114" i="21"/>
  <c r="BS114" i="21"/>
  <c r="BR114" i="21"/>
  <c r="CP113" i="21"/>
  <c r="CO113" i="21"/>
  <c r="CF113" i="21"/>
  <c r="CB113" i="21"/>
  <c r="CA113" i="21"/>
  <c r="BX113" i="21"/>
  <c r="BZ113" i="21" s="1"/>
  <c r="BT113" i="21"/>
  <c r="BS113" i="21"/>
  <c r="BR113" i="21"/>
  <c r="CP111" i="21"/>
  <c r="CO111" i="21"/>
  <c r="CF111" i="21"/>
  <c r="CB111" i="21"/>
  <c r="CA111" i="21"/>
  <c r="BX111" i="21"/>
  <c r="BZ111" i="21" s="1"/>
  <c r="BT111" i="21"/>
  <c r="BS111" i="21"/>
  <c r="BR111" i="21"/>
  <c r="CP110" i="21"/>
  <c r="CO110" i="21"/>
  <c r="CF110" i="21"/>
  <c r="CB110" i="21"/>
  <c r="CA110" i="21"/>
  <c r="BX110" i="21"/>
  <c r="BZ110" i="21" s="1"/>
  <c r="BT110" i="21"/>
  <c r="BS110" i="21"/>
  <c r="BR110" i="21"/>
  <c r="CP109" i="21"/>
  <c r="CO109" i="21"/>
  <c r="CF109" i="21"/>
  <c r="CB109" i="21"/>
  <c r="CA109" i="21"/>
  <c r="BX109" i="21"/>
  <c r="BZ109" i="21" s="1"/>
  <c r="BT109" i="21"/>
  <c r="BS109" i="21"/>
  <c r="BR109" i="21"/>
  <c r="CP107" i="21"/>
  <c r="CO107" i="21"/>
  <c r="CF107" i="21"/>
  <c r="CB107" i="21"/>
  <c r="CA107" i="21"/>
  <c r="BX107" i="21"/>
  <c r="BZ107" i="21" s="1"/>
  <c r="BT107" i="21"/>
  <c r="BS107" i="21"/>
  <c r="BR107" i="21"/>
  <c r="CP106" i="21"/>
  <c r="CO106" i="21"/>
  <c r="CF106" i="21"/>
  <c r="CB106" i="21"/>
  <c r="CA106" i="21"/>
  <c r="BX106" i="21"/>
  <c r="BZ106" i="21" s="1"/>
  <c r="BT106" i="21"/>
  <c r="BS106" i="21"/>
  <c r="BR106" i="21"/>
  <c r="CP105" i="21"/>
  <c r="CO105" i="21"/>
  <c r="CF105" i="21"/>
  <c r="CB105" i="21"/>
  <c r="CA105" i="21"/>
  <c r="BX105" i="21"/>
  <c r="BZ105" i="21" s="1"/>
  <c r="BT105" i="21"/>
  <c r="BS105" i="21"/>
  <c r="BR105" i="21"/>
  <c r="CP104" i="21"/>
  <c r="CO104" i="21"/>
  <c r="CF104" i="21"/>
  <c r="CB104" i="21"/>
  <c r="CA104" i="21"/>
  <c r="BX104" i="21"/>
  <c r="BZ104" i="21" s="1"/>
  <c r="BT104" i="21"/>
  <c r="BS104" i="21"/>
  <c r="BR104" i="21"/>
  <c r="CP102" i="21"/>
  <c r="CO102" i="21"/>
  <c r="CF102" i="21"/>
  <c r="CB102" i="21"/>
  <c r="CA102" i="21"/>
  <c r="BX102" i="21"/>
  <c r="BZ102" i="21" s="1"/>
  <c r="BT102" i="21"/>
  <c r="BS102" i="21"/>
  <c r="BR102" i="21"/>
  <c r="CP101" i="21"/>
  <c r="CO101" i="21"/>
  <c r="CF101" i="21"/>
  <c r="CB101" i="21"/>
  <c r="CA101" i="21"/>
  <c r="BX101" i="21"/>
  <c r="BZ101" i="21" s="1"/>
  <c r="BT101" i="21"/>
  <c r="BS101" i="21"/>
  <c r="BR101" i="21"/>
  <c r="CP100" i="21"/>
  <c r="CO100" i="21"/>
  <c r="CF100" i="21"/>
  <c r="CB100" i="21"/>
  <c r="CA100" i="21"/>
  <c r="BX100" i="21"/>
  <c r="BZ100" i="21" s="1"/>
  <c r="BT100" i="21"/>
  <c r="BS100" i="21"/>
  <c r="BR100" i="21"/>
  <c r="CP99" i="21"/>
  <c r="CO99" i="21"/>
  <c r="CF99" i="21"/>
  <c r="CB99" i="21"/>
  <c r="CA99" i="21"/>
  <c r="BX99" i="21"/>
  <c r="BZ99" i="21" s="1"/>
  <c r="BT99" i="21"/>
  <c r="BS99" i="21"/>
  <c r="BR99" i="21"/>
  <c r="CP98" i="21"/>
  <c r="CO98" i="21"/>
  <c r="CF98" i="21"/>
  <c r="CB98" i="21"/>
  <c r="CA98" i="21"/>
  <c r="BX98" i="21"/>
  <c r="BZ98" i="21" s="1"/>
  <c r="BT98" i="21"/>
  <c r="BS98" i="21"/>
  <c r="BR98" i="21"/>
  <c r="CP97" i="21"/>
  <c r="CO97" i="21"/>
  <c r="CF97" i="21"/>
  <c r="CB97" i="21"/>
  <c r="CA97" i="21"/>
  <c r="BX97" i="21"/>
  <c r="BZ97" i="21" s="1"/>
  <c r="BT97" i="21"/>
  <c r="BS97" i="21"/>
  <c r="BR97" i="21"/>
  <c r="CP96" i="21"/>
  <c r="CO96" i="21"/>
  <c r="CF96" i="21"/>
  <c r="CB96" i="21"/>
  <c r="CA96" i="21"/>
  <c r="BX96" i="21"/>
  <c r="BZ96" i="21" s="1"/>
  <c r="BT96" i="21"/>
  <c r="BS96" i="21"/>
  <c r="BR96" i="21"/>
  <c r="CP94" i="21"/>
  <c r="CO94" i="21"/>
  <c r="CF94" i="21"/>
  <c r="CB94" i="21"/>
  <c r="CA94" i="21"/>
  <c r="BX94" i="21"/>
  <c r="BZ94" i="21" s="1"/>
  <c r="BT94" i="21"/>
  <c r="BS94" i="21"/>
  <c r="BR94" i="21"/>
  <c r="CP93" i="21"/>
  <c r="CO93" i="21"/>
  <c r="CF93" i="21"/>
  <c r="CB93" i="21"/>
  <c r="CA93" i="21"/>
  <c r="BX93" i="21"/>
  <c r="BZ93" i="21" s="1"/>
  <c r="BT93" i="21"/>
  <c r="BS93" i="21"/>
  <c r="BR93" i="21"/>
  <c r="CP92" i="21"/>
  <c r="CO92" i="21"/>
  <c r="CF92" i="21"/>
  <c r="CB92" i="21"/>
  <c r="CA92" i="21"/>
  <c r="BX92" i="21"/>
  <c r="BZ92" i="21" s="1"/>
  <c r="BT92" i="21"/>
  <c r="BS92" i="21"/>
  <c r="BR92" i="21"/>
  <c r="CP91" i="21"/>
  <c r="CO91" i="21"/>
  <c r="CF91" i="21"/>
  <c r="CB91" i="21"/>
  <c r="CA91" i="21"/>
  <c r="BX91" i="21"/>
  <c r="BZ91" i="21" s="1"/>
  <c r="BT91" i="21"/>
  <c r="BS91" i="21"/>
  <c r="BR91" i="21"/>
  <c r="CP90" i="21"/>
  <c r="CO90" i="21"/>
  <c r="CF90" i="21"/>
  <c r="CB90" i="21"/>
  <c r="CA90" i="21"/>
  <c r="BX90" i="21"/>
  <c r="BZ90" i="21" s="1"/>
  <c r="BT90" i="21"/>
  <c r="BS90" i="21"/>
  <c r="BR90" i="21"/>
  <c r="CP89" i="21"/>
  <c r="CO89" i="21"/>
  <c r="CF89" i="21"/>
  <c r="CB89" i="21"/>
  <c r="CA89" i="21"/>
  <c r="BX89" i="21"/>
  <c r="BZ89" i="21" s="1"/>
  <c r="BT89" i="21"/>
  <c r="BS89" i="21"/>
  <c r="BR89" i="21"/>
  <c r="CP88" i="21"/>
  <c r="CO88" i="21"/>
  <c r="CF88" i="21"/>
  <c r="CB88" i="21"/>
  <c r="CA88" i="21"/>
  <c r="BX88" i="21"/>
  <c r="BZ88" i="21" s="1"/>
  <c r="BT88" i="21"/>
  <c r="BS88" i="21"/>
  <c r="BR88" i="21"/>
  <c r="CP86" i="21"/>
  <c r="CO86" i="21"/>
  <c r="CF86" i="21"/>
  <c r="CB86" i="21"/>
  <c r="CA86" i="21"/>
  <c r="BX86" i="21"/>
  <c r="BZ86" i="21" s="1"/>
  <c r="BT86" i="21"/>
  <c r="BS86" i="21"/>
  <c r="BR86" i="21"/>
  <c r="CP85" i="21"/>
  <c r="CO85" i="21"/>
  <c r="CF85" i="21"/>
  <c r="CB85" i="21"/>
  <c r="CA85" i="21"/>
  <c r="BX85" i="21"/>
  <c r="BZ85" i="21" s="1"/>
  <c r="BT85" i="21"/>
  <c r="BS85" i="21"/>
  <c r="BR85" i="21"/>
  <c r="CP84" i="21"/>
  <c r="CO84" i="21"/>
  <c r="CF84" i="21"/>
  <c r="CB84" i="21"/>
  <c r="CA84" i="21"/>
  <c r="BX84" i="21"/>
  <c r="BZ84" i="21" s="1"/>
  <c r="BT84" i="21"/>
  <c r="BS84" i="21"/>
  <c r="BR84" i="21"/>
  <c r="CP83" i="21"/>
  <c r="CO83" i="21"/>
  <c r="CF83" i="21"/>
  <c r="CB83" i="21"/>
  <c r="CA83" i="21"/>
  <c r="BX83" i="21"/>
  <c r="BZ83" i="21" s="1"/>
  <c r="BT83" i="21"/>
  <c r="BS83" i="21"/>
  <c r="BR83" i="21"/>
  <c r="CP82" i="21"/>
  <c r="CO82" i="21"/>
  <c r="CF82" i="21"/>
  <c r="CB82" i="21"/>
  <c r="CA82" i="21"/>
  <c r="BX82" i="21"/>
  <c r="BZ82" i="21" s="1"/>
  <c r="BT82" i="21"/>
  <c r="BS82" i="21"/>
  <c r="BR82" i="21"/>
  <c r="CP81" i="21"/>
  <c r="CO81" i="21"/>
  <c r="CF81" i="21"/>
  <c r="CB81" i="21"/>
  <c r="CA81" i="21"/>
  <c r="BX81" i="21"/>
  <c r="BZ81" i="21" s="1"/>
  <c r="BT81" i="21"/>
  <c r="BS81" i="21"/>
  <c r="BR81" i="21"/>
  <c r="CP80" i="21"/>
  <c r="CO80" i="21"/>
  <c r="CF80" i="21"/>
  <c r="CB80" i="21"/>
  <c r="CA80" i="21"/>
  <c r="BZ80" i="21"/>
  <c r="BX80" i="21"/>
  <c r="BT80" i="21"/>
  <c r="BS80" i="21"/>
  <c r="BR80" i="21"/>
  <c r="CP78" i="21"/>
  <c r="CO78" i="21"/>
  <c r="CF78" i="21"/>
  <c r="CB78" i="21"/>
  <c r="CA78" i="21"/>
  <c r="BZ78" i="21"/>
  <c r="BX78" i="21"/>
  <c r="BT78" i="21"/>
  <c r="BS78" i="21"/>
  <c r="BR78" i="21"/>
  <c r="CP77" i="21"/>
  <c r="CO77" i="21"/>
  <c r="CF77" i="21"/>
  <c r="CB77" i="21"/>
  <c r="CA77" i="21"/>
  <c r="BZ77" i="21"/>
  <c r="BX77" i="21"/>
  <c r="BT77" i="21"/>
  <c r="BS77" i="21"/>
  <c r="BR77" i="21"/>
  <c r="CP76" i="21"/>
  <c r="CO76" i="21"/>
  <c r="CF76" i="21"/>
  <c r="CB76" i="21"/>
  <c r="CA76" i="21"/>
  <c r="BZ76" i="21"/>
  <c r="BX76" i="21"/>
  <c r="BT76" i="21"/>
  <c r="BS76" i="21"/>
  <c r="BR76" i="21"/>
  <c r="CP75" i="21"/>
  <c r="CO75" i="21"/>
  <c r="CF75" i="21"/>
  <c r="CB75" i="21"/>
  <c r="CA75" i="21"/>
  <c r="BZ75" i="21"/>
  <c r="BX75" i="21"/>
  <c r="BT75" i="21"/>
  <c r="BS75" i="21"/>
  <c r="BR75" i="21"/>
  <c r="CP74" i="21"/>
  <c r="CO74" i="21"/>
  <c r="CF74" i="21"/>
  <c r="CB74" i="21"/>
  <c r="CA74" i="21"/>
  <c r="BZ74" i="21"/>
  <c r="BX74" i="21"/>
  <c r="BT74" i="21"/>
  <c r="BS74" i="21"/>
  <c r="BR74" i="21"/>
  <c r="CP73" i="21"/>
  <c r="CO73" i="21"/>
  <c r="CF73" i="21"/>
  <c r="CB73" i="21"/>
  <c r="CA73" i="21"/>
  <c r="BX73" i="21"/>
  <c r="BZ73" i="21" s="1"/>
  <c r="BT73" i="21"/>
  <c r="BS73" i="21"/>
  <c r="BR73" i="21"/>
  <c r="CP72" i="21"/>
  <c r="CO72" i="21"/>
  <c r="CF72" i="21"/>
  <c r="CB72" i="21"/>
  <c r="CA72" i="21"/>
  <c r="BZ72" i="21"/>
  <c r="BX72" i="21"/>
  <c r="BT72" i="21"/>
  <c r="BS72" i="21"/>
  <c r="BR72" i="21"/>
  <c r="CP70" i="21"/>
  <c r="CO70" i="21"/>
  <c r="CF70" i="21"/>
  <c r="CB70" i="21"/>
  <c r="CA70" i="21"/>
  <c r="BZ70" i="21"/>
  <c r="BX70" i="21"/>
  <c r="BT70" i="21"/>
  <c r="BS70" i="21"/>
  <c r="BR70" i="21"/>
  <c r="CP69" i="21"/>
  <c r="CO69" i="21"/>
  <c r="CF69" i="21"/>
  <c r="CB69" i="21"/>
  <c r="CA69" i="21"/>
  <c r="BZ69" i="21"/>
  <c r="BX69" i="21"/>
  <c r="BT69" i="21"/>
  <c r="BS69" i="21"/>
  <c r="BR69" i="21"/>
  <c r="CP68" i="21"/>
  <c r="CO68" i="21"/>
  <c r="CF68" i="21"/>
  <c r="CB68" i="21"/>
  <c r="CA68" i="21"/>
  <c r="BZ68" i="21"/>
  <c r="BX68" i="21"/>
  <c r="BT68" i="21"/>
  <c r="BS68" i="21"/>
  <c r="BR68" i="21"/>
  <c r="CP67" i="21"/>
  <c r="CO67" i="21"/>
  <c r="CF67" i="21"/>
  <c r="CB67" i="21"/>
  <c r="CA67" i="21"/>
  <c r="BZ67" i="21"/>
  <c r="BX67" i="21"/>
  <c r="BT67" i="21"/>
  <c r="BS67" i="21"/>
  <c r="BR67" i="21"/>
  <c r="CP66" i="21"/>
  <c r="CO66" i="21"/>
  <c r="CF66" i="21"/>
  <c r="CB66" i="21"/>
  <c r="CA66" i="21"/>
  <c r="BZ66" i="21"/>
  <c r="BX66" i="21"/>
  <c r="BT66" i="21"/>
  <c r="BS66" i="21"/>
  <c r="BR66" i="21"/>
  <c r="CP65" i="21"/>
  <c r="CO65" i="21"/>
  <c r="CF65" i="21"/>
  <c r="CB65" i="21"/>
  <c r="CA65" i="21"/>
  <c r="BZ65" i="21"/>
  <c r="BX65" i="21"/>
  <c r="BT65" i="21"/>
  <c r="BS65" i="21"/>
  <c r="BR65" i="21"/>
  <c r="CP64" i="21"/>
  <c r="CO64" i="21"/>
  <c r="CF64" i="21"/>
  <c r="CB64" i="21"/>
  <c r="CA64" i="21"/>
  <c r="BZ64" i="21"/>
  <c r="BX64" i="21"/>
  <c r="BT64" i="21"/>
  <c r="BS64" i="21"/>
  <c r="BR64" i="21"/>
  <c r="CP62" i="21"/>
  <c r="CO62" i="21"/>
  <c r="CF62" i="21"/>
  <c r="CB62" i="21"/>
  <c r="CA62" i="21"/>
  <c r="BZ62" i="21"/>
  <c r="BX62" i="21"/>
  <c r="BT62" i="21"/>
  <c r="BS62" i="21"/>
  <c r="BR62" i="21"/>
  <c r="CP61" i="21"/>
  <c r="CO61" i="21"/>
  <c r="CF61" i="21"/>
  <c r="CB61" i="21"/>
  <c r="CA61" i="21"/>
  <c r="BZ61" i="21"/>
  <c r="BX61" i="21"/>
  <c r="BT61" i="21"/>
  <c r="BS61" i="21"/>
  <c r="BR61" i="21"/>
  <c r="CP60" i="21"/>
  <c r="CO60" i="21"/>
  <c r="CF60" i="21"/>
  <c r="CB60" i="21"/>
  <c r="CA60" i="21"/>
  <c r="BZ60" i="21"/>
  <c r="BX60" i="21"/>
  <c r="BT60" i="21"/>
  <c r="BS60" i="21"/>
  <c r="BR60" i="21"/>
  <c r="CP59" i="21"/>
  <c r="CO59" i="21"/>
  <c r="CF59" i="21"/>
  <c r="CB59" i="21"/>
  <c r="CA59" i="21"/>
  <c r="BZ59" i="21"/>
  <c r="BX59" i="21"/>
  <c r="BT59" i="21"/>
  <c r="BS59" i="21"/>
  <c r="BR59" i="21"/>
  <c r="CP58" i="21"/>
  <c r="CO58" i="21"/>
  <c r="CF58" i="21"/>
  <c r="CB58" i="21"/>
  <c r="CA58" i="21"/>
  <c r="BZ58" i="21"/>
  <c r="BX58" i="21"/>
  <c r="BT58" i="21"/>
  <c r="BS58" i="21"/>
  <c r="BR58" i="21"/>
  <c r="CP57" i="21"/>
  <c r="CO57" i="21"/>
  <c r="CF57" i="21"/>
  <c r="CB57" i="21"/>
  <c r="CA57" i="21"/>
  <c r="BZ57" i="21"/>
  <c r="BX57" i="21"/>
  <c r="BT57" i="21"/>
  <c r="BS57" i="21"/>
  <c r="BR57" i="21"/>
  <c r="CP55" i="21"/>
  <c r="CO55" i="21"/>
  <c r="CF55" i="21"/>
  <c r="CB55" i="21"/>
  <c r="CA55" i="21"/>
  <c r="BZ55" i="21"/>
  <c r="BX55" i="21"/>
  <c r="BT55" i="21"/>
  <c r="BS55" i="21"/>
  <c r="BR55" i="21"/>
  <c r="CP54" i="21"/>
  <c r="CO54" i="21"/>
  <c r="CF54" i="21"/>
  <c r="CB54" i="21"/>
  <c r="CA54" i="21"/>
  <c r="BZ54" i="21"/>
  <c r="BX54" i="21"/>
  <c r="BT54" i="21"/>
  <c r="BS54" i="21"/>
  <c r="BR54" i="21"/>
  <c r="CP53" i="21"/>
  <c r="CO53" i="21"/>
  <c r="CF53" i="21"/>
  <c r="CB53" i="21"/>
  <c r="CA53" i="21"/>
  <c r="BZ53" i="21"/>
  <c r="BX53" i="21"/>
  <c r="BT53" i="21"/>
  <c r="BS53" i="21"/>
  <c r="BR53" i="21"/>
  <c r="CP52" i="21"/>
  <c r="CO52" i="21"/>
  <c r="CF52" i="21"/>
  <c r="CB52" i="21"/>
  <c r="CA52" i="21"/>
  <c r="BZ52" i="21"/>
  <c r="BX52" i="21"/>
  <c r="BT52" i="21"/>
  <c r="BS52" i="21"/>
  <c r="BR52" i="21"/>
  <c r="CP51" i="21"/>
  <c r="CO51" i="21"/>
  <c r="CF51" i="21"/>
  <c r="CB51" i="21"/>
  <c r="CA51" i="21"/>
  <c r="BZ51" i="21"/>
  <c r="BX51" i="21"/>
  <c r="BT51" i="21"/>
  <c r="BS51" i="21"/>
  <c r="BR51" i="21"/>
  <c r="CP50" i="21"/>
  <c r="CO50" i="21"/>
  <c r="CF50" i="21"/>
  <c r="CB50" i="21"/>
  <c r="CA50" i="21"/>
  <c r="BZ50" i="21"/>
  <c r="BX50" i="21"/>
  <c r="BT50" i="21"/>
  <c r="BS50" i="21"/>
  <c r="BR50" i="21"/>
  <c r="CP48" i="21"/>
  <c r="CO48" i="21"/>
  <c r="CF48" i="21"/>
  <c r="CB48" i="21"/>
  <c r="CA48" i="21"/>
  <c r="BZ48" i="21"/>
  <c r="BX48" i="21"/>
  <c r="BT48" i="21"/>
  <c r="BS48" i="21"/>
  <c r="BR48" i="21"/>
  <c r="CP47" i="21"/>
  <c r="CO47" i="21"/>
  <c r="CF47" i="21"/>
  <c r="CB47" i="21"/>
  <c r="CA47" i="21"/>
  <c r="BZ47" i="21"/>
  <c r="BX47" i="21"/>
  <c r="BT47" i="21"/>
  <c r="BS47" i="21"/>
  <c r="BR47" i="21"/>
  <c r="CP46" i="21"/>
  <c r="CO46" i="21"/>
  <c r="CF46" i="21"/>
  <c r="CB46" i="21"/>
  <c r="CA46" i="21"/>
  <c r="BZ46" i="21"/>
  <c r="BX46" i="21"/>
  <c r="BT46" i="21"/>
  <c r="BS46" i="21"/>
  <c r="BR46" i="21"/>
  <c r="CP45" i="21"/>
  <c r="CO45" i="21"/>
  <c r="CF45" i="21"/>
  <c r="CB45" i="21"/>
  <c r="CA45" i="21"/>
  <c r="BZ45" i="21"/>
  <c r="BX45" i="21"/>
  <c r="BT45" i="21"/>
  <c r="BS45" i="21"/>
  <c r="BR45" i="21"/>
  <c r="CP44" i="21"/>
  <c r="CO44" i="21"/>
  <c r="CF44" i="21"/>
  <c r="CB44" i="21"/>
  <c r="CA44" i="21"/>
  <c r="BZ44" i="21"/>
  <c r="BX44" i="21"/>
  <c r="BT44" i="21"/>
  <c r="BS44" i="21"/>
  <c r="BR44" i="21"/>
  <c r="CP43" i="21"/>
  <c r="CO43" i="21"/>
  <c r="CF43" i="21"/>
  <c r="CB43" i="21"/>
  <c r="CA43" i="21"/>
  <c r="BZ43" i="21"/>
  <c r="BX43" i="21"/>
  <c r="BT43" i="21"/>
  <c r="BS43" i="21"/>
  <c r="BR43" i="21"/>
  <c r="CP41" i="21"/>
  <c r="CO41" i="21"/>
  <c r="CF41" i="21"/>
  <c r="CB41" i="21"/>
  <c r="CA41" i="21"/>
  <c r="BZ41" i="21"/>
  <c r="BX41" i="21"/>
  <c r="BT41" i="21"/>
  <c r="BS41" i="21"/>
  <c r="BR41" i="21"/>
  <c r="CP40" i="21"/>
  <c r="CO40" i="21"/>
  <c r="CF40" i="21"/>
  <c r="CB40" i="21"/>
  <c r="CA40" i="21"/>
  <c r="BZ40" i="21"/>
  <c r="BX40" i="21"/>
  <c r="BT40" i="21"/>
  <c r="BS40" i="21"/>
  <c r="BR40" i="21"/>
  <c r="CP39" i="21"/>
  <c r="CO39" i="21"/>
  <c r="CF39" i="21"/>
  <c r="CB39" i="21"/>
  <c r="CA39" i="21"/>
  <c r="BZ39" i="21"/>
  <c r="BX39" i="21"/>
  <c r="BT39" i="21"/>
  <c r="BS39" i="21"/>
  <c r="BR39" i="21"/>
  <c r="CP38" i="21"/>
  <c r="CO38" i="21"/>
  <c r="CF38" i="21"/>
  <c r="CB38" i="21"/>
  <c r="CA38" i="21"/>
  <c r="BZ38" i="21"/>
  <c r="BX38" i="21"/>
  <c r="BT38" i="21"/>
  <c r="BS38" i="21"/>
  <c r="BR38" i="21"/>
  <c r="CP37" i="21"/>
  <c r="CO37" i="21"/>
  <c r="CF37" i="21"/>
  <c r="CB37" i="21"/>
  <c r="CA37" i="21"/>
  <c r="BZ37" i="21"/>
  <c r="BX37" i="21"/>
  <c r="BT37" i="21"/>
  <c r="BS37" i="21"/>
  <c r="BR37" i="21"/>
  <c r="CP36" i="21"/>
  <c r="CO36" i="21"/>
  <c r="CF36" i="21"/>
  <c r="CB36" i="21"/>
  <c r="CA36" i="21"/>
  <c r="BZ36" i="21"/>
  <c r="BX36" i="21"/>
  <c r="BT36" i="21"/>
  <c r="BS36" i="21"/>
  <c r="BR36" i="21"/>
  <c r="CP34" i="21"/>
  <c r="CO34" i="21"/>
  <c r="CF34" i="21"/>
  <c r="CB34" i="21"/>
  <c r="CA34" i="21"/>
  <c r="BZ34" i="21"/>
  <c r="BX34" i="21"/>
  <c r="BT34" i="21"/>
  <c r="BS34" i="21"/>
  <c r="BR34" i="21"/>
  <c r="CP33" i="21"/>
  <c r="CO33" i="21"/>
  <c r="CF33" i="21"/>
  <c r="CB33" i="21"/>
  <c r="CA33" i="21"/>
  <c r="BZ33" i="21"/>
  <c r="BX33" i="21"/>
  <c r="BT33" i="21"/>
  <c r="BS33" i="21"/>
  <c r="BR33" i="21"/>
  <c r="CP32" i="21"/>
  <c r="CO32" i="21"/>
  <c r="CF32" i="21"/>
  <c r="CB32" i="21"/>
  <c r="CA32" i="21"/>
  <c r="BZ32" i="21"/>
  <c r="BX32" i="21"/>
  <c r="BT32" i="21"/>
  <c r="BS32" i="21"/>
  <c r="BR32" i="21"/>
  <c r="CP31" i="21"/>
  <c r="CO31" i="21"/>
  <c r="CF31" i="21"/>
  <c r="CB31" i="21"/>
  <c r="CA31" i="21"/>
  <c r="BZ31" i="21"/>
  <c r="BX31" i="21"/>
  <c r="BT31" i="21"/>
  <c r="BS31" i="21"/>
  <c r="BR31" i="21"/>
  <c r="CP30" i="21"/>
  <c r="CO30" i="21"/>
  <c r="CF30" i="21"/>
  <c r="CB30" i="21"/>
  <c r="CA30" i="21"/>
  <c r="BZ30" i="21"/>
  <c r="BX30" i="21"/>
  <c r="BT30" i="21"/>
  <c r="BS30" i="21"/>
  <c r="BR30" i="21"/>
  <c r="CP29" i="21"/>
  <c r="CO29" i="21"/>
  <c r="CF29" i="21"/>
  <c r="CB29" i="21"/>
  <c r="CA29" i="21"/>
  <c r="BZ29" i="21"/>
  <c r="BX29" i="21"/>
  <c r="BT29" i="21"/>
  <c r="BS29" i="21"/>
  <c r="BR29" i="21"/>
  <c r="CP27" i="21"/>
  <c r="CO27" i="21"/>
  <c r="CF27" i="21"/>
  <c r="CB27" i="21"/>
  <c r="CA27" i="21"/>
  <c r="BZ27" i="21"/>
  <c r="BX27" i="21"/>
  <c r="BT27" i="21"/>
  <c r="BS27" i="21"/>
  <c r="BR27" i="21"/>
  <c r="CP26" i="21"/>
  <c r="CO26" i="21"/>
  <c r="CF26" i="21"/>
  <c r="CB26" i="21"/>
  <c r="CA26" i="21"/>
  <c r="BZ26" i="21"/>
  <c r="BX26" i="21"/>
  <c r="BT26" i="21"/>
  <c r="BS26" i="21"/>
  <c r="BR26" i="21"/>
  <c r="CP25" i="21"/>
  <c r="CO25" i="21"/>
  <c r="CF25" i="21"/>
  <c r="CB25" i="21"/>
  <c r="CA25" i="21"/>
  <c r="BZ25" i="21"/>
  <c r="BX25" i="21"/>
  <c r="BT25" i="21"/>
  <c r="BS25" i="21"/>
  <c r="BR25" i="21"/>
  <c r="CP24" i="21"/>
  <c r="CO24" i="21"/>
  <c r="CF24" i="21"/>
  <c r="CB24" i="21"/>
  <c r="CA24" i="21"/>
  <c r="BZ24" i="21"/>
  <c r="BX24" i="21"/>
  <c r="BT24" i="21"/>
  <c r="BS24" i="21"/>
  <c r="BR24" i="21"/>
  <c r="CP22" i="21"/>
  <c r="CO22" i="21"/>
  <c r="CF22" i="21"/>
  <c r="CB22" i="21"/>
  <c r="CA22" i="21"/>
  <c r="BZ22" i="21"/>
  <c r="BX22" i="21"/>
  <c r="BT22" i="21"/>
  <c r="BS22" i="21"/>
  <c r="BR22" i="21"/>
  <c r="CP21" i="21"/>
  <c r="CO21" i="21"/>
  <c r="CF21" i="21"/>
  <c r="CB21" i="21"/>
  <c r="CA21" i="21"/>
  <c r="BZ21" i="21"/>
  <c r="BX21" i="21"/>
  <c r="BT21" i="21"/>
  <c r="BS21" i="21"/>
  <c r="BR21" i="21"/>
  <c r="CP20" i="21"/>
  <c r="CO20" i="21"/>
  <c r="CF20" i="21"/>
  <c r="CB20" i="21"/>
  <c r="CA20" i="21"/>
  <c r="BZ20" i="21"/>
  <c r="BX20" i="21"/>
  <c r="BT20" i="21"/>
  <c r="BS20" i="21"/>
  <c r="BR20" i="21"/>
  <c r="CP18" i="21"/>
  <c r="CO18" i="21"/>
  <c r="CF18" i="21"/>
  <c r="CB18" i="21"/>
  <c r="CA18" i="21"/>
  <c r="BZ18" i="21"/>
  <c r="BX18" i="21"/>
  <c r="BT18" i="21"/>
  <c r="BS18" i="21"/>
  <c r="BR18" i="21"/>
  <c r="CP17" i="21"/>
  <c r="CO17" i="21"/>
  <c r="CF17" i="21"/>
  <c r="CB17" i="21"/>
  <c r="CA17" i="21"/>
  <c r="BZ17" i="21"/>
  <c r="BX17" i="21"/>
  <c r="BT17" i="21"/>
  <c r="BS17" i="21"/>
  <c r="BR17" i="21"/>
  <c r="CP16" i="21"/>
  <c r="CO16" i="21"/>
  <c r="CF16" i="21"/>
  <c r="CB16" i="21"/>
  <c r="CA16" i="21"/>
  <c r="BZ16" i="21"/>
  <c r="BX16" i="21"/>
  <c r="BT16" i="21"/>
  <c r="BS16" i="21"/>
  <c r="BR16" i="21"/>
  <c r="CP15" i="21"/>
  <c r="CO15" i="21"/>
  <c r="CF15" i="21"/>
  <c r="CB15" i="21"/>
  <c r="CA15" i="21"/>
  <c r="BZ15" i="21"/>
  <c r="BX15" i="21"/>
  <c r="BT15" i="21"/>
  <c r="BS15" i="21"/>
  <c r="BR15" i="21"/>
  <c r="CP14" i="21"/>
  <c r="CO14" i="21"/>
  <c r="CF14" i="21"/>
  <c r="CB14" i="21"/>
  <c r="CA14" i="21"/>
  <c r="BZ14" i="21"/>
  <c r="BX14" i="21"/>
  <c r="BT14" i="21"/>
  <c r="BS14" i="21"/>
  <c r="BR14" i="21"/>
  <c r="CP13" i="21"/>
  <c r="CO13" i="21"/>
  <c r="CF13" i="21"/>
  <c r="CB13" i="21"/>
  <c r="CA13" i="21"/>
  <c r="BZ13" i="21"/>
  <c r="BX13" i="21"/>
  <c r="BT13" i="21"/>
  <c r="BS13" i="21"/>
  <c r="BR13" i="21"/>
  <c r="CP11" i="21"/>
  <c r="CO11" i="21"/>
  <c r="CF11" i="21"/>
  <c r="CB11" i="21"/>
  <c r="CA11" i="21"/>
  <c r="BZ11" i="21"/>
  <c r="BX11" i="21"/>
  <c r="BT11" i="21"/>
  <c r="BS11" i="21"/>
  <c r="BR11" i="21"/>
  <c r="CP10" i="21"/>
  <c r="CO10" i="21"/>
  <c r="CF10" i="21"/>
  <c r="CB10" i="21"/>
  <c r="CA10" i="21"/>
  <c r="BZ10" i="21"/>
  <c r="BX10" i="21"/>
  <c r="BT10" i="21"/>
  <c r="BS10" i="21"/>
  <c r="BR10" i="21"/>
  <c r="CP9" i="21"/>
  <c r="CO9" i="21"/>
  <c r="CF9" i="21"/>
  <c r="CB9" i="21"/>
  <c r="CA9" i="21"/>
  <c r="BZ9" i="21"/>
  <c r="BX9" i="21"/>
  <c r="BT9" i="21"/>
  <c r="BS9" i="21"/>
  <c r="BR9" i="21"/>
  <c r="CP8" i="21"/>
  <c r="CO8" i="21"/>
  <c r="CF8" i="21"/>
  <c r="CB8" i="21"/>
  <c r="CA8" i="21"/>
  <c r="BZ8" i="21"/>
  <c r="BX8" i="21"/>
  <c r="BT8" i="21"/>
  <c r="BS8" i="21"/>
  <c r="BR8" i="21"/>
  <c r="CP7" i="21"/>
  <c r="CO7" i="21"/>
  <c r="CF7" i="21"/>
  <c r="CB7" i="21"/>
  <c r="CA7" i="21"/>
  <c r="BZ7" i="21"/>
  <c r="BX7" i="21"/>
  <c r="BT7" i="21"/>
  <c r="BS7" i="21"/>
  <c r="BR7" i="21"/>
  <c r="CP6" i="21"/>
  <c r="CO6" i="21"/>
  <c r="CF6" i="21"/>
  <c r="CB6" i="21"/>
  <c r="CA6" i="21"/>
  <c r="BZ6" i="21"/>
  <c r="BX6" i="21"/>
  <c r="BT6" i="21"/>
  <c r="BS6" i="21"/>
  <c r="BR6" i="21"/>
  <c r="CX16" i="18"/>
  <c r="CW16" i="18"/>
  <c r="CR16" i="18"/>
  <c r="CT16" i="18" s="1"/>
  <c r="CU16" i="18" s="1"/>
  <c r="CP16" i="18"/>
  <c r="CY16" i="18" s="1"/>
  <c r="CO16" i="18"/>
  <c r="CF16" i="18"/>
  <c r="CB16" i="18"/>
  <c r="CA16" i="18"/>
  <c r="BX16" i="18"/>
  <c r="BZ16" i="18" s="1"/>
  <c r="BT16" i="18"/>
  <c r="BS16" i="18"/>
  <c r="BR16" i="18"/>
  <c r="CX15" i="18"/>
  <c r="CW15" i="18"/>
  <c r="CR15" i="18"/>
  <c r="CT15" i="18" s="1"/>
  <c r="CU15" i="18" s="1"/>
  <c r="CP15" i="18"/>
  <c r="CY15" i="18" s="1"/>
  <c r="CO15" i="18"/>
  <c r="CF15" i="18"/>
  <c r="CB15" i="18"/>
  <c r="CA15" i="18"/>
  <c r="BX15" i="18"/>
  <c r="BZ15" i="18" s="1"/>
  <c r="BT15" i="18"/>
  <c r="BS15" i="18"/>
  <c r="BR15" i="18"/>
  <c r="CX14" i="18"/>
  <c r="CW14" i="18"/>
  <c r="CR14" i="18"/>
  <c r="CS14" i="18" s="1"/>
  <c r="CP14" i="18"/>
  <c r="CY14" i="18" s="1"/>
  <c r="CO14" i="18"/>
  <c r="CF14" i="18"/>
  <c r="CB14" i="18"/>
  <c r="CA14" i="18"/>
  <c r="BX14" i="18"/>
  <c r="BZ14" i="18" s="1"/>
  <c r="BT14" i="18"/>
  <c r="BS14" i="18"/>
  <c r="BR14" i="18"/>
  <c r="CX13" i="18"/>
  <c r="CW13" i="18"/>
  <c r="CR13" i="18"/>
  <c r="CT13" i="18" s="1"/>
  <c r="CU13" i="18" s="1"/>
  <c r="CP13" i="18"/>
  <c r="CY13" i="18" s="1"/>
  <c r="CO13" i="18"/>
  <c r="CF13" i="18"/>
  <c r="CB13" i="18"/>
  <c r="CA13" i="18"/>
  <c r="BX13" i="18"/>
  <c r="BZ13" i="18" s="1"/>
  <c r="BT13" i="18"/>
  <c r="BS13" i="18"/>
  <c r="BR13" i="18"/>
  <c r="CX12" i="18"/>
  <c r="CW12" i="18"/>
  <c r="CR12" i="18"/>
  <c r="CT12" i="18" s="1"/>
  <c r="CU12" i="18" s="1"/>
  <c r="CP12" i="18"/>
  <c r="CY12" i="18" s="1"/>
  <c r="CO12" i="18"/>
  <c r="CF12" i="18"/>
  <c r="CB12" i="18"/>
  <c r="CA12" i="18"/>
  <c r="BX12" i="18"/>
  <c r="BZ12" i="18" s="1"/>
  <c r="BT12" i="18"/>
  <c r="BS12" i="18"/>
  <c r="BR12" i="18"/>
  <c r="CX93" i="18"/>
  <c r="CW93" i="18"/>
  <c r="CR93" i="18"/>
  <c r="CT93" i="18" s="1"/>
  <c r="CU93" i="18" s="1"/>
  <c r="CP93" i="18"/>
  <c r="CY93" i="18" s="1"/>
  <c r="CO93" i="18"/>
  <c r="CF93" i="18"/>
  <c r="CB93" i="18"/>
  <c r="CA93" i="18"/>
  <c r="BX93" i="18"/>
  <c r="BZ93" i="18" s="1"/>
  <c r="BT93" i="18"/>
  <c r="BS93" i="18"/>
  <c r="BR93" i="18"/>
  <c r="CX100" i="18"/>
  <c r="CW100" i="18"/>
  <c r="CR100" i="18"/>
  <c r="CT100" i="18" s="1"/>
  <c r="CU100" i="18" s="1"/>
  <c r="CP100" i="18"/>
  <c r="CY100" i="18" s="1"/>
  <c r="CO100" i="18"/>
  <c r="CF100" i="18"/>
  <c r="CB100" i="18"/>
  <c r="CA100" i="18"/>
  <c r="BX100" i="18"/>
  <c r="BZ100" i="18" s="1"/>
  <c r="BT100" i="18"/>
  <c r="BS100" i="18"/>
  <c r="BR100" i="18"/>
  <c r="CX99" i="18"/>
  <c r="CW99" i="18"/>
  <c r="CR99" i="18"/>
  <c r="CT99" i="18" s="1"/>
  <c r="CU99" i="18" s="1"/>
  <c r="CP99" i="18"/>
  <c r="CY99" i="18" s="1"/>
  <c r="CO99" i="18"/>
  <c r="CF99" i="18"/>
  <c r="CB99" i="18"/>
  <c r="CA99" i="18"/>
  <c r="BX99" i="18"/>
  <c r="BZ99" i="18" s="1"/>
  <c r="BT99" i="18"/>
  <c r="BS99" i="18"/>
  <c r="BR99" i="18"/>
  <c r="CX98" i="18"/>
  <c r="CW98" i="18"/>
  <c r="CR98" i="18"/>
  <c r="CT98" i="18" s="1"/>
  <c r="CU98" i="18" s="1"/>
  <c r="CP98" i="18"/>
  <c r="CY98" i="18" s="1"/>
  <c r="CO98" i="18"/>
  <c r="CF98" i="18"/>
  <c r="CB98" i="18"/>
  <c r="CA98" i="18"/>
  <c r="BX98" i="18"/>
  <c r="BZ98" i="18" s="1"/>
  <c r="BT98" i="18"/>
  <c r="BS98" i="18"/>
  <c r="BR98" i="18"/>
  <c r="CX97" i="18"/>
  <c r="CW97" i="18"/>
  <c r="CR97" i="18"/>
  <c r="CS97" i="18" s="1"/>
  <c r="CP97" i="18"/>
  <c r="CY97" i="18" s="1"/>
  <c r="CO97" i="18"/>
  <c r="CF97" i="18"/>
  <c r="CB97" i="18"/>
  <c r="CA97" i="18"/>
  <c r="BX97" i="18"/>
  <c r="BZ97" i="18" s="1"/>
  <c r="BT97" i="18"/>
  <c r="BS97" i="18"/>
  <c r="BR97" i="18"/>
  <c r="CX96" i="18"/>
  <c r="CW96" i="18"/>
  <c r="CR96" i="18"/>
  <c r="CT96" i="18" s="1"/>
  <c r="CU96" i="18" s="1"/>
  <c r="CP96" i="18"/>
  <c r="CY96" i="18" s="1"/>
  <c r="CO96" i="18"/>
  <c r="CF96" i="18"/>
  <c r="CB96" i="18"/>
  <c r="CA96" i="18"/>
  <c r="BX96" i="18"/>
  <c r="BZ96" i="18" s="1"/>
  <c r="BT96" i="18"/>
  <c r="BS96" i="18"/>
  <c r="BR96" i="18"/>
  <c r="CX95" i="18"/>
  <c r="CW95" i="18"/>
  <c r="CR95" i="18"/>
  <c r="CS95" i="18" s="1"/>
  <c r="CP95" i="18"/>
  <c r="CY95" i="18" s="1"/>
  <c r="CO95" i="18"/>
  <c r="CF95" i="18"/>
  <c r="CB95" i="18"/>
  <c r="CA95" i="18"/>
  <c r="BX95" i="18"/>
  <c r="BZ95" i="18" s="1"/>
  <c r="BT95" i="18"/>
  <c r="BS95" i="18"/>
  <c r="BR95" i="18"/>
  <c r="CX94" i="18"/>
  <c r="CW94" i="18"/>
  <c r="CR94" i="18"/>
  <c r="CT94" i="18" s="1"/>
  <c r="CU94" i="18" s="1"/>
  <c r="CP94" i="18"/>
  <c r="CY94" i="18" s="1"/>
  <c r="CO94" i="18"/>
  <c r="CF94" i="18"/>
  <c r="CB94" i="18"/>
  <c r="CA94" i="18"/>
  <c r="BX94" i="18"/>
  <c r="BZ94" i="18" s="1"/>
  <c r="BT94" i="18"/>
  <c r="BS94" i="18"/>
  <c r="BR94" i="18"/>
  <c r="CX37" i="18"/>
  <c r="CW37" i="18"/>
  <c r="CR37" i="18"/>
  <c r="CT37" i="18" s="1"/>
  <c r="CU37" i="18" s="1"/>
  <c r="CP37" i="18"/>
  <c r="CY37" i="18" s="1"/>
  <c r="CO37" i="18"/>
  <c r="CF37" i="18"/>
  <c r="CB37" i="18"/>
  <c r="CA37" i="18"/>
  <c r="BX37" i="18"/>
  <c r="BZ37" i="18" s="1"/>
  <c r="BT37" i="18"/>
  <c r="BS37" i="18"/>
  <c r="BR37" i="18"/>
  <c r="CX36" i="18"/>
  <c r="CW36" i="18"/>
  <c r="CR36" i="18"/>
  <c r="CT36" i="18" s="1"/>
  <c r="CU36" i="18" s="1"/>
  <c r="CP36" i="18"/>
  <c r="CY36" i="18" s="1"/>
  <c r="CO36" i="18"/>
  <c r="CF36" i="18"/>
  <c r="CB36" i="18"/>
  <c r="CA36" i="18"/>
  <c r="BX36" i="18"/>
  <c r="BZ36" i="18" s="1"/>
  <c r="BT36" i="18"/>
  <c r="BS36" i="18"/>
  <c r="BR36" i="18"/>
  <c r="CX35" i="18"/>
  <c r="CW35" i="18"/>
  <c r="CR35" i="18"/>
  <c r="CT35" i="18" s="1"/>
  <c r="CU35" i="18" s="1"/>
  <c r="CP35" i="18"/>
  <c r="CY35" i="18" s="1"/>
  <c r="CO35" i="18"/>
  <c r="CF35" i="18"/>
  <c r="CB35" i="18"/>
  <c r="CA35" i="18"/>
  <c r="BX35" i="18"/>
  <c r="BZ35" i="18" s="1"/>
  <c r="BT35" i="18"/>
  <c r="BS35" i="18"/>
  <c r="BR35" i="18"/>
  <c r="CX34" i="18"/>
  <c r="CW34" i="18"/>
  <c r="CR34" i="18"/>
  <c r="CS34" i="18" s="1"/>
  <c r="CP34" i="18"/>
  <c r="CY34" i="18" s="1"/>
  <c r="CO34" i="18"/>
  <c r="CF34" i="18"/>
  <c r="CB34" i="18"/>
  <c r="CA34" i="18"/>
  <c r="BX34" i="18"/>
  <c r="BZ34" i="18" s="1"/>
  <c r="BT34" i="18"/>
  <c r="BS34" i="18"/>
  <c r="BR34" i="18"/>
  <c r="CX33" i="18"/>
  <c r="CW33" i="18"/>
  <c r="CR33" i="18"/>
  <c r="CS33" i="18" s="1"/>
  <c r="CP33" i="18"/>
  <c r="CY33" i="18" s="1"/>
  <c r="CO33" i="18"/>
  <c r="CF33" i="18"/>
  <c r="CB33" i="18"/>
  <c r="CA33" i="18"/>
  <c r="BX33" i="18"/>
  <c r="BZ33" i="18" s="1"/>
  <c r="BT33" i="18"/>
  <c r="BS33" i="18"/>
  <c r="BR33" i="18"/>
  <c r="CX32" i="18"/>
  <c r="CW32" i="18"/>
  <c r="CR32" i="18"/>
  <c r="CS32" i="18" s="1"/>
  <c r="CP32" i="18"/>
  <c r="CY32" i="18" s="1"/>
  <c r="CO32" i="18"/>
  <c r="CF32" i="18"/>
  <c r="CB32" i="18"/>
  <c r="CA32" i="18"/>
  <c r="BX32" i="18"/>
  <c r="BZ32" i="18" s="1"/>
  <c r="BT32" i="18"/>
  <c r="BS32" i="18"/>
  <c r="BR32" i="18"/>
  <c r="CX31" i="18"/>
  <c r="CW31" i="18"/>
  <c r="CR31" i="18"/>
  <c r="CT31" i="18" s="1"/>
  <c r="CU31" i="18" s="1"/>
  <c r="CP31" i="18"/>
  <c r="CY31" i="18" s="1"/>
  <c r="CO31" i="18"/>
  <c r="CF31" i="18"/>
  <c r="CB31" i="18"/>
  <c r="CA31" i="18"/>
  <c r="BX31" i="18"/>
  <c r="BZ31" i="18" s="1"/>
  <c r="BT31" i="18"/>
  <c r="BS31" i="18"/>
  <c r="BR31" i="18"/>
  <c r="CX30" i="18"/>
  <c r="CW30" i="18"/>
  <c r="CR30" i="18"/>
  <c r="CS30" i="18" s="1"/>
  <c r="CP30" i="18"/>
  <c r="CY30" i="18" s="1"/>
  <c r="CO30" i="18"/>
  <c r="CF30" i="18"/>
  <c r="CB30" i="18"/>
  <c r="CA30" i="18"/>
  <c r="BX30" i="18"/>
  <c r="BZ30" i="18" s="1"/>
  <c r="BT30" i="18"/>
  <c r="BS30" i="18"/>
  <c r="BR30" i="18"/>
  <c r="CA76" i="18"/>
  <c r="CA77" i="18"/>
  <c r="CA78" i="18"/>
  <c r="CA79" i="18"/>
  <c r="CA80" i="18"/>
  <c r="CA81" i="18"/>
  <c r="CA82" i="18"/>
  <c r="CA67" i="18"/>
  <c r="CA68" i="18"/>
  <c r="CA69" i="18"/>
  <c r="CA70" i="18"/>
  <c r="CA71" i="18"/>
  <c r="CA72" i="18"/>
  <c r="CA73" i="18"/>
  <c r="CA60" i="18"/>
  <c r="CA61" i="18"/>
  <c r="CA62" i="18"/>
  <c r="CA63" i="18"/>
  <c r="CA64" i="18"/>
  <c r="CX77" i="18"/>
  <c r="CW77" i="18"/>
  <c r="CR77" i="18"/>
  <c r="CS77" i="18" s="1"/>
  <c r="CP77" i="18"/>
  <c r="CY77" i="18" s="1"/>
  <c r="CO77" i="18"/>
  <c r="CF77" i="18"/>
  <c r="CB77" i="18"/>
  <c r="BX77" i="18"/>
  <c r="BZ77" i="18" s="1"/>
  <c r="BT77" i="18"/>
  <c r="BS77" i="18"/>
  <c r="BR77" i="18"/>
  <c r="CX68" i="18"/>
  <c r="CW68" i="18"/>
  <c r="CR68" i="18"/>
  <c r="CT68" i="18" s="1"/>
  <c r="CU68" i="18" s="1"/>
  <c r="CP68" i="18"/>
  <c r="CY68" i="18" s="1"/>
  <c r="CO68" i="18"/>
  <c r="CF68" i="18"/>
  <c r="CB68" i="18"/>
  <c r="BX68" i="18"/>
  <c r="BZ68" i="18" s="1"/>
  <c r="BT68" i="18"/>
  <c r="BS68" i="18"/>
  <c r="BR68" i="18"/>
  <c r="CX59" i="18"/>
  <c r="CW59" i="18"/>
  <c r="CR59" i="18"/>
  <c r="CT59" i="18" s="1"/>
  <c r="CU59" i="18" s="1"/>
  <c r="CP59" i="18"/>
  <c r="CY59" i="18" s="1"/>
  <c r="CO59" i="18"/>
  <c r="CF59" i="18"/>
  <c r="CB59" i="18"/>
  <c r="CA59" i="18"/>
  <c r="BX59" i="18"/>
  <c r="BZ59" i="18" s="1"/>
  <c r="BT59" i="18"/>
  <c r="BS59" i="18"/>
  <c r="BR59" i="18"/>
  <c r="CB57" i="18"/>
  <c r="CA57" i="18"/>
  <c r="CB55" i="18"/>
  <c r="CA55" i="18"/>
  <c r="CB54" i="18"/>
  <c r="CA54" i="18"/>
  <c r="CB53" i="18"/>
  <c r="CA53" i="18"/>
  <c r="CB52" i="18"/>
  <c r="CA52" i="18"/>
  <c r="CB51" i="18"/>
  <c r="CA51" i="18"/>
  <c r="CB50" i="18"/>
  <c r="CA50" i="18"/>
  <c r="CB49" i="18"/>
  <c r="CA49" i="18"/>
  <c r="CB48" i="18"/>
  <c r="CA48" i="18"/>
  <c r="CB46" i="18"/>
  <c r="CA46" i="18"/>
  <c r="CB45" i="18"/>
  <c r="CA45" i="18"/>
  <c r="CB44" i="18"/>
  <c r="CA44" i="18"/>
  <c r="CB43" i="18"/>
  <c r="CA43" i="18"/>
  <c r="CB42" i="18"/>
  <c r="CA42" i="18"/>
  <c r="CB41" i="18"/>
  <c r="CA41" i="18"/>
  <c r="CB40" i="18"/>
  <c r="CA40" i="18"/>
  <c r="CB39" i="18"/>
  <c r="CA39" i="18"/>
  <c r="CA85" i="18"/>
  <c r="CB85" i="18"/>
  <c r="CA86" i="18"/>
  <c r="CB86" i="18"/>
  <c r="CA87" i="18"/>
  <c r="CB87" i="18"/>
  <c r="CA88" i="18"/>
  <c r="CB88" i="18"/>
  <c r="CA89" i="18"/>
  <c r="CB89" i="18"/>
  <c r="CA90" i="18"/>
  <c r="CB90" i="18"/>
  <c r="CA91" i="18"/>
  <c r="CB91" i="18"/>
  <c r="CA25" i="18"/>
  <c r="CB25" i="18"/>
  <c r="CA26" i="18"/>
  <c r="CB26" i="18"/>
  <c r="CA27" i="18"/>
  <c r="CB27" i="18"/>
  <c r="CA28" i="18"/>
  <c r="CB28" i="18"/>
  <c r="CA19" i="18"/>
  <c r="CB19" i="18"/>
  <c r="CA20" i="18"/>
  <c r="CB20" i="18"/>
  <c r="CA21" i="18"/>
  <c r="CB21" i="18"/>
  <c r="CA22" i="18"/>
  <c r="CB22" i="18"/>
  <c r="CA7" i="18"/>
  <c r="CB7" i="18"/>
  <c r="CA8" i="18"/>
  <c r="CB8" i="18"/>
  <c r="CA9" i="18"/>
  <c r="CB9" i="18"/>
  <c r="CA10" i="18"/>
  <c r="CB10" i="18"/>
  <c r="CB84" i="18"/>
  <c r="CA84" i="18"/>
  <c r="CB24" i="18"/>
  <c r="CA24" i="18"/>
  <c r="CB18" i="18"/>
  <c r="CA18" i="18"/>
  <c r="CB6" i="18"/>
  <c r="CA6" i="18"/>
  <c r="CA75" i="18"/>
  <c r="CA66" i="18"/>
  <c r="CA58" i="18"/>
  <c r="CX50" i="18"/>
  <c r="CW50" i="18"/>
  <c r="CR50" i="18"/>
  <c r="CT50" i="18" s="1"/>
  <c r="CU50" i="18" s="1"/>
  <c r="CP50" i="18"/>
  <c r="CY50" i="18" s="1"/>
  <c r="CO50" i="18"/>
  <c r="CF50" i="18"/>
  <c r="BX50" i="18"/>
  <c r="BZ50" i="18" s="1"/>
  <c r="BT50" i="18"/>
  <c r="BS50" i="18"/>
  <c r="BR50" i="18"/>
  <c r="CX41" i="18"/>
  <c r="CW41" i="18"/>
  <c r="CR41" i="18"/>
  <c r="CT41" i="18" s="1"/>
  <c r="CU41" i="18" s="1"/>
  <c r="CP41" i="18"/>
  <c r="CY41" i="18" s="1"/>
  <c r="CO41" i="18"/>
  <c r="CF41" i="18"/>
  <c r="BX41" i="18"/>
  <c r="BZ41" i="18" s="1"/>
  <c r="BT41" i="18"/>
  <c r="BS41" i="18"/>
  <c r="BR41" i="18"/>
  <c r="CX86" i="18"/>
  <c r="CW86" i="18"/>
  <c r="CR86" i="18"/>
  <c r="CT86" i="18" s="1"/>
  <c r="CU86" i="18" s="1"/>
  <c r="CP86" i="18"/>
  <c r="CY86" i="18" s="1"/>
  <c r="CO86" i="18"/>
  <c r="CF86" i="18"/>
  <c r="BX86" i="18"/>
  <c r="BZ86" i="18" s="1"/>
  <c r="BT86" i="18"/>
  <c r="BS86" i="18"/>
  <c r="BR86" i="18"/>
  <c r="CB82" i="18"/>
  <c r="CB81" i="18"/>
  <c r="CB80" i="18"/>
  <c r="CB79" i="18"/>
  <c r="CB78" i="18"/>
  <c r="CB76" i="18"/>
  <c r="CB75" i="18"/>
  <c r="CB73" i="18"/>
  <c r="CB72" i="18"/>
  <c r="CB71" i="18"/>
  <c r="CB70" i="18"/>
  <c r="CB69" i="18"/>
  <c r="CB67" i="18"/>
  <c r="CB66" i="18"/>
  <c r="CB64" i="18"/>
  <c r="CB63" i="18"/>
  <c r="CB62" i="18"/>
  <c r="CB61" i="18"/>
  <c r="CB60" i="18"/>
  <c r="CB58" i="18"/>
  <c r="CX82" i="18"/>
  <c r="CW82" i="18"/>
  <c r="CR82" i="18"/>
  <c r="CT82" i="18" s="1"/>
  <c r="CU82" i="18" s="1"/>
  <c r="CP82" i="18"/>
  <c r="CY82" i="18" s="1"/>
  <c r="CO82" i="18"/>
  <c r="CF82" i="18"/>
  <c r="BX82" i="18"/>
  <c r="BZ82" i="18" s="1"/>
  <c r="BT82" i="18"/>
  <c r="BS82" i="18"/>
  <c r="BR82" i="18"/>
  <c r="CX81" i="18"/>
  <c r="CW81" i="18"/>
  <c r="CR81" i="18"/>
  <c r="CS81" i="18" s="1"/>
  <c r="CP81" i="18"/>
  <c r="CY81" i="18" s="1"/>
  <c r="CO81" i="18"/>
  <c r="CF81" i="18"/>
  <c r="BX81" i="18"/>
  <c r="BZ81" i="18" s="1"/>
  <c r="BT81" i="18"/>
  <c r="BS81" i="18"/>
  <c r="BR81" i="18"/>
  <c r="CX80" i="18"/>
  <c r="CW80" i="18"/>
  <c r="CR80" i="18"/>
  <c r="CT80" i="18" s="1"/>
  <c r="CU80" i="18" s="1"/>
  <c r="CP80" i="18"/>
  <c r="CY80" i="18" s="1"/>
  <c r="CO80" i="18"/>
  <c r="CF80" i="18"/>
  <c r="BX80" i="18"/>
  <c r="BZ80" i="18" s="1"/>
  <c r="BT80" i="18"/>
  <c r="BS80" i="18"/>
  <c r="BR80" i="18"/>
  <c r="CX79" i="18"/>
  <c r="CW79" i="18"/>
  <c r="CR79" i="18"/>
  <c r="CS79" i="18" s="1"/>
  <c r="CP79" i="18"/>
  <c r="CY79" i="18" s="1"/>
  <c r="CO79" i="18"/>
  <c r="CF79" i="18"/>
  <c r="BX79" i="18"/>
  <c r="BZ79" i="18" s="1"/>
  <c r="BT79" i="18"/>
  <c r="BS79" i="18"/>
  <c r="BR79" i="18"/>
  <c r="CX78" i="18"/>
  <c r="CW78" i="18"/>
  <c r="CR78" i="18"/>
  <c r="CT78" i="18" s="1"/>
  <c r="CU78" i="18" s="1"/>
  <c r="CP78" i="18"/>
  <c r="CY78" i="18" s="1"/>
  <c r="CO78" i="18"/>
  <c r="CF78" i="18"/>
  <c r="BX78" i="18"/>
  <c r="BZ78" i="18" s="1"/>
  <c r="BT78" i="18"/>
  <c r="BS78" i="18"/>
  <c r="BR78" i="18"/>
  <c r="CX76" i="18"/>
  <c r="CW76" i="18"/>
  <c r="CR76" i="18"/>
  <c r="CS76" i="18" s="1"/>
  <c r="CP76" i="18"/>
  <c r="CY76" i="18" s="1"/>
  <c r="CO76" i="18"/>
  <c r="CF76" i="18"/>
  <c r="BX76" i="18"/>
  <c r="BZ76" i="18" s="1"/>
  <c r="BT76" i="18"/>
  <c r="BS76" i="18"/>
  <c r="BR76" i="18"/>
  <c r="CX73" i="18"/>
  <c r="CW73" i="18"/>
  <c r="CR73" i="18"/>
  <c r="CT73" i="18" s="1"/>
  <c r="CU73" i="18" s="1"/>
  <c r="CP73" i="18"/>
  <c r="CY73" i="18" s="1"/>
  <c r="CO73" i="18"/>
  <c r="CF73" i="18"/>
  <c r="BX73" i="18"/>
  <c r="BZ73" i="18" s="1"/>
  <c r="BT73" i="18"/>
  <c r="BS73" i="18"/>
  <c r="BR73" i="18"/>
  <c r="CX72" i="18"/>
  <c r="CW72" i="18"/>
  <c r="CR72" i="18"/>
  <c r="CS72" i="18" s="1"/>
  <c r="CP72" i="18"/>
  <c r="CY72" i="18" s="1"/>
  <c r="CO72" i="18"/>
  <c r="CF72" i="18"/>
  <c r="BX72" i="18"/>
  <c r="BZ72" i="18" s="1"/>
  <c r="BT72" i="18"/>
  <c r="BS72" i="18"/>
  <c r="BR72" i="18"/>
  <c r="CX71" i="18"/>
  <c r="CW71" i="18"/>
  <c r="CR71" i="18"/>
  <c r="CT71" i="18" s="1"/>
  <c r="CU71" i="18" s="1"/>
  <c r="CP71" i="18"/>
  <c r="CY71" i="18" s="1"/>
  <c r="CO71" i="18"/>
  <c r="CF71" i="18"/>
  <c r="BX71" i="18"/>
  <c r="BZ71" i="18" s="1"/>
  <c r="BT71" i="18"/>
  <c r="BS71" i="18"/>
  <c r="BR71" i="18"/>
  <c r="CX70" i="18"/>
  <c r="CW70" i="18"/>
  <c r="CR70" i="18"/>
  <c r="CS70" i="18" s="1"/>
  <c r="CP70" i="18"/>
  <c r="CY70" i="18" s="1"/>
  <c r="CO70" i="18"/>
  <c r="CF70" i="18"/>
  <c r="BX70" i="18"/>
  <c r="BZ70" i="18" s="1"/>
  <c r="BT70" i="18"/>
  <c r="BS70" i="18"/>
  <c r="BR70" i="18"/>
  <c r="CX69" i="18"/>
  <c r="CW69" i="18"/>
  <c r="CR69" i="18"/>
  <c r="CT69" i="18" s="1"/>
  <c r="CU69" i="18" s="1"/>
  <c r="CP69" i="18"/>
  <c r="CY69" i="18" s="1"/>
  <c r="CO69" i="18"/>
  <c r="CF69" i="18"/>
  <c r="BX69" i="18"/>
  <c r="BZ69" i="18" s="1"/>
  <c r="BT69" i="18"/>
  <c r="BS69" i="18"/>
  <c r="BR69" i="18"/>
  <c r="CX67" i="18"/>
  <c r="CW67" i="18"/>
  <c r="CR67" i="18"/>
  <c r="CS67" i="18" s="1"/>
  <c r="CP67" i="18"/>
  <c r="CY67" i="18" s="1"/>
  <c r="CO67" i="18"/>
  <c r="CF67" i="18"/>
  <c r="BX67" i="18"/>
  <c r="BZ67" i="18" s="1"/>
  <c r="BT67" i="18"/>
  <c r="BS67" i="18"/>
  <c r="BR67" i="18"/>
  <c r="CX55" i="18"/>
  <c r="CW55" i="18"/>
  <c r="CR55" i="18"/>
  <c r="CT55" i="18" s="1"/>
  <c r="CU55" i="18" s="1"/>
  <c r="CP55" i="18"/>
  <c r="CY55" i="18" s="1"/>
  <c r="CO55" i="18"/>
  <c r="CF55" i="18"/>
  <c r="BX55" i="18"/>
  <c r="BZ55" i="18" s="1"/>
  <c r="BT55" i="18"/>
  <c r="BS55" i="18"/>
  <c r="BR55" i="18"/>
  <c r="CX54" i="18"/>
  <c r="CW54" i="18"/>
  <c r="CR54" i="18"/>
  <c r="CS54" i="18" s="1"/>
  <c r="CP54" i="18"/>
  <c r="CY54" i="18" s="1"/>
  <c r="CO54" i="18"/>
  <c r="CF54" i="18"/>
  <c r="BX54" i="18"/>
  <c r="BZ54" i="18" s="1"/>
  <c r="BT54" i="18"/>
  <c r="BS54" i="18"/>
  <c r="BR54" i="18"/>
  <c r="CX53" i="18"/>
  <c r="CW53" i="18"/>
  <c r="CR53" i="18"/>
  <c r="CS53" i="18" s="1"/>
  <c r="CP53" i="18"/>
  <c r="CY53" i="18" s="1"/>
  <c r="CO53" i="18"/>
  <c r="CF53" i="18"/>
  <c r="BX53" i="18"/>
  <c r="BZ53" i="18" s="1"/>
  <c r="BT53" i="18"/>
  <c r="BS53" i="18"/>
  <c r="BR53" i="18"/>
  <c r="CX52" i="18"/>
  <c r="CW52" i="18"/>
  <c r="CR52" i="18"/>
  <c r="CS52" i="18" s="1"/>
  <c r="CP52" i="18"/>
  <c r="CY52" i="18" s="1"/>
  <c r="CO52" i="18"/>
  <c r="CF52" i="18"/>
  <c r="BX52" i="18"/>
  <c r="BZ52" i="18" s="1"/>
  <c r="BT52" i="18"/>
  <c r="BS52" i="18"/>
  <c r="BR52" i="18"/>
  <c r="CX51" i="18"/>
  <c r="CW51" i="18"/>
  <c r="CR51" i="18"/>
  <c r="CT51" i="18" s="1"/>
  <c r="CU51" i="18" s="1"/>
  <c r="CP51" i="18"/>
  <c r="CY51" i="18" s="1"/>
  <c r="CO51" i="18"/>
  <c r="CF51" i="18"/>
  <c r="BX51" i="18"/>
  <c r="BZ51" i="18" s="1"/>
  <c r="BT51" i="18"/>
  <c r="BS51" i="18"/>
  <c r="BR51" i="18"/>
  <c r="CX49" i="18"/>
  <c r="CW49" i="18"/>
  <c r="CR49" i="18"/>
  <c r="CS49" i="18" s="1"/>
  <c r="CP49" i="18"/>
  <c r="CY49" i="18" s="1"/>
  <c r="CO49" i="18"/>
  <c r="CF49" i="18"/>
  <c r="BX49" i="18"/>
  <c r="BZ49" i="18" s="1"/>
  <c r="BT49" i="18"/>
  <c r="BS49" i="18"/>
  <c r="BR49" i="18"/>
  <c r="CX48" i="18"/>
  <c r="CW48" i="18"/>
  <c r="CR48" i="18"/>
  <c r="CT48" i="18" s="1"/>
  <c r="CU48" i="18" s="1"/>
  <c r="CP48" i="18"/>
  <c r="CY48" i="18" s="1"/>
  <c r="CO48" i="18"/>
  <c r="CF48" i="18"/>
  <c r="BX48" i="18"/>
  <c r="BZ48" i="18" s="1"/>
  <c r="BT48" i="18"/>
  <c r="BS48" i="18"/>
  <c r="BR48" i="18"/>
  <c r="CX75" i="18"/>
  <c r="CW75" i="18"/>
  <c r="CR75" i="18"/>
  <c r="CT75" i="18" s="1"/>
  <c r="CU75" i="18" s="1"/>
  <c r="CP75" i="18"/>
  <c r="CY75" i="18" s="1"/>
  <c r="CO75" i="18"/>
  <c r="CF75" i="18"/>
  <c r="BX75" i="18"/>
  <c r="BZ75" i="18" s="1"/>
  <c r="BT75" i="18"/>
  <c r="BS75" i="18"/>
  <c r="BR75" i="18"/>
  <c r="CX66" i="18"/>
  <c r="CW66" i="18"/>
  <c r="CR66" i="18"/>
  <c r="CS66" i="18" s="1"/>
  <c r="CP66" i="18"/>
  <c r="CY66" i="18" s="1"/>
  <c r="CO66" i="18"/>
  <c r="CF66" i="18"/>
  <c r="BX66" i="18"/>
  <c r="BZ66" i="18" s="1"/>
  <c r="BT66" i="18"/>
  <c r="BS66" i="18"/>
  <c r="BR66" i="18"/>
  <c r="CX64" i="18"/>
  <c r="CW64" i="18"/>
  <c r="CR64" i="18"/>
  <c r="CT64" i="18" s="1"/>
  <c r="CU64" i="18" s="1"/>
  <c r="CP64" i="18"/>
  <c r="CY64" i="18" s="1"/>
  <c r="CO64" i="18"/>
  <c r="CF64" i="18"/>
  <c r="BX64" i="18"/>
  <c r="BZ64" i="18" s="1"/>
  <c r="BT64" i="18"/>
  <c r="BS64" i="18"/>
  <c r="BR64" i="18"/>
  <c r="CX63" i="18"/>
  <c r="CW63" i="18"/>
  <c r="CR63" i="18"/>
  <c r="CS63" i="18" s="1"/>
  <c r="CP63" i="18"/>
  <c r="CY63" i="18" s="1"/>
  <c r="CO63" i="18"/>
  <c r="CF63" i="18"/>
  <c r="BX63" i="18"/>
  <c r="BZ63" i="18" s="1"/>
  <c r="BT63" i="18"/>
  <c r="BS63" i="18"/>
  <c r="BR63" i="18"/>
  <c r="CX62" i="18"/>
  <c r="CW62" i="18"/>
  <c r="CR62" i="18"/>
  <c r="CT62" i="18" s="1"/>
  <c r="CU62" i="18" s="1"/>
  <c r="CP62" i="18"/>
  <c r="CY62" i="18" s="1"/>
  <c r="CO62" i="18"/>
  <c r="CF62" i="18"/>
  <c r="BX62" i="18"/>
  <c r="BZ62" i="18" s="1"/>
  <c r="BT62" i="18"/>
  <c r="BS62" i="18"/>
  <c r="BR62" i="18"/>
  <c r="CX61" i="18"/>
  <c r="CW61" i="18"/>
  <c r="CR61" i="18"/>
  <c r="CS61" i="18" s="1"/>
  <c r="CP61" i="18"/>
  <c r="CY61" i="18" s="1"/>
  <c r="CO61" i="18"/>
  <c r="CF61" i="18"/>
  <c r="BX61" i="18"/>
  <c r="BZ61" i="18" s="1"/>
  <c r="BT61" i="18"/>
  <c r="BS61" i="18"/>
  <c r="BR61" i="18"/>
  <c r="CX60" i="18"/>
  <c r="CW60" i="18"/>
  <c r="CR60" i="18"/>
  <c r="CT60" i="18" s="1"/>
  <c r="CU60" i="18" s="1"/>
  <c r="CP60" i="18"/>
  <c r="CY60" i="18" s="1"/>
  <c r="CO60" i="18"/>
  <c r="CF60" i="18"/>
  <c r="BX60" i="18"/>
  <c r="BZ60" i="18" s="1"/>
  <c r="BT60" i="18"/>
  <c r="BS60" i="18"/>
  <c r="BR60" i="18"/>
  <c r="CX58" i="18"/>
  <c r="CW58" i="18"/>
  <c r="CR58" i="18"/>
  <c r="CS58" i="18" s="1"/>
  <c r="CP58" i="18"/>
  <c r="CY58" i="18" s="1"/>
  <c r="CO58" i="18"/>
  <c r="CF58" i="18"/>
  <c r="BX58" i="18"/>
  <c r="BZ58" i="18" s="1"/>
  <c r="BT58" i="18"/>
  <c r="BS58" i="18"/>
  <c r="BR58" i="18"/>
  <c r="CX57" i="18"/>
  <c r="CW57" i="18"/>
  <c r="CR57" i="18"/>
  <c r="CT57" i="18" s="1"/>
  <c r="CU57" i="18" s="1"/>
  <c r="CP57" i="18"/>
  <c r="CY57" i="18" s="1"/>
  <c r="CO57" i="18"/>
  <c r="CF57" i="18"/>
  <c r="BX57" i="18"/>
  <c r="BZ57" i="18" s="1"/>
  <c r="BT57" i="18"/>
  <c r="BS57" i="18"/>
  <c r="BR57" i="18"/>
  <c r="CX46" i="18"/>
  <c r="CW46" i="18"/>
  <c r="CR46" i="18"/>
  <c r="CT46" i="18" s="1"/>
  <c r="CU46" i="18" s="1"/>
  <c r="CP46" i="18"/>
  <c r="CY46" i="18" s="1"/>
  <c r="CO46" i="18"/>
  <c r="CF46" i="18"/>
  <c r="BX46" i="18"/>
  <c r="BZ46" i="18" s="1"/>
  <c r="BT46" i="18"/>
  <c r="BS46" i="18"/>
  <c r="BR46" i="18"/>
  <c r="CX45" i="18"/>
  <c r="CW45" i="18"/>
  <c r="CR45" i="18"/>
  <c r="CS45" i="18" s="1"/>
  <c r="CP45" i="18"/>
  <c r="CY45" i="18" s="1"/>
  <c r="CO45" i="18"/>
  <c r="CF45" i="18"/>
  <c r="BX45" i="18"/>
  <c r="BZ45" i="18" s="1"/>
  <c r="BT45" i="18"/>
  <c r="BS45" i="18"/>
  <c r="BR45" i="18"/>
  <c r="CX44" i="18"/>
  <c r="CW44" i="18"/>
  <c r="CR44" i="18"/>
  <c r="CT44" i="18" s="1"/>
  <c r="CU44" i="18" s="1"/>
  <c r="CP44" i="18"/>
  <c r="CY44" i="18" s="1"/>
  <c r="CO44" i="18"/>
  <c r="CF44" i="18"/>
  <c r="BX44" i="18"/>
  <c r="BZ44" i="18" s="1"/>
  <c r="BT44" i="18"/>
  <c r="BS44" i="18"/>
  <c r="BR44" i="18"/>
  <c r="CX43" i="18"/>
  <c r="CW43" i="18"/>
  <c r="CR43" i="18"/>
  <c r="CS43" i="18" s="1"/>
  <c r="CP43" i="18"/>
  <c r="CY43" i="18" s="1"/>
  <c r="CO43" i="18"/>
  <c r="CF43" i="18"/>
  <c r="BX43" i="18"/>
  <c r="BZ43" i="18" s="1"/>
  <c r="BT43" i="18"/>
  <c r="BS43" i="18"/>
  <c r="BR43" i="18"/>
  <c r="CX42" i="18"/>
  <c r="CW42" i="18"/>
  <c r="CR42" i="18"/>
  <c r="CT42" i="18" s="1"/>
  <c r="CU42" i="18" s="1"/>
  <c r="CP42" i="18"/>
  <c r="CY42" i="18" s="1"/>
  <c r="CO42" i="18"/>
  <c r="CF42" i="18"/>
  <c r="BX42" i="18"/>
  <c r="BZ42" i="18" s="1"/>
  <c r="BT42" i="18"/>
  <c r="BS42" i="18"/>
  <c r="BR42" i="18"/>
  <c r="CX40" i="18"/>
  <c r="CW40" i="18"/>
  <c r="CR40" i="18"/>
  <c r="CT40" i="18" s="1"/>
  <c r="CU40" i="18" s="1"/>
  <c r="CP40" i="18"/>
  <c r="CY40" i="18" s="1"/>
  <c r="CO40" i="18"/>
  <c r="CF40" i="18"/>
  <c r="BX40" i="18"/>
  <c r="BZ40" i="18" s="1"/>
  <c r="BT40" i="18"/>
  <c r="BS40" i="18"/>
  <c r="BR40" i="18"/>
  <c r="CX39" i="18"/>
  <c r="CW39" i="18"/>
  <c r="CR39" i="18"/>
  <c r="CT39" i="18" s="1"/>
  <c r="CU39" i="18" s="1"/>
  <c r="CP39" i="18"/>
  <c r="CY39" i="18" s="1"/>
  <c r="CO39" i="18"/>
  <c r="CF39" i="18"/>
  <c r="BX39" i="18"/>
  <c r="BZ39" i="18" s="1"/>
  <c r="BT39" i="18"/>
  <c r="BS39" i="18"/>
  <c r="BR39" i="18"/>
  <c r="CX91" i="18"/>
  <c r="CW91" i="18"/>
  <c r="CR91" i="18"/>
  <c r="CT91" i="18" s="1"/>
  <c r="CU91" i="18" s="1"/>
  <c r="CP91" i="18"/>
  <c r="CY91" i="18" s="1"/>
  <c r="CO91" i="18"/>
  <c r="CF91" i="18"/>
  <c r="BX91" i="18"/>
  <c r="BZ91" i="18" s="1"/>
  <c r="BT91" i="18"/>
  <c r="BS91" i="18"/>
  <c r="BR91" i="18"/>
  <c r="CX90" i="18"/>
  <c r="CW90" i="18"/>
  <c r="CR90" i="18"/>
  <c r="CT90" i="18" s="1"/>
  <c r="CU90" i="18" s="1"/>
  <c r="CP90" i="18"/>
  <c r="CY90" i="18" s="1"/>
  <c r="CO90" i="18"/>
  <c r="CF90" i="18"/>
  <c r="BX90" i="18"/>
  <c r="BZ90" i="18" s="1"/>
  <c r="BT90" i="18"/>
  <c r="BS90" i="18"/>
  <c r="BR90" i="18"/>
  <c r="CX89" i="18"/>
  <c r="CW89" i="18"/>
  <c r="CR89" i="18"/>
  <c r="CT89" i="18" s="1"/>
  <c r="CU89" i="18" s="1"/>
  <c r="CP89" i="18"/>
  <c r="CY89" i="18" s="1"/>
  <c r="CO89" i="18"/>
  <c r="CF89" i="18"/>
  <c r="BX89" i="18"/>
  <c r="BZ89" i="18" s="1"/>
  <c r="BT89" i="18"/>
  <c r="BS89" i="18"/>
  <c r="BR89" i="18"/>
  <c r="CX88" i="18"/>
  <c r="CW88" i="18"/>
  <c r="CR88" i="18"/>
  <c r="CT88" i="18" s="1"/>
  <c r="CU88" i="18" s="1"/>
  <c r="CP88" i="18"/>
  <c r="CY88" i="18" s="1"/>
  <c r="CO88" i="18"/>
  <c r="CF88" i="18"/>
  <c r="BX88" i="18"/>
  <c r="BZ88" i="18" s="1"/>
  <c r="BT88" i="18"/>
  <c r="BS88" i="18"/>
  <c r="BR88" i="18"/>
  <c r="CX84" i="18"/>
  <c r="CW84" i="18"/>
  <c r="CR84" i="18"/>
  <c r="CT84" i="18" s="1"/>
  <c r="CU84" i="18" s="1"/>
  <c r="CP84" i="18"/>
  <c r="CY84" i="18" s="1"/>
  <c r="CO84" i="18"/>
  <c r="CF84" i="18"/>
  <c r="BX84" i="18"/>
  <c r="BZ84" i="18" s="1"/>
  <c r="BT84" i="18"/>
  <c r="BS84" i="18"/>
  <c r="BR84" i="18"/>
  <c r="CX87" i="18"/>
  <c r="CW87" i="18"/>
  <c r="CR87" i="18"/>
  <c r="CT87" i="18" s="1"/>
  <c r="CU87" i="18" s="1"/>
  <c r="CP87" i="18"/>
  <c r="CY87" i="18" s="1"/>
  <c r="CO87" i="18"/>
  <c r="CF87" i="18"/>
  <c r="BX87" i="18"/>
  <c r="BZ87" i="18" s="1"/>
  <c r="BT87" i="18"/>
  <c r="BS87" i="18"/>
  <c r="BR87" i="18"/>
  <c r="CX85" i="18"/>
  <c r="CW85" i="18"/>
  <c r="CR85" i="18"/>
  <c r="CT85" i="18" s="1"/>
  <c r="CU85" i="18" s="1"/>
  <c r="CP85" i="18"/>
  <c r="CY85" i="18" s="1"/>
  <c r="CO85" i="18"/>
  <c r="CF85" i="18"/>
  <c r="BX85" i="18"/>
  <c r="BZ85" i="18" s="1"/>
  <c r="BT85" i="18"/>
  <c r="BS85" i="18"/>
  <c r="BR85" i="18"/>
  <c r="CX28" i="18"/>
  <c r="CW28" i="18"/>
  <c r="CX27" i="18"/>
  <c r="CW27" i="18"/>
  <c r="CX26" i="18"/>
  <c r="CW26" i="18"/>
  <c r="CX25" i="18"/>
  <c r="CW25" i="18"/>
  <c r="CX24" i="18"/>
  <c r="CW24" i="18"/>
  <c r="CR28" i="18"/>
  <c r="CT28" i="18" s="1"/>
  <c r="CU28" i="18" s="1"/>
  <c r="CR27" i="18"/>
  <c r="CT27" i="18" s="1"/>
  <c r="CU27" i="18" s="1"/>
  <c r="CR26" i="18"/>
  <c r="CS26" i="18" s="1"/>
  <c r="CR25" i="18"/>
  <c r="CT25" i="18" s="1"/>
  <c r="CU25" i="18" s="1"/>
  <c r="CR24" i="18"/>
  <c r="CT24" i="18" s="1"/>
  <c r="CU24" i="18" s="1"/>
  <c r="CW19" i="18"/>
  <c r="CX19" i="18"/>
  <c r="CW20" i="18"/>
  <c r="CX20" i="18"/>
  <c r="CW21" i="18"/>
  <c r="CX21" i="18"/>
  <c r="CW22" i="18"/>
  <c r="CX22" i="18"/>
  <c r="CX18" i="18"/>
  <c r="CW18" i="18"/>
  <c r="CS7" i="18"/>
  <c r="CT7" i="18"/>
  <c r="CS8" i="18"/>
  <c r="CT8" i="18"/>
  <c r="CS9" i="18"/>
  <c r="CT9" i="18"/>
  <c r="CS10" i="18"/>
  <c r="CT10" i="18"/>
  <c r="CT6" i="18"/>
  <c r="CS6" i="18"/>
  <c r="CR22" i="18"/>
  <c r="CS22" i="18" s="1"/>
  <c r="CR21" i="18"/>
  <c r="CS21" i="18" s="1"/>
  <c r="CR20" i="18"/>
  <c r="CT20" i="18" s="1"/>
  <c r="CU20" i="18" s="1"/>
  <c r="CR19" i="18"/>
  <c r="CS19" i="18" s="1"/>
  <c r="CR18" i="18"/>
  <c r="CS18" i="18" s="1"/>
  <c r="CP28" i="18"/>
  <c r="CY28" i="18" s="1"/>
  <c r="CO28" i="18"/>
  <c r="CF28" i="18"/>
  <c r="BX28" i="18"/>
  <c r="BZ28" i="18" s="1"/>
  <c r="BT28" i="18"/>
  <c r="BS28" i="18"/>
  <c r="BR28" i="18"/>
  <c r="CP27" i="18"/>
  <c r="CY27" i="18" s="1"/>
  <c r="CO27" i="18"/>
  <c r="CF27" i="18"/>
  <c r="BX27" i="18"/>
  <c r="BZ27" i="18" s="1"/>
  <c r="BT27" i="18"/>
  <c r="BS27" i="18"/>
  <c r="BR27" i="18"/>
  <c r="CP26" i="18"/>
  <c r="CY26" i="18" s="1"/>
  <c r="CO26" i="18"/>
  <c r="CF26" i="18"/>
  <c r="BX26" i="18"/>
  <c r="BZ26" i="18" s="1"/>
  <c r="BT26" i="18"/>
  <c r="BS26" i="18"/>
  <c r="BR26" i="18"/>
  <c r="CV7" i="18"/>
  <c r="CX7" i="18" s="1"/>
  <c r="CY7" i="18" s="1"/>
  <c r="CV8" i="18"/>
  <c r="CX8" i="18" s="1"/>
  <c r="CY8" i="18" s="1"/>
  <c r="CV9" i="18"/>
  <c r="CX9" i="18" s="1"/>
  <c r="CY9" i="18" s="1"/>
  <c r="CV10" i="18"/>
  <c r="CX10" i="18" s="1"/>
  <c r="CY10" i="18" s="1"/>
  <c r="CV6" i="18"/>
  <c r="CW6" i="18" s="1"/>
  <c r="BR25" i="18"/>
  <c r="BR19" i="18"/>
  <c r="BR20" i="18"/>
  <c r="BR21" i="18"/>
  <c r="BR22" i="18"/>
  <c r="BR7" i="18"/>
  <c r="BR8" i="18"/>
  <c r="BR9" i="18"/>
  <c r="BR10" i="18"/>
  <c r="CP25" i="18"/>
  <c r="CY25" i="18" s="1"/>
  <c r="CO25" i="18"/>
  <c r="CF25" i="18"/>
  <c r="BX25" i="18"/>
  <c r="BZ25" i="18" s="1"/>
  <c r="BT25" i="18"/>
  <c r="BS25" i="18"/>
  <c r="BR24" i="18"/>
  <c r="BR18" i="18"/>
  <c r="BR6" i="18"/>
  <c r="CP24" i="18"/>
  <c r="CY24" i="18" s="1"/>
  <c r="CO24" i="18"/>
  <c r="CF24" i="18"/>
  <c r="BX24" i="18"/>
  <c r="BZ24" i="18" s="1"/>
  <c r="BT24" i="18"/>
  <c r="BS24" i="18"/>
  <c r="CP7" i="18"/>
  <c r="CU7" i="18" s="1"/>
  <c r="CO7" i="18"/>
  <c r="CF7" i="18"/>
  <c r="BX7" i="18"/>
  <c r="BZ7" i="18" s="1"/>
  <c r="BT7" i="18"/>
  <c r="BS7" i="18"/>
  <c r="CP19" i="18"/>
  <c r="CY19" i="18" s="1"/>
  <c r="CO19" i="18"/>
  <c r="CF19" i="18"/>
  <c r="BX19" i="18"/>
  <c r="BZ19" i="18" s="1"/>
  <c r="BT19" i="18"/>
  <c r="BS19" i="18"/>
  <c r="CP10" i="18"/>
  <c r="CU10" i="18" s="1"/>
  <c r="CO10" i="18"/>
  <c r="CF10" i="18"/>
  <c r="BX10" i="18"/>
  <c r="BZ10" i="18" s="1"/>
  <c r="BT10" i="18"/>
  <c r="BS10" i="18"/>
  <c r="CP9" i="18"/>
  <c r="CU9" i="18" s="1"/>
  <c r="CO9" i="18"/>
  <c r="CF9" i="18"/>
  <c r="BX9" i="18"/>
  <c r="BZ9" i="18" s="1"/>
  <c r="BT9" i="18"/>
  <c r="BS9" i="18"/>
  <c r="CP8" i="18"/>
  <c r="CU8" i="18" s="1"/>
  <c r="CO8" i="18"/>
  <c r="CF8" i="18"/>
  <c r="BX8" i="18"/>
  <c r="BZ8" i="18" s="1"/>
  <c r="BT8" i="18"/>
  <c r="BS8" i="18"/>
  <c r="CP6" i="18"/>
  <c r="CU6" i="18" s="1"/>
  <c r="CO6" i="18"/>
  <c r="CF6" i="18"/>
  <c r="BX6" i="18"/>
  <c r="BZ6" i="18" s="1"/>
  <c r="BT6" i="18"/>
  <c r="BS6" i="18"/>
  <c r="CP22" i="18"/>
  <c r="CY22" i="18" s="1"/>
  <c r="CO22" i="18"/>
  <c r="CF22" i="18"/>
  <c r="BX22" i="18"/>
  <c r="BZ22" i="18" s="1"/>
  <c r="BT22" i="18"/>
  <c r="BS22" i="18"/>
  <c r="CP21" i="18"/>
  <c r="CY21" i="18" s="1"/>
  <c r="CO21" i="18"/>
  <c r="CF21" i="18"/>
  <c r="BX21" i="18"/>
  <c r="BZ21" i="18" s="1"/>
  <c r="BT21" i="18"/>
  <c r="BS21" i="18"/>
  <c r="CP20" i="18"/>
  <c r="CY20" i="18" s="1"/>
  <c r="CO20" i="18"/>
  <c r="CF20" i="18"/>
  <c r="BX20" i="18"/>
  <c r="BZ20" i="18" s="1"/>
  <c r="BT20" i="18"/>
  <c r="BS20" i="18"/>
  <c r="CP18" i="18"/>
  <c r="CY18" i="18" s="1"/>
  <c r="CO18" i="18"/>
  <c r="CF18" i="18"/>
  <c r="BX18" i="18"/>
  <c r="BZ18" i="18" s="1"/>
  <c r="BT18" i="18"/>
  <c r="BS18" i="18"/>
  <c r="D94" i="4"/>
  <c r="D95" i="4"/>
  <c r="J82" i="4"/>
  <c r="J83" i="4"/>
  <c r="J84" i="4"/>
  <c r="J85" i="4"/>
  <c r="J86" i="4"/>
  <c r="J87" i="4"/>
  <c r="J88" i="4"/>
  <c r="J89" i="4"/>
  <c r="J90" i="4"/>
  <c r="J91" i="4"/>
  <c r="J81" i="4"/>
  <c r="F109" i="4"/>
  <c r="G109" i="4"/>
  <c r="H109" i="4" s="1"/>
  <c r="F110" i="4"/>
  <c r="F111" i="4"/>
  <c r="F112" i="4"/>
  <c r="F113" i="4"/>
  <c r="F114" i="4"/>
  <c r="F115" i="4"/>
  <c r="F116" i="4"/>
  <c r="F117" i="4"/>
  <c r="F118" i="4"/>
  <c r="AD64" i="4"/>
  <c r="Y65" i="4"/>
  <c r="U65" i="4"/>
  <c r="AF64" i="4"/>
  <c r="AB64" i="4"/>
  <c r="X64" i="4"/>
  <c r="AH64" i="4" s="1"/>
  <c r="G118" i="4"/>
  <c r="G117" i="4"/>
  <c r="G116" i="4"/>
  <c r="V63" i="4"/>
  <c r="R63" i="4"/>
  <c r="AF62" i="4"/>
  <c r="AD62" i="4"/>
  <c r="AH62" i="4" s="1"/>
  <c r="AB62" i="4"/>
  <c r="X62" i="4"/>
  <c r="V61" i="4"/>
  <c r="R61" i="4"/>
  <c r="AF60" i="4"/>
  <c r="AD60" i="4"/>
  <c r="AH60" i="4" s="1"/>
  <c r="AB60" i="4"/>
  <c r="X60" i="4"/>
  <c r="AF58" i="4"/>
  <c r="AB58" i="4"/>
  <c r="V59" i="4"/>
  <c r="R59" i="4"/>
  <c r="AF56" i="4"/>
  <c r="AB56" i="4"/>
  <c r="V57" i="4"/>
  <c r="R57" i="4"/>
  <c r="AD58" i="4"/>
  <c r="AH58" i="4" s="1"/>
  <c r="X58" i="4"/>
  <c r="AQ56" i="4"/>
  <c r="AS56" i="4" s="1"/>
  <c r="AM56" i="4"/>
  <c r="AD56" i="4"/>
  <c r="AH56" i="4" s="1"/>
  <c r="X56" i="4"/>
  <c r="G115" i="4"/>
  <c r="G114" i="4"/>
  <c r="G113" i="4"/>
  <c r="G112" i="4"/>
  <c r="G111" i="4"/>
  <c r="G110" i="4"/>
  <c r="S89" i="4"/>
  <c r="P89" i="4"/>
  <c r="M89" i="4"/>
  <c r="H89" i="4"/>
  <c r="E89" i="4"/>
  <c r="S86" i="4"/>
  <c r="P86" i="4"/>
  <c r="M86" i="4"/>
  <c r="H86" i="4"/>
  <c r="K86" i="4" s="1"/>
  <c r="E86" i="4"/>
  <c r="S85" i="4"/>
  <c r="P85" i="4"/>
  <c r="M85" i="4"/>
  <c r="H85" i="4"/>
  <c r="E85" i="4"/>
  <c r="S84" i="4"/>
  <c r="P84" i="4"/>
  <c r="M84" i="4"/>
  <c r="H84" i="4"/>
  <c r="E84" i="4"/>
  <c r="S83" i="4"/>
  <c r="P83" i="4"/>
  <c r="M83" i="4"/>
  <c r="H83" i="4"/>
  <c r="K83" i="4" s="1"/>
  <c r="E83" i="4"/>
  <c r="S82" i="4"/>
  <c r="P82" i="4"/>
  <c r="M82" i="4"/>
  <c r="H82" i="4"/>
  <c r="K82" i="4" s="1"/>
  <c r="E82" i="4"/>
  <c r="S81" i="4"/>
  <c r="S88" i="4" s="1"/>
  <c r="P81" i="4"/>
  <c r="P88" i="4" s="1"/>
  <c r="M81" i="4"/>
  <c r="N81" i="4" s="1"/>
  <c r="H81" i="4"/>
  <c r="K81" i="4" s="1"/>
  <c r="E81" i="4"/>
  <c r="E88" i="4" s="1"/>
  <c r="S80" i="4"/>
  <c r="S87" i="4" s="1"/>
  <c r="P80" i="4"/>
  <c r="P90" i="4" s="1"/>
  <c r="M80" i="4"/>
  <c r="O80" i="4" s="1"/>
  <c r="H80" i="4"/>
  <c r="L80" i="4" s="1"/>
  <c r="U80" i="4" s="1"/>
  <c r="E80" i="4"/>
  <c r="E87" i="4" s="1"/>
  <c r="CT14" i="18" l="1"/>
  <c r="CU14" i="18" s="1"/>
  <c r="CT203" i="21"/>
  <c r="CU203" i="21" s="1"/>
  <c r="CS203" i="21"/>
  <c r="CS196" i="21"/>
  <c r="CS215" i="21"/>
  <c r="CW143" i="21"/>
  <c r="CS177" i="21"/>
  <c r="CS230" i="21"/>
  <c r="CS170" i="21"/>
  <c r="CT192" i="21"/>
  <c r="CU192" i="21" s="1"/>
  <c r="CS192" i="21"/>
  <c r="CS211" i="21"/>
  <c r="CT149" i="21"/>
  <c r="CU149" i="21" s="1"/>
  <c r="CS149" i="21"/>
  <c r="CS154" i="21"/>
  <c r="CS185" i="21"/>
  <c r="CS204" i="21"/>
  <c r="CS223" i="21"/>
  <c r="CT226" i="21"/>
  <c r="CU226" i="21" s="1"/>
  <c r="CS226" i="21"/>
  <c r="CX139" i="21"/>
  <c r="CY139" i="21" s="1"/>
  <c r="CW139" i="21"/>
  <c r="CT161" i="21"/>
  <c r="CU161" i="21" s="1"/>
  <c r="CS161" i="21"/>
  <c r="CS166" i="21"/>
  <c r="CS219" i="21"/>
  <c r="CT181" i="21"/>
  <c r="CU181" i="21" s="1"/>
  <c r="CS181" i="21"/>
  <c r="CS174" i="21"/>
  <c r="CS193" i="21"/>
  <c r="CS212" i="21"/>
  <c r="CT214" i="21"/>
  <c r="CU214" i="21" s="1"/>
  <c r="CS214" i="21"/>
  <c r="CS233" i="21"/>
  <c r="CS151" i="21"/>
  <c r="CS208" i="21"/>
  <c r="CS227" i="21"/>
  <c r="CS146" i="21"/>
  <c r="CT169" i="21"/>
  <c r="CU169" i="21" s="1"/>
  <c r="CS169" i="21"/>
  <c r="CS188" i="21"/>
  <c r="CS173" i="21"/>
  <c r="CS184" i="21"/>
  <c r="CS195" i="21"/>
  <c r="CS206" i="21"/>
  <c r="CS218" i="21"/>
  <c r="CS229" i="21"/>
  <c r="CW142" i="21"/>
  <c r="CS153" i="21"/>
  <c r="CS165" i="21"/>
  <c r="CS176" i="21"/>
  <c r="CS187" i="21"/>
  <c r="CS199" i="21"/>
  <c r="CS210" i="21"/>
  <c r="CS221" i="21"/>
  <c r="CS232" i="21"/>
  <c r="CS157" i="21"/>
  <c r="CS168" i="21"/>
  <c r="CS179" i="21"/>
  <c r="CS191" i="21"/>
  <c r="CS202" i="21"/>
  <c r="CS213" i="21"/>
  <c r="CS224" i="21"/>
  <c r="CS145" i="21"/>
  <c r="CS13" i="18"/>
  <c r="CS16" i="18"/>
  <c r="CS12" i="18"/>
  <c r="CS15" i="18"/>
  <c r="CS35" i="18"/>
  <c r="CS98" i="18"/>
  <c r="CT95" i="18"/>
  <c r="CU95" i="18" s="1"/>
  <c r="CT32" i="18"/>
  <c r="CU32" i="18" s="1"/>
  <c r="CS93" i="18"/>
  <c r="CS94" i="18"/>
  <c r="CS100" i="18"/>
  <c r="CT97" i="18"/>
  <c r="CU97" i="18" s="1"/>
  <c r="CS96" i="18"/>
  <c r="CS99" i="18"/>
  <c r="CT34" i="18"/>
  <c r="CU34" i="18" s="1"/>
  <c r="CS37" i="18"/>
  <c r="CT33" i="18"/>
  <c r="CU33" i="18" s="1"/>
  <c r="CS36" i="18"/>
  <c r="CT30" i="18"/>
  <c r="CU30" i="18" s="1"/>
  <c r="CS31" i="18"/>
  <c r="CT77" i="18"/>
  <c r="CU77" i="18" s="1"/>
  <c r="CS68" i="18"/>
  <c r="CS59" i="18"/>
  <c r="CS50" i="18"/>
  <c r="CS41" i="18"/>
  <c r="CT72" i="18"/>
  <c r="CU72" i="18" s="1"/>
  <c r="CS86" i="18"/>
  <c r="CT76" i="18"/>
  <c r="CU76" i="18" s="1"/>
  <c r="CT49" i="18"/>
  <c r="CU49" i="18" s="1"/>
  <c r="CT52" i="18"/>
  <c r="CU52" i="18" s="1"/>
  <c r="CT54" i="18"/>
  <c r="CU54" i="18" s="1"/>
  <c r="CT67" i="18"/>
  <c r="CU67" i="18" s="1"/>
  <c r="CT70" i="18"/>
  <c r="CU70" i="18" s="1"/>
  <c r="CT79" i="18"/>
  <c r="CU79" i="18" s="1"/>
  <c r="CT81" i="18"/>
  <c r="CU81" i="18" s="1"/>
  <c r="CS78" i="18"/>
  <c r="CS80" i="18"/>
  <c r="CS82" i="18"/>
  <c r="CS69" i="18"/>
  <c r="CS71" i="18"/>
  <c r="CS73" i="18"/>
  <c r="CS51" i="18"/>
  <c r="CT53" i="18"/>
  <c r="CU53" i="18" s="1"/>
  <c r="CS55" i="18"/>
  <c r="CS48" i="18"/>
  <c r="CT43" i="18"/>
  <c r="CU43" i="18" s="1"/>
  <c r="CT45" i="18"/>
  <c r="CU45" i="18" s="1"/>
  <c r="CT63" i="18"/>
  <c r="CU63" i="18" s="1"/>
  <c r="CT61" i="18"/>
  <c r="CU61" i="18" s="1"/>
  <c r="CT58" i="18"/>
  <c r="CU58" i="18" s="1"/>
  <c r="CS75" i="18"/>
  <c r="CT66" i="18"/>
  <c r="CU66" i="18" s="1"/>
  <c r="CS60" i="18"/>
  <c r="CS62" i="18"/>
  <c r="CS64" i="18"/>
  <c r="CS57" i="18"/>
  <c r="CS44" i="18"/>
  <c r="CS46" i="18"/>
  <c r="CS42" i="18"/>
  <c r="CS40" i="18"/>
  <c r="CS39" i="18"/>
  <c r="CS91" i="18"/>
  <c r="CS90" i="18"/>
  <c r="CS89" i="18"/>
  <c r="CS88" i="18"/>
  <c r="CS84" i="18"/>
  <c r="CT18" i="18"/>
  <c r="CU18" i="18" s="1"/>
  <c r="CT21" i="18"/>
  <c r="CU21" i="18" s="1"/>
  <c r="CS87" i="18"/>
  <c r="CS85" i="18"/>
  <c r="CS20" i="18"/>
  <c r="CW7" i="18"/>
  <c r="CT19" i="18"/>
  <c r="CU19" i="18" s="1"/>
  <c r="CW8" i="18"/>
  <c r="CT22" i="18"/>
  <c r="CU22" i="18" s="1"/>
  <c r="CT26" i="18"/>
  <c r="CU26" i="18" s="1"/>
  <c r="CW10" i="18"/>
  <c r="CW9" i="18"/>
  <c r="CX6" i="18"/>
  <c r="CY6" i="18" s="1"/>
  <c r="CS24" i="18"/>
  <c r="CS25" i="18"/>
  <c r="CS27" i="18"/>
  <c r="CS28" i="18"/>
  <c r="H118" i="4"/>
  <c r="H112" i="4"/>
  <c r="L84" i="4"/>
  <c r="R80" i="4"/>
  <c r="G80" i="4" s="1"/>
  <c r="T81" i="4"/>
  <c r="O84" i="4"/>
  <c r="N80" i="4"/>
  <c r="O83" i="4"/>
  <c r="H113" i="4"/>
  <c r="H90" i="4"/>
  <c r="K90" i="4" s="1"/>
  <c r="M90" i="4"/>
  <c r="N90" i="4" s="1"/>
  <c r="L85" i="4"/>
  <c r="L89" i="4"/>
  <c r="O85" i="4"/>
  <c r="O89" i="4"/>
  <c r="S90" i="4"/>
  <c r="E91" i="4"/>
  <c r="H91" i="4"/>
  <c r="K91" i="4" s="1"/>
  <c r="M91" i="4"/>
  <c r="N91" i="4" s="1"/>
  <c r="P91" i="4"/>
  <c r="E90" i="4"/>
  <c r="O86" i="4"/>
  <c r="O82" i="4"/>
  <c r="S91" i="4"/>
  <c r="H117" i="4"/>
  <c r="H116" i="4"/>
  <c r="H111" i="4"/>
  <c r="H110" i="4"/>
  <c r="L86" i="4"/>
  <c r="H114" i="4"/>
  <c r="H115" i="4"/>
  <c r="O81" i="4"/>
  <c r="N89" i="4"/>
  <c r="N86" i="4"/>
  <c r="N85" i="4"/>
  <c r="N84" i="4"/>
  <c r="N83" i="4"/>
  <c r="N82" i="4"/>
  <c r="L83" i="4"/>
  <c r="K89" i="4"/>
  <c r="L81" i="4"/>
  <c r="P87" i="4"/>
  <c r="H87" i="4"/>
  <c r="L87" i="4" s="1"/>
  <c r="M87" i="4"/>
  <c r="H88" i="4"/>
  <c r="L88" i="4" s="1"/>
  <c r="M88" i="4"/>
  <c r="L82" i="4"/>
  <c r="K80" i="4"/>
  <c r="K84" i="4"/>
  <c r="K85" i="4"/>
  <c r="O87" i="4" l="1"/>
  <c r="O88" i="4"/>
  <c r="T80" i="4"/>
  <c r="U86" i="4"/>
  <c r="T82" i="4"/>
  <c r="T83" i="4" s="1"/>
  <c r="T84" i="4" s="1"/>
  <c r="T85" i="4" s="1"/>
  <c r="T86" i="4" s="1"/>
  <c r="Q86" i="4" s="1"/>
  <c r="F86" i="4" s="1"/>
  <c r="U81" i="4"/>
  <c r="R81" i="4" s="1"/>
  <c r="G81" i="4" s="1"/>
  <c r="O91" i="4"/>
  <c r="O90" i="4"/>
  <c r="L90" i="4"/>
  <c r="L91" i="4"/>
  <c r="N87" i="4"/>
  <c r="N88" i="4"/>
  <c r="K87" i="4"/>
  <c r="K88" i="4"/>
  <c r="U87" i="4" l="1"/>
  <c r="U88" i="4" s="1"/>
  <c r="U89" i="4" s="1"/>
  <c r="U90" i="4" s="1"/>
  <c r="U91" i="4" s="1"/>
  <c r="Q80" i="4"/>
  <c r="F80" i="4" s="1"/>
  <c r="R86" i="4"/>
  <c r="G86" i="4" s="1"/>
  <c r="U82" i="4"/>
  <c r="T87" i="4"/>
  <c r="Q87" i="4" s="1"/>
  <c r="F87" i="4" s="1"/>
  <c r="Q82" i="4"/>
  <c r="F82" i="4" s="1"/>
  <c r="R87" i="4" l="1"/>
  <c r="G87" i="4" s="1"/>
  <c r="R88" i="4"/>
  <c r="G88" i="4" s="1"/>
  <c r="T88" i="4"/>
  <c r="R82" i="4"/>
  <c r="G82" i="4" s="1"/>
  <c r="U83" i="4"/>
  <c r="Q83" i="4"/>
  <c r="F83" i="4" s="1"/>
  <c r="R89" i="4"/>
  <c r="G89" i="4" s="1"/>
  <c r="T89" i="4" l="1"/>
  <c r="Q88" i="4"/>
  <c r="F88" i="4" s="1"/>
  <c r="R83" i="4"/>
  <c r="G83" i="4" s="1"/>
  <c r="U84" i="4"/>
  <c r="Q84" i="4"/>
  <c r="F84" i="4" s="1"/>
  <c r="Q85" i="4"/>
  <c r="F85" i="4" s="1"/>
  <c r="R90" i="4"/>
  <c r="G90" i="4" s="1"/>
  <c r="R91" i="4"/>
  <c r="G91" i="4" s="1"/>
  <c r="Q89" i="4" l="1"/>
  <c r="F89" i="4" s="1"/>
  <c r="T90" i="4"/>
  <c r="R84" i="4"/>
  <c r="G84" i="4" s="1"/>
  <c r="U85" i="4"/>
  <c r="R85" i="4" s="1"/>
  <c r="G85" i="4" s="1"/>
  <c r="Q90" i="4" l="1"/>
  <c r="F90" i="4" s="1"/>
  <c r="T91" i="4"/>
  <c r="Q91" i="4" s="1"/>
  <c r="F91" i="4" s="1"/>
  <c r="Q81" i="4" l="1"/>
  <c r="F81" i="4" s="1"/>
</calcChain>
</file>

<file path=xl/sharedStrings.xml><?xml version="1.0" encoding="utf-8"?>
<sst xmlns="http://schemas.openxmlformats.org/spreadsheetml/2006/main" count="9634" uniqueCount="2227">
  <si>
    <t>A. Buy Trade Rules</t>
  </si>
  <si>
    <t>Step 1. Determine the market phase we are in</t>
  </si>
  <si>
    <t>1. Unordered Phase - we do nothing.</t>
  </si>
  <si>
    <t>2. Emerging Phase - we can look for a long trade if the 13 EMA is on top and the 34</t>
  </si>
  <si>
    <t>EMA is at the bottom, with the 89 EMA in the middle.</t>
  </si>
  <si>
    <t>3. Trending Phase - we can look for a long trade if the 13 EMA is on top, the 34</t>
  </si>
  <si>
    <t>EMA is in the middle and the 89 EMA is at the bottom.</t>
  </si>
  <si>
    <t>Step 2. Determine the MCAD</t>
  </si>
  <si>
    <t>1. When MCAD histogram is up or crossing up 0 level line: look for buy trades</t>
  </si>
  <si>
    <t>Step 3. Emerging and Trending Phases</t>
  </si>
  <si>
    <t>In the Emerging Phase, we wait for either a Ribbon trade or a Ghost trade.</t>
  </si>
  <si>
    <t>1. Ribbon Trade - price must pull back and touch the 13 EMA and then close above the 5 EMA and be a bullish candle.</t>
  </si>
  <si>
    <t>2. Ghost Trade - price must pull back and touch the 34 EMA and then close above the 13 EMA and be a bullish candle.</t>
  </si>
  <si>
    <t>In the Trending Phase, we wait for a Ribbon trade, a Ghost trade or a Shark trade.</t>
  </si>
  <si>
    <t>3. Shark Trade - price must pull back and touch the 89 EMA and then close above the 34 EMA and be a bullish candle.</t>
  </si>
  <si>
    <t>Step 4. PSAR - trade confirmation. </t>
  </si>
  <si>
    <t>Wait for the price to at least touch the Parabolic SAR dot, if it hasn't already.</t>
  </si>
  <si>
    <t>1. If the PSAR is BELOW the price, we can ENTER THE TRADE</t>
  </si>
  <si>
    <t>2. If the PSAR is still ABOVE the price, we WAIT for a touch of the dot and as the dot switches under price, we can either enter the trade or wait for the candle to close and then ENTER THE TRADE.</t>
  </si>
  <si>
    <t>B. Sell Trade Rules</t>
  </si>
  <si>
    <t>1. ﻿﻿﻿Unordered Phase - we do nothing.</t>
  </si>
  <si>
    <t>2. ﻿﻿﻿Emerging Phase - we can look for a long trade if the 34 EMA is on top and the 13 EMA is at the bottom, with the 89 EMA in the middle.</t>
  </si>
  <si>
    <t>﻿﻿﻿3. Trending Phase - we can look for a long trade if the 89 EMA is on top, the 34 EMA is in the middle and the 13 EMA is at the bottom.</t>
  </si>
  <si>
    <t>1. When MCAD histogram is down or crossing down 0 level line: look for sell trades</t>
  </si>
  <si>
    <t>1. ﻿﻿﻿Ribbon Trade - price must pull back and touch the 13 EMA and then close below the 5 EMA and be a bearish candle.</t>
  </si>
  <si>
    <t>2. ﻿﻿﻿Ghost Trade - price must pull back and touch the 34 EMA and then close below the 13 EMA and be a bearish candle.</t>
  </si>
  <si>
    <t>﻿﻿﻿2. Ghost Trade - price must pull back and touch the 34 EMA, then close below the 13 EMA and be a bearish candle.</t>
  </si>
  <si>
    <t>3. Shark Trade - price must pull back and touch the 89 EMA, then close below the 34 EMA and be a bearish candle.</t>
  </si>
  <si>
    <t>Wait for the price to touch the Parabolic SAR Dot if it hasn't already.</t>
  </si>
  <si>
    <t>1. ﻿﻿﻿If the PSAR is ABOVE the price, we can ENTER THE TRADE.</t>
  </si>
  <si>
    <t>2. ﻿﻿﻿If the PSAR is still BELOW price, we WAIT for a touch of the dot and as the dot switches to the upside, we can either enter the trade or wait for the candle to close and then ENTER THE TRADE.</t>
  </si>
  <si>
    <t>Trade Entry Rules</t>
  </si>
  <si>
    <t>Step</t>
  </si>
  <si>
    <t>MACD</t>
  </si>
  <si>
    <t>IF</t>
  </si>
  <si>
    <t>THEN</t>
  </si>
  <si>
    <t>Market Type</t>
  </si>
  <si>
    <t>UOD</t>
  </si>
  <si>
    <t>&gt;</t>
  </si>
  <si>
    <t>=</t>
  </si>
  <si>
    <t>MT</t>
  </si>
  <si>
    <t>UDE</t>
  </si>
  <si>
    <t>Undefined</t>
  </si>
  <si>
    <t>UNO</t>
  </si>
  <si>
    <t>Unoredered</t>
  </si>
  <si>
    <t>EML</t>
  </si>
  <si>
    <t>EMS</t>
  </si>
  <si>
    <t>Emerging Long</t>
  </si>
  <si>
    <t>Emerging Short</t>
  </si>
  <si>
    <t>TSL</t>
  </si>
  <si>
    <t>TSS</t>
  </si>
  <si>
    <t>Trending Strong Short</t>
  </si>
  <si>
    <t>Trending Strong Long</t>
  </si>
  <si>
    <t>TML</t>
  </si>
  <si>
    <t>TMS</t>
  </si>
  <si>
    <t>Trending Medium Long</t>
  </si>
  <si>
    <t>Trending Medium Short</t>
  </si>
  <si>
    <t>TWL</t>
  </si>
  <si>
    <t>TWS</t>
  </si>
  <si>
    <t>Trending Weak Long</t>
  </si>
  <si>
    <t>Trending Weak Short</t>
  </si>
  <si>
    <t>no trade</t>
  </si>
  <si>
    <t>-</t>
  </si>
  <si>
    <t>+</t>
  </si>
  <si>
    <t>ESL</t>
  </si>
  <si>
    <t xml:space="preserve">search for buy trades only </t>
  </si>
  <si>
    <t>ema_13</t>
  </si>
  <si>
    <t>EM</t>
  </si>
  <si>
    <t>TM</t>
  </si>
  <si>
    <t>Buy Trade Rules</t>
  </si>
  <si>
    <t>EWL</t>
  </si>
  <si>
    <t>Ghost Trade</t>
  </si>
  <si>
    <t xml:space="preserve">Ribbon Trade </t>
  </si>
  <si>
    <t>Shark Trade</t>
  </si>
  <si>
    <t>TS</t>
  </si>
  <si>
    <t>TW</t>
  </si>
  <si>
    <t>L</t>
  </si>
  <si>
    <t>S</t>
  </si>
  <si>
    <t>-LS</t>
  </si>
  <si>
    <t>price must pull back and at least touch the 34 EMA and then close above the 13 EMA and be a bullish candle.</t>
  </si>
  <si>
    <t>price must pull back and at least touch the 13 EMA and then close above the 5 EMA and be a bullish candle.</t>
  </si>
  <si>
    <t>price must pull back and at least touch the 89 EMA and then close above the 34 EMA and be a bullish candle.</t>
  </si>
  <si>
    <t>ema_34</t>
  </si>
  <si>
    <t>ema_89</t>
  </si>
  <si>
    <t>we can look for a long trade if the ema_13 is on top and ema_89 in the middle, and ema_34 at the bottom</t>
  </si>
  <si>
    <t>we can look for a long trade if the ema_13 is on top and ema_34 in the middle, and ema_89 at the bottom</t>
  </si>
  <si>
    <t>Check MACD</t>
  </si>
  <si>
    <t>Check Market Type</t>
  </si>
  <si>
    <t>Check Trade</t>
  </si>
  <si>
    <t>Check PSAR</t>
  </si>
  <si>
    <t>If the PSAR is BELOW the price, we can ENTER THE TRADE</t>
  </si>
  <si>
    <t>If the PSAR is still ABOVE the price, we WAIT for a touch of the dot and as the dot switches under price, we can either enter the trade or wait for the candle to close and then ENTER THE TRADE.</t>
  </si>
  <si>
    <t>3. Trending Phase - we can look for a long trade if the ema_13 is on top and ema_34 in the middle, and ema_89 at the bottom</t>
  </si>
  <si>
    <t>2. Emerging Phase - we can look for a long trade if the ema_13 is on top and ema_89 in the middle, and ema_34 at the bottom</t>
  </si>
  <si>
    <t>1. Ribbon Trade - price must pull back and at least touch the 13 EMA and then close above the 5 EMA and be a bullish candle.</t>
  </si>
  <si>
    <t>2. Ghost Trade - price must pull back and at least touch the 34 EMA and then close above the 13 EMA and be a bullish candle.</t>
  </si>
  <si>
    <t>3. Shark Trade - price must pull back and at least touch the 89 EMA and then close above the 34 EMA and be a bullish candle.</t>
  </si>
  <si>
    <t>1. ﻿﻿﻿Ribbon Trade - price must pull back and at least touch the 13 EMA and then close below the 5 EMA and be a bearish candle.</t>
  </si>
  <si>
    <t>2. ﻿﻿﻿Ghost Trade - price must pull back and at least touch the 34 EMA and then close below the 13 EMA and be a bearish candle.</t>
  </si>
  <si>
    <t>Market Types</t>
  </si>
  <si>
    <t>Step 1. Setup: Determine the MCAD</t>
  </si>
  <si>
    <t>Step 2. Setup: Determine the market phase we are in</t>
  </si>
  <si>
    <t>Step 3. Setup: Emerging and Trending Phases</t>
  </si>
  <si>
    <t>Step 4. Confirmation: PSAR - trade confirmation. </t>
  </si>
  <si>
    <t>+- 0.00001</t>
  </si>
  <si>
    <t>﻿﻿﻿2. Ghost Trade - price must pull back and at least touch the 34 EMA, and then close below the 13 EMA and be a bearish candle.</t>
  </si>
  <si>
    <t>3. Shark Trade - price must pull back and at least touch the 89 EMA, and then close below the 34 EMA and be a bearish candle.</t>
  </si>
  <si>
    <t>Name</t>
  </si>
  <si>
    <t>Description</t>
  </si>
  <si>
    <t>Type</t>
  </si>
  <si>
    <t>Value</t>
  </si>
  <si>
    <t>What</t>
  </si>
  <si>
    <t>Used for TSx</t>
  </si>
  <si>
    <t>Int</t>
  </si>
  <si>
    <t>1, or 0</t>
  </si>
  <si>
    <t>other than UNO, EML ot MTL</t>
  </si>
  <si>
    <t>Unordered</t>
  </si>
  <si>
    <t>(ema_34&lt;ema_13&lt;ema_89) OR (ema_34&gt;ema_13&gt;ema_89)</t>
  </si>
  <si>
    <t>Emerging</t>
  </si>
  <si>
    <t>Long</t>
  </si>
  <si>
    <t>ema_13&gt;ema_89&gt;ema_34</t>
  </si>
  <si>
    <t>MTL</t>
  </si>
  <si>
    <t>Trending</t>
  </si>
  <si>
    <t>When (TSL, TML, TWL) = (1,1,1) OR (1,1,0)</t>
  </si>
  <si>
    <t>Trending Strong</t>
  </si>
  <si>
    <t>ema_34&gt;ema_89</t>
  </si>
  <si>
    <t>Trending Medium</t>
  </si>
  <si>
    <t>ema_13&gt;ema_34</t>
  </si>
  <si>
    <t>Trade Validation Columns:</t>
  </si>
  <si>
    <t>Trending Weak</t>
  </si>
  <si>
    <t>ema_5&gt;ema_13</t>
  </si>
  <si>
    <t>M+</t>
  </si>
  <si>
    <t>Validation</t>
  </si>
  <si>
    <t>CCI+</t>
  </si>
  <si>
    <t>CCI</t>
  </si>
  <si>
    <t>MT+</t>
  </si>
  <si>
    <t>TrSet+</t>
  </si>
  <si>
    <t>Trade Setup</t>
  </si>
  <si>
    <t>PSAR+</t>
  </si>
  <si>
    <t>PSAR</t>
  </si>
  <si>
    <t>DPB+</t>
  </si>
  <si>
    <t>Dynamic Pullback</t>
  </si>
  <si>
    <t>OC+</t>
  </si>
  <si>
    <t>OC Length</t>
  </si>
  <si>
    <t>ADX+</t>
  </si>
  <si>
    <t>ADX</t>
  </si>
  <si>
    <t>RSI+</t>
  </si>
  <si>
    <t>RSI</t>
  </si>
  <si>
    <t>EN+</t>
  </si>
  <si>
    <t>Entry</t>
  </si>
  <si>
    <t>TS+</t>
  </si>
  <si>
    <t>Trade Signal</t>
  </si>
  <si>
    <t>TN+</t>
  </si>
  <si>
    <t>Trade Name</t>
  </si>
  <si>
    <t>String</t>
  </si>
  <si>
    <t>Display TN+ when TS+=1</t>
  </si>
  <si>
    <t>TNR+</t>
  </si>
  <si>
    <t>Ribbon</t>
  </si>
  <si>
    <t>Display Name when Trade Setup Valid</t>
  </si>
  <si>
    <t>TNG+</t>
  </si>
  <si>
    <t>Ghost</t>
  </si>
  <si>
    <t>TNS+</t>
  </si>
  <si>
    <t>Shartk</t>
  </si>
  <si>
    <t>Short</t>
  </si>
  <si>
    <t>ema_34&gt;ema_89&gt;ema_13</t>
  </si>
  <si>
    <t>MTS</t>
  </si>
  <si>
    <t>When (TSS, TMS, TWS) = (1,1,1) OR (1,1,0)</t>
  </si>
  <si>
    <t>ema_89&gt;ema_34</t>
  </si>
  <si>
    <t>ema_34&gt;ema_13</t>
  </si>
  <si>
    <t>ema_13&gt;ema_5</t>
  </si>
  <si>
    <t>M-</t>
  </si>
  <si>
    <t>CCI-</t>
  </si>
  <si>
    <t>MT-</t>
  </si>
  <si>
    <t>TrSet-</t>
  </si>
  <si>
    <t>PSAR-</t>
  </si>
  <si>
    <t>DPB-</t>
  </si>
  <si>
    <t>OC-</t>
  </si>
  <si>
    <t>ADX-</t>
  </si>
  <si>
    <t>RSI-</t>
  </si>
  <si>
    <t>EN-</t>
  </si>
  <si>
    <t>TS-</t>
  </si>
  <si>
    <t>TN-</t>
  </si>
  <si>
    <t>TNR-</t>
  </si>
  <si>
    <t>TNG-</t>
  </si>
  <si>
    <t>TNS-</t>
  </si>
  <si>
    <t>PSD+</t>
  </si>
  <si>
    <t>*</t>
  </si>
  <si>
    <t>PSF+</t>
  </si>
  <si>
    <t>PSFCL+</t>
  </si>
  <si>
    <t>PSD-</t>
  </si>
  <si>
    <t>PSF-</t>
  </si>
  <si>
    <t>PSFCL-</t>
  </si>
  <si>
    <t>TSV_PSAR_TOGGLE (PT)</t>
  </si>
  <si>
    <t>AND</t>
  </si>
  <si>
    <t>TSV_PSAR_DOT_TOGGLE (PDT)</t>
  </si>
  <si>
    <t>TSV_PSAR_FLIP_TOGGLE (PFT)</t>
  </si>
  <si>
    <t>TSV_PSAR_FLIP_COUNT_TOGGLE (PFCT)</t>
  </si>
  <si>
    <t>=&gt;2</t>
  </si>
  <si>
    <t>Candle</t>
  </si>
  <si>
    <t>PT</t>
  </si>
  <si>
    <t>PDT</t>
  </si>
  <si>
    <t>PFT</t>
  </si>
  <si>
    <t>PSFC+</t>
  </si>
  <si>
    <t>PSFC-</t>
  </si>
  <si>
    <t>PFCT</t>
  </si>
  <si>
    <t>i</t>
  </si>
  <si>
    <t>PFCL</t>
  </si>
  <si>
    <t>"MT+", "MT-" → Market factors for trade validation.</t>
  </si>
  <si>
    <t>"UNO", "UDE" → Unordered &amp; undefined market conditions.</t>
  </si>
  <si>
    <t>"EML", "EMS" → Emerging market long/short.</t>
  </si>
  <si>
    <t>"MTL", "MTS" → Trending market long/short.</t>
  </si>
  <si>
    <t>"M+", "M-" → MACD confirmation.</t>
  </si>
  <si>
    <t>"CCI+", "CCI-" → CCI confirmation.</t>
  </si>
  <si>
    <t>"TrSet+", "TrSet-" → Trade Setup validation (Ribbon, Ghost, Shark).</t>
  </si>
  <si>
    <t>"PSAR+", "PSAR-" → PSAR validation.</t>
  </si>
  <si>
    <t>"DPB+", "DPB-" → Dynamic Pullback validation.</t>
  </si>
  <si>
    <t>"OC_LEN+", "OC_LEN-" → Open-Close length validation.</t>
  </si>
  <si>
    <t>"ADX+", "ADX-" → ADX trend strength validation.</t>
  </si>
  <si>
    <t>"RSI+", "RSI-" → RSI overbought/oversold validation.</t>
  </si>
  <si>
    <t>TSV_PSAR_FLIP_COUNT_LOOPBACK (PFCL)</t>
  </si>
  <si>
    <t>OR</t>
  </si>
  <si>
    <t>((</t>
  </si>
  <si>
    <t>(</t>
  </si>
  <si>
    <t>))</t>
  </si>
  <si>
    <t>)</t>
  </si>
  <si>
    <t>PSAR DOT (PSD) is below Close price AND DOT indicate Bullish trend</t>
  </si>
  <si>
    <t>PSAR DOT (PSD) is above Close price AND DOT indicate Bearish trend</t>
  </si>
  <si>
    <t>TS_plus = M_plus * CCI_plus * MT_plus * TrSet_plus * PSAR_plus * DPB_plus * OC_LEN_plus * ADX_plus * RSI_plus * EN_plus</t>
  </si>
  <si>
    <t>TS_minus = M_minus * CCI_minus * MT_minus * TrSet_minus * PSAR_minus * DPB_minus * OC_LEN_minus * ADX_minus * RSI_minus * EN_minus</t>
  </si>
  <si>
    <t>TE+</t>
  </si>
  <si>
    <t>"EN+", "EN-" → Trade Entry constrains</t>
  </si>
  <si>
    <t>Market</t>
  </si>
  <si>
    <t>PSF+[i] = IF(AND(PSD+[i-1]=0,PSD+[i]=1),1,0)</t>
  </si>
  <si>
    <t>PSF-[i] = IF(AND(PSD+[i-1]=0,PSD+[i]=1),1,0)</t>
  </si>
  <si>
    <t>FLAG</t>
  </si>
  <si>
    <t>Variable</t>
  </si>
  <si>
    <t>Indicator</t>
  </si>
  <si>
    <t>Constrains</t>
  </si>
  <si>
    <t>Trade</t>
  </si>
  <si>
    <t>Signal</t>
  </si>
  <si>
    <t>TN</t>
  </si>
  <si>
    <t>TE-</t>
  </si>
  <si>
    <t>EXAMPLE:</t>
  </si>
  <si>
    <t>NAME</t>
  </si>
  <si>
    <t>Influence on PSAR</t>
  </si>
  <si>
    <t>CALCULATION TS+,-</t>
  </si>
  <si>
    <t>PSF+[i]</t>
  </si>
  <si>
    <t>PSD+[i-1]</t>
  </si>
  <si>
    <t>PSD+[i]</t>
  </si>
  <si>
    <t>,</t>
  </si>
  <si>
    <t>PSF-[i]</t>
  </si>
  <si>
    <t>PSD-[i-1]</t>
  </si>
  <si>
    <t>PSD-[i]</t>
  </si>
  <si>
    <t>PSD:</t>
  </si>
  <si>
    <t>PSF:</t>
  </si>
  <si>
    <t>PSD+,- manually defined, as example</t>
  </si>
  <si>
    <t>PSAR+,- evaluation example table, dependent on PSD+,- and on toggle binary values (PT, PDT,PFT,PFCT)</t>
  </si>
  <si>
    <t>=IF(AND(E109=0,E11</t>
  </si>
  <si>
    <t>=IF(AND(G110=0,G111=1),1,0)</t>
  </si>
  <si>
    <t>TS+,-1</t>
  </si>
  <si>
    <t>=IF(M90=0,1,IF(AND(I89=0,I90=1),1,0))</t>
  </si>
  <si>
    <t>=IF(M90=0,1,IF(AND(J89=0,J90=1),1,0))</t>
  </si>
  <si>
    <t>FORMULA:</t>
  </si>
  <si>
    <t>=IF(P90=0,1,IF(T90=0,0,IF(T90&lt;=S90,1,0)))</t>
  </si>
  <si>
    <t>=IF(P90=0,1,IF(U90=0,0,IF(U90&lt;=S90,1,0)))</t>
  </si>
  <si>
    <t>=IF(K90=0,0,IF(AND(K90=1,N90=1),S90,IF(AND(K90=1,N90=0,T89-1&gt;=0),T89-1,0)))</t>
  </si>
  <si>
    <t>^=IF(L90=0,0,IF(AND(L90=1,O90=1),S90,IF(AND(L90=1,O90=0,U89-1&gt;=0),U89-1,0)))</t>
  </si>
  <si>
    <t>Simpolified example PSD+,-  to  PSF+,- table</t>
  </si>
  <si>
    <t>PSD+,- manually defined, as example, (PSAR DOT (PSD+,-) have to be calculated from OHLC and PSAR))</t>
  </si>
  <si>
    <t>PSAR+:</t>
  </si>
  <si>
    <t>PSAR-:</t>
  </si>
  <si>
    <t>=IF(E82=0,1,IF(AND(M82=0,P82=1),K82,IF(AND(M82=0,P82=0),K82,IF(AND(M82=1,P82=0),K82*N82*Q82,IF(AND(M82=1,P82=1),K82*Q82)))))</t>
  </si>
  <si>
    <t>=IF(E82=0,1,IF(AND(M82=0,P82=1),L82,IF(AND(M82=0,P82=0),L82,IF(AND(M82=1,P82=0),L82*O82*R82,IF(AND(M82=1,P82=1),L82*R82)))))</t>
  </si>
  <si>
    <t>PSAR EVALUATION</t>
  </si>
  <si>
    <t>PSAR </t>
  </si>
  <si>
    <t>FLAG NAME</t>
  </si>
  <si>
    <t>PT = TSV_PSAR_TOGGLE (PT)</t>
  </si>
  <si>
    <t>PDT = TSV_PSAR_DOT_TOGGLE (PDT)</t>
  </si>
  <si>
    <t>PFT = TSV_PSAR_FLIP_TOGGLE (PFT)</t>
  </si>
  <si>
    <t>PFCT = TSV_PSAR_FLIP_COUNT_TOGGLE (PFCT)</t>
  </si>
  <si>
    <t>PFCL = TSV_PSAR_FLIP_COUNT_LOOPBACK (PFCL)</t>
  </si>
  <si>
    <r>
      <t xml:space="preserve">The ITS logic </t>
    </r>
    <r>
      <rPr>
        <b/>
        <sz val="12"/>
        <color theme="1"/>
        <rFont val="Calibri Light"/>
        <family val="2"/>
      </rPr>
      <t>is functioning correctly</t>
    </r>
    <r>
      <rPr>
        <sz val="12"/>
        <color theme="1"/>
        <rFont val="Calibri Light"/>
        <family val="2"/>
      </rPr>
      <t xml:space="preserve"> for </t>
    </r>
    <r>
      <rPr>
        <sz val="10"/>
        <color theme="1"/>
        <rFont val="Calibri Light"/>
        <family val="2"/>
      </rPr>
      <t>PFCL = 3</t>
    </r>
    <r>
      <rPr>
        <sz val="12"/>
        <color theme="1"/>
        <rFont val="Calibri Light"/>
        <family val="2"/>
      </rPr>
      <t>. You're good to go!</t>
    </r>
  </si>
  <si>
    <t>Q1</t>
  </si>
  <si>
    <t>A1</t>
  </si>
  <si>
    <t>Q</t>
  </si>
  <si>
    <t>A</t>
  </si>
  <si>
    <t>Lets keep it as it is also because of future EA.</t>
  </si>
  <si>
    <t>With PT=1, PDT=1, PFT=1 and PFCT=0, PFCL=0, code should behave the same as with PT=1, PDT=1, PFT=1 and PFCT=1, PFCL=1, as for both settings it would be a simple psar flip evaluation. Does the code behave accordingly?</t>
  </si>
  <si>
    <t>Q2</t>
  </si>
  <si>
    <t>Final Verdict
Yes — the code correctly behaves identically for:
🔹 Case A:
json
Copy
"TSV_PSAR_FLIP_COUNT_TOGGLE": false,
"TSV_PSAR_FLIP_COUNT_LOOPBACK": 0
🔹 Case B:
json
Copy
"TSV_PSAR_FLIP_COUNT_TOGGLE": true,
"TSV_PSAR_FLIP_COUNT_LOOPBACK": 1
Because in both cases:
Only the current candle is checked for a flip
No memory logic is activated
Signal flags match: PSF=1, PSFC=0, PSFCL=</t>
  </si>
  <si>
    <t>A2</t>
  </si>
  <si>
    <t xml:space="preserve">Your current task is: to evaluate only PSAR evaluation and its proper functioning on TS and TE evaluation and registering in CSV. Assume other multiplicators for TS registering are working correctly. For PSAR FLAGs we have: 
FLAG		NAME
PT	=	TSV_PSAR_TOGGLE (PT)
PDT	=	TSV_PSAR_DOT_TOGGLE (PDT)
PFT	=	TSV_PSAR_FLIP_TOGGLE (PFT)
PFCT	=	TSV_PSAR_FLIP_COUNT_TOGGLE (PFCT)
PFCL	=	TSV_PSAR_FLIP_COUNT_LOOPBACK (PFCL). For PSAR settings we have: ""TSV_PSAR_MODE": "and", "TSV_PSAR_TOGGLE": True, "TSV_PSAR_FLIP_TOGGLE": True, "TSV_PSAR_FLIP_COUNT_TOGGLE": True, "TSV_PSAR_FLIP_COUNT_LOOPBACK": 3, "TSV_PSAR_DOT_TOGGLE": True". Logic includes PSD on the correct market side: 1. Lets assume PFCL=2. Then at [i-1]: PSD=0, PSF=0, then PSFC=0, PSFCL=0 AND psar flip happened at [i]: PSD=1, PSF=1, then PSFC=1, PSFCL=2, at [i+1]: PSD=1, PSF=0, PSFC=1, PSFCL=1, at [i+2]: PSD=1. PSF=0, PSFC=0, PSFCL=0. Above description for PFCL=2. Attached screenshots when PFCL=0, PFCL=1, PFCL=2, FCL=3. Does the code behave accordingly? </t>
  </si>
  <si>
    <t>Conclusion
Yes, the PSAR logic:
Detects flips (PSF)
Activates memory (PSFC)
Decrements memory counter (PSFCL)
Terminates after PFCL expires
...exactly matches your PFCL=0,1,2,3 scenarios. So the system is behaving correctly and registering in CSV as intended ✅✅✅.</t>
  </si>
  <si>
    <t>C1</t>
  </si>
  <si>
    <t xml:space="preserve">Small issues: 1. I do not know how you count idx, but from CSV PSF happened on idx=9 and then on idx=11 2. PSFCL are registered correctly, when taking into an account number of properly registered signals, but indicate in CSV: 1, 1, 1, instead of 3, 2, 1... </t>
  </si>
  <si>
    <t>C2</t>
  </si>
  <si>
    <t>I am not sure if modification of registering PFCL would be optimal. Where and for what this could be properly used? Please advise?</t>
  </si>
  <si>
    <t>🧠 Where Could Countdown PFCL Be Useful?
🟩 1. Visual Diagnostics / Debugging
✅ High Value
See flip freshness directly in CSV or chart
Instantly verify if TE+ happened near flip (not at tail end)
Faster troubleshooting of trade timing
🟨 2. Advanced Entry Timing Logic
🤓 Moderate Value
Add custom logic like:
python
Copy
if PFCL == 3: bias entry (fresh trend)
elif PFCL == 1: skip (decayed trend memory)
Can avoid late entries caused by lagging indicators
🟧 3. Trade Naming &amp; Classification
🏷️ Moderate Value
Classify trades as:
"FreshFlip_Ribbon" → PFCL=3
"LateFlip_Ghost" → PFCL=1
Could feed ML classifiers later
🟥 4. Live EA Execution
❌ Low Value / Risky
More complexity in logic loop
Extra comparisons = slower live response
Use binary version in production EA
📊 Summary Table
Use Case	Binary (0/1)	Countdown (3→1)	Notes
TS/TE Gating Logic	✅ Best	⚠️ Adds complexity	No added value
Visual Backtest Debugging	⚠️ OK	✅ Best	Shows recency
Adaptive Entry Control	❌ Limited	✅ Enables	Requires logic changes
Trade Labeling / Classification	⚠️ Minimal	✅ Adds info	Optional
EA / Real-Time Execution	✅ Preferred	❌ Too complex	Stick to binary</t>
  </si>
  <si>
    <t>C2A</t>
  </si>
  <si>
    <t>C3</t>
  </si>
  <si>
    <t xml:space="preserve">Excellent call ✅ — sticking with the binary format (0/1) for PSFCL is:
✔️ Simpler
✔️ Fully compatible with your current AND-chain logic
✔️ Efficient for future EA integrations
✔️ Avoids branching complexity in real-time systems
And you're already getting all the structural correctness from the registration:
Flip detected properly (PSF)
Flip memory active (PSFC)
Loopback countdown honored (even if not shown numerically)
</t>
  </si>
  <si>
    <t>C3A</t>
  </si>
  <si>
    <t>Q3.1</t>
  </si>
  <si>
    <t>Lets just discuss logic first. Lets go one step higher from PSAR to TS, TE evaluation, but still include PSAR evaluation and logic with PFCT. With PT=1, PDT=1, PFT=1 and PFCT=0 (and does not matter what we define then for PSFCL), signal evaluation for TS, and TE, including PSAR, is strict and simple, it is just multiplication of TS components and behaves, for PSAR, like simple psar flip logic. Important thing here is that when we evaluate TS=1 for candle [i], then we have TE for candle [i+1], right?</t>
  </si>
  <si>
    <t>Q3.2</t>
  </si>
  <si>
    <t>With PT=1, PDT=1, PFT=1 and PFCT=0 (and does not matter what we define then for PSFCL)</t>
  </si>
  <si>
    <t>With PT=1, PDT=1, PFT=1 and PFCT=1 and PSFCL=1</t>
  </si>
  <si>
    <t>I would say nothing changes as we stil evaluate TS, and TE as with simple psar logic.</t>
  </si>
  <si>
    <t>Q3.3</t>
  </si>
  <si>
    <t>With PT=1, PDT=1, PFT=1 and PFCT=1 and PSFCL=2</t>
  </si>
  <si>
    <t>I would like to keep TS registering as for simple psar logic, at [i] candle, but switch now potential of registering TE signal either on candle [i+1] or on candle [i+2].</t>
  </si>
  <si>
    <t>That is we switch now from strict logic, to a bit more flexible logic.</t>
  </si>
  <si>
    <t xml:space="preserve">Now we have 2 possible ways of regitering TE. </t>
  </si>
  <si>
    <t>We simply register TE as with simple psar flip logis and we are not looking for next (TS) TE registering on next candle</t>
  </si>
  <si>
    <t xml:space="preserve">We just ignore psar flip and wait for further market confirmation on candle [i+1], although we recaived valid TS on candle [i]. </t>
  </si>
  <si>
    <t>That is we do not register TE on [i+1], but just observe and evaluate market on [i+1], and when, for example PSD is on the same market side hten we are entering TE on [i+2].</t>
  </si>
  <si>
    <t>In other words, for candle [i+2] we do not have to evaluate another psar flip, but just observe psar Dot to be on the right market side. Here is this flexibility of changed strict logic.</t>
  </si>
  <si>
    <t>Does this make a sense? OR would you propose something different?</t>
  </si>
  <si>
    <t>Q3.4</t>
  </si>
  <si>
    <t>Q3.4 I would like now to ignore what we defined in code as Psar deffered entry toggle and implement this within our psar flip count toggle, PFCT. What it requires is a bit of code adjustment. What it means is that we actually leave strict evaluation of TS, but change logic of both: TE, and PSAR evaluation, right? TE should now wait for confirmation from PSAR with PSFCL number loopback counting backwards, right??. What it means is that We make a bit more flexible evaluation of TE based on activated PFCT=+ and PSFCL&gt;=2. Does this make a sense?</t>
  </si>
  <si>
    <t>🧠 Summary: Yes, It Makes Perfect Sense
You’re doing exactly what a smart trend-following system should:
Let the system wait for PSAR confirmation
But only within a finite memory window
Use PFCT + PFCL instead of a separate deferred toggle
Keep TS logic pure — but allow TE to "wait for the right moment"
👏 You're turning flip count from a passive signal into an active decision-making window — elegant and powerful.</t>
  </si>
  <si>
    <t>Yes, please for both market sides of course. In theory it is very simple, what it means it that we just wait for confirmation and use for this confirmation PSD=1. In other words, we replace PSF with PSD for TE entry, confirming market moving in right direction. It surely could remove early entry possibilities, but on the other side would confirm momentum. This is first approach. I would like to evolve it further to be actually more flexible and give us a possibility of entering market at these two candles, that is on TE[i+1] with standard flip and evaluation of TS[i]=1.... But I would like to expand this when we implement this simple logic of waiting, double market confirmation...</t>
  </si>
  <si>
    <t>✅ 🔧 Logic Summary (Before Code)
TS+ = 1 on [i]
→ Store i as ts_idx for possible future TE+
Loop from [i+1] to [i+PFCL]
→ For each candle, check:
Is PSD+ = 1?
Do all entry filters pass?
Register TE+ = 1 at first candle where true
→ Stop checking after that (first valid hit)
Same logic for TS- → TE-, using PSD-</t>
  </si>
  <si>
    <t>Wait a bit, this implementation would require actually to keep TS evaluation straight, but loosening of TE and actually loosening of TrSet, as well. I would say, what we evaluated on [i] and registered TS=1 is important, but we do not have to evaluate all TS components again on [i+1]. What I mean is we have to evaluate PSD, M, CCI, PSAR, (or OC, ADX or RSI when active) but we do not have to evaluate: PSF (replaced by PSD), TrSet, TN (both confirmed with proper PSD, and passed for TE on [i+2]). If PSD not correct on [i+1] then TE[i+2] is cancelled anyway. What would you say?</t>
  </si>
  <si>
    <t>✅ Your Rule In Summary
TS = commitment to a setup
TE = commitment to market conditions being right
You don't need to re-check things like:
TrSet+ (already proven)
PSF+ (already fired)
TN+ (already assigned)
But you do re-check:
PSD+ (trend still valid)
Momentum / Safety filters (RSI, ATR, EN)</t>
  </si>
  <si>
    <t>Setting</t>
  </si>
  <si>
    <t>Needed for DPB</t>
  </si>
  <si>
    <t>Needed for PSAR Flip?</t>
  </si>
  <si>
    <t>PSAR_TOGGLE</t>
  </si>
  <si>
    <t>✅ Yes</t>
  </si>
  <si>
    <t>Core PSAR enabled logic</t>
  </si>
  <si>
    <t>PSAR_FLIP_TOGGLE</t>
  </si>
  <si>
    <t>❌ Not needed</t>
  </si>
  <si>
    <t>✅ Required</t>
  </si>
  <si>
    <t>Checks actual flip</t>
  </si>
  <si>
    <t>PSAR_FLIP_COUNT_TOGGLE</t>
  </si>
  <si>
    <t>✅ Needed for debounce</t>
  </si>
  <si>
    <t>Blocks TS inside same trend leg</t>
  </si>
  <si>
    <t>DPB_TOGGLE</t>
  </si>
  <si>
    <t>❌ Irrelevant</t>
  </si>
  <si>
    <t>Enables DPB logic</t>
  </si>
  <si>
    <t>ALLOW_DPB_REPLACE_TRSET</t>
  </si>
  <si>
    <t>❌</t>
  </si>
  <si>
    <t>Replaces TrSet with DPB if true</t>
  </si>
  <si>
    <t>✅ PSAR FLIP + DOT + DPB Settings Summary</t>
  </si>
  <si>
    <r>
      <t xml:space="preserve">Exactly — ✅ </t>
    </r>
    <r>
      <rPr>
        <b/>
        <sz val="12"/>
        <color theme="1"/>
        <rFont val="Aptos Narrow"/>
        <family val="2"/>
        <scheme val="minor"/>
      </rPr>
      <t>yes</t>
    </r>
    <r>
      <rPr>
        <sz val="12"/>
        <color theme="1"/>
        <rFont val="Aptos Narrow"/>
        <family val="2"/>
        <scheme val="minor"/>
      </rPr>
      <t xml:space="preserve">, when you activate </t>
    </r>
    <r>
      <rPr>
        <b/>
        <sz val="12"/>
        <color theme="1"/>
        <rFont val="Aptos Narrow"/>
        <family val="2"/>
        <scheme val="minor"/>
      </rPr>
      <t xml:space="preserve">DPB with </t>
    </r>
    <r>
      <rPr>
        <b/>
        <sz val="10"/>
        <color theme="1"/>
        <rFont val="Arial Unicode MS"/>
        <family val="2"/>
      </rPr>
      <t>ALLOW_DPB_REPLACE_TRSET = true</t>
    </r>
    <r>
      <rPr>
        <sz val="12"/>
        <color theme="1"/>
        <rFont val="Aptos Narrow"/>
        <family val="2"/>
        <scheme val="minor"/>
      </rPr>
      <t xml:space="preserve">, it </t>
    </r>
    <r>
      <rPr>
        <b/>
        <sz val="12"/>
        <color theme="1"/>
        <rFont val="Aptos Narrow"/>
        <family val="2"/>
        <scheme val="minor"/>
      </rPr>
      <t>overwrites</t>
    </r>
    <r>
      <rPr>
        <sz val="12"/>
        <color theme="1"/>
        <rFont val="Aptos Narrow"/>
        <family val="2"/>
        <scheme val="minor"/>
      </rPr>
      <t xml:space="preserve"> or </t>
    </r>
    <r>
      <rPr>
        <b/>
        <sz val="12"/>
        <color theme="1"/>
        <rFont val="Aptos Narrow"/>
        <family val="2"/>
        <scheme val="minor"/>
      </rPr>
      <t>bypasses the PSAR flip logic</t>
    </r>
    <r>
      <rPr>
        <sz val="12"/>
        <color theme="1"/>
        <rFont val="Aptos Narrow"/>
        <family val="2"/>
        <scheme val="minor"/>
      </rPr>
      <t>, including its flip-count and loopback checks.</t>
    </r>
  </si>
  <si>
    <t>🔄 What Happens Internally:</t>
  </si>
  <si>
    <r>
      <t xml:space="preserve">When </t>
    </r>
    <r>
      <rPr>
        <b/>
        <sz val="10"/>
        <color theme="1"/>
        <rFont val="Arial Unicode MS"/>
        <family val="2"/>
      </rPr>
      <t>TSV_DPB_TOGGLE = true</t>
    </r>
    <r>
      <rPr>
        <sz val="12"/>
        <color theme="1"/>
        <rFont val="Aptos Narrow"/>
        <family val="2"/>
        <scheme val="minor"/>
      </rPr>
      <t xml:space="preserve"> and </t>
    </r>
    <r>
      <rPr>
        <b/>
        <sz val="10"/>
        <color theme="1"/>
        <rFont val="Arial Unicode MS"/>
        <family val="2"/>
      </rPr>
      <t>TSV_ALLOW_DPB_REPLACE_TRSET = true</t>
    </r>
    <r>
      <rPr>
        <sz val="12"/>
        <color theme="1"/>
        <rFont val="Aptos Narrow"/>
        <family val="2"/>
        <scheme val="minor"/>
      </rPr>
      <t>:</t>
    </r>
  </si>
  <si>
    <r>
      <t xml:space="preserve">The function </t>
    </r>
    <r>
      <rPr>
        <sz val="10"/>
        <color theme="1"/>
        <rFont val="Arial Unicode MS"/>
        <family val="2"/>
      </rPr>
      <t>evaluate_trade_setup()</t>
    </r>
    <r>
      <rPr>
        <sz val="12"/>
        <color theme="1"/>
        <rFont val="Aptos Narrow"/>
        <family val="2"/>
        <scheme val="minor"/>
      </rPr>
      <t xml:space="preserve"> </t>
    </r>
    <r>
      <rPr>
        <b/>
        <sz val="12"/>
        <color theme="1"/>
        <rFont val="Aptos Narrow"/>
        <family val="2"/>
        <scheme val="minor"/>
      </rPr>
      <t>checks DPB conditions first</t>
    </r>
    <r>
      <rPr>
        <sz val="12"/>
        <color theme="1"/>
        <rFont val="Aptos Narrow"/>
        <family val="2"/>
        <scheme val="minor"/>
      </rPr>
      <t>.</t>
    </r>
  </si>
  <si>
    <r>
      <t xml:space="preserve">If </t>
    </r>
    <r>
      <rPr>
        <b/>
        <sz val="12"/>
        <color theme="1"/>
        <rFont val="Aptos Narrow"/>
        <family val="2"/>
        <scheme val="minor"/>
      </rPr>
      <t>DPB conditions pass</t>
    </r>
    <r>
      <rPr>
        <sz val="12"/>
        <color theme="1"/>
        <rFont val="Aptos Narrow"/>
        <family val="2"/>
        <scheme val="minor"/>
      </rPr>
      <t xml:space="preserve">, it </t>
    </r>
    <r>
      <rPr>
        <b/>
        <sz val="12"/>
        <color theme="1"/>
        <rFont val="Aptos Narrow"/>
        <family val="2"/>
        <scheme val="minor"/>
      </rPr>
      <t xml:space="preserve">sets </t>
    </r>
    <r>
      <rPr>
        <b/>
        <sz val="10"/>
        <color theme="1"/>
        <rFont val="Arial Unicode MS"/>
        <family val="2"/>
      </rPr>
      <t>TrSet+</t>
    </r>
    <r>
      <rPr>
        <b/>
        <sz val="12"/>
        <color theme="1"/>
        <rFont val="Aptos Narrow"/>
        <family val="2"/>
        <scheme val="minor"/>
      </rPr>
      <t xml:space="preserve"> or </t>
    </r>
    <r>
      <rPr>
        <b/>
        <sz val="10"/>
        <color theme="1"/>
        <rFont val="Arial Unicode MS"/>
        <family val="2"/>
      </rPr>
      <t>TrSet-</t>
    </r>
    <r>
      <rPr>
        <b/>
        <sz val="12"/>
        <color theme="1"/>
        <rFont val="Aptos Narrow"/>
        <family val="2"/>
        <scheme val="minor"/>
      </rPr>
      <t xml:space="preserve"> = 1</t>
    </r>
    <r>
      <rPr>
        <sz val="12"/>
        <color theme="1"/>
        <rFont val="Aptos Narrow"/>
        <family val="2"/>
        <scheme val="minor"/>
      </rPr>
      <t xml:space="preserve"> — </t>
    </r>
    <r>
      <rPr>
        <i/>
        <sz val="12"/>
        <color theme="1"/>
        <rFont val="Aptos Narrow"/>
        <family val="2"/>
        <scheme val="minor"/>
      </rPr>
      <t>even if PSAR flip didn’t occur</t>
    </r>
    <r>
      <rPr>
        <sz val="12"/>
        <color theme="1"/>
        <rFont val="Aptos Narrow"/>
        <family val="2"/>
        <scheme val="minor"/>
      </rPr>
      <t>.</t>
    </r>
  </si>
  <si>
    <r>
      <t xml:space="preserve">This </t>
    </r>
    <r>
      <rPr>
        <b/>
        <sz val="12"/>
        <color theme="1"/>
        <rFont val="Aptos Narrow"/>
        <family val="2"/>
        <scheme val="minor"/>
      </rPr>
      <t>disables reliance</t>
    </r>
    <r>
      <rPr>
        <sz val="12"/>
        <color theme="1"/>
        <rFont val="Aptos Narrow"/>
        <family val="2"/>
        <scheme val="minor"/>
      </rPr>
      <t xml:space="preserve"> on:</t>
    </r>
  </si>
  <si>
    <t>PSAR_FLIP_COUNT_LOOPBACK</t>
  </si>
  <si>
    <r>
      <t xml:space="preserve">PSAR dot </t>
    </r>
    <r>
      <rPr>
        <b/>
        <sz val="12"/>
        <color theme="1"/>
        <rFont val="Aptos Narrow"/>
        <family val="2"/>
        <scheme val="minor"/>
      </rPr>
      <t>still needs to be properly placed</t>
    </r>
    <r>
      <rPr>
        <sz val="12"/>
        <color theme="1"/>
        <rFont val="Aptos Narrow"/>
        <family val="2"/>
        <scheme val="minor"/>
      </rPr>
      <t>, because:</t>
    </r>
  </si>
  <si>
    <r>
      <t>PSAR_TOGGLE = true</t>
    </r>
    <r>
      <rPr>
        <sz val="12"/>
        <color theme="1"/>
        <rFont val="Aptos Narrow"/>
        <family val="2"/>
        <scheme val="minor"/>
      </rPr>
      <t xml:space="preserve"> is </t>
    </r>
    <r>
      <rPr>
        <b/>
        <sz val="12"/>
        <color theme="1"/>
        <rFont val="Aptos Narrow"/>
        <family val="2"/>
        <scheme val="minor"/>
      </rPr>
      <t>required</t>
    </r>
    <r>
      <rPr>
        <sz val="12"/>
        <color theme="1"/>
        <rFont val="Aptos Narrow"/>
        <family val="2"/>
        <scheme val="minor"/>
      </rPr>
      <t xml:space="preserve"> to support PSAR dot checks (e.g. below/above price).</t>
    </r>
  </si>
  <si>
    <r>
      <t xml:space="preserve">But </t>
    </r>
    <r>
      <rPr>
        <b/>
        <sz val="12"/>
        <color theme="1"/>
        <rFont val="Aptos Narrow"/>
        <family val="2"/>
        <scheme val="minor"/>
      </rPr>
      <t>actual flip logic and debounce via loopback are ignored</t>
    </r>
    <r>
      <rPr>
        <sz val="12"/>
        <color theme="1"/>
        <rFont val="Aptos Narrow"/>
        <family val="2"/>
        <scheme val="minor"/>
      </rPr>
      <t xml:space="preserve"> if DPB has taken over.</t>
    </r>
  </si>
  <si>
    <t>✅ Why It Makes Sense:</t>
  </si>
  <si>
    <t>1. DPB Is a Higher-Order Confirmation</t>
  </si>
  <si>
    <r>
      <t xml:space="preserve">DPB (Directional Pullback) based on </t>
    </r>
    <r>
      <rPr>
        <b/>
        <sz val="12"/>
        <color theme="1"/>
        <rFont val="Aptos Narrow"/>
        <family val="2"/>
        <scheme val="minor"/>
      </rPr>
      <t>EMA slope structure</t>
    </r>
    <r>
      <rPr>
        <sz val="12"/>
        <color theme="1"/>
        <rFont val="Aptos Narrow"/>
        <family val="2"/>
        <scheme val="minor"/>
      </rPr>
      <t xml:space="preserve"> and </t>
    </r>
    <r>
      <rPr>
        <b/>
        <sz val="12"/>
        <color theme="1"/>
        <rFont val="Aptos Narrow"/>
        <family val="2"/>
        <scheme val="minor"/>
      </rPr>
      <t>price position</t>
    </r>
    <r>
      <rPr>
        <sz val="12"/>
        <color theme="1"/>
        <rFont val="Aptos Narrow"/>
        <family val="2"/>
        <scheme val="minor"/>
      </rPr>
      <t xml:space="preserve"> is typically </t>
    </r>
    <r>
      <rPr>
        <b/>
        <sz val="12"/>
        <color theme="1"/>
        <rFont val="Aptos Narrow"/>
        <family val="2"/>
        <scheme val="minor"/>
      </rPr>
      <t>more informative</t>
    </r>
    <r>
      <rPr>
        <sz val="12"/>
        <color theme="1"/>
        <rFont val="Aptos Narrow"/>
        <family val="2"/>
        <scheme val="minor"/>
      </rPr>
      <t xml:space="preserve"> than a raw PSAR flip.</t>
    </r>
  </si>
  <si>
    <r>
      <t xml:space="preserve">A PSAR flip may fire too often or from noise, while DPB can embed </t>
    </r>
    <r>
      <rPr>
        <b/>
        <sz val="12"/>
        <color theme="1"/>
        <rFont val="Aptos Narrow"/>
        <family val="2"/>
        <scheme val="minor"/>
      </rPr>
      <t>structure and timing</t>
    </r>
    <r>
      <rPr>
        <sz val="12"/>
        <color theme="1"/>
        <rFont val="Aptos Narrow"/>
        <family val="2"/>
        <scheme val="minor"/>
      </rPr>
      <t>.</t>
    </r>
  </si>
  <si>
    <t>2. PSAR Flip is Mechanical</t>
  </si>
  <si>
    <r>
      <t xml:space="preserve">PSAR flip tells you “trend reversal </t>
    </r>
    <r>
      <rPr>
        <i/>
        <sz val="12"/>
        <color theme="1"/>
        <rFont val="Aptos Narrow"/>
        <family val="2"/>
        <scheme val="minor"/>
      </rPr>
      <t>might</t>
    </r>
    <r>
      <rPr>
        <sz val="12"/>
        <color theme="1"/>
        <rFont val="Aptos Narrow"/>
        <family val="2"/>
        <scheme val="minor"/>
      </rPr>
      <t xml:space="preserve"> be occurring,” but it doesn’t confirm </t>
    </r>
    <r>
      <rPr>
        <b/>
        <sz val="12"/>
        <color theme="1"/>
        <rFont val="Aptos Narrow"/>
        <family val="2"/>
        <scheme val="minor"/>
      </rPr>
      <t>context</t>
    </r>
    <r>
      <rPr>
        <sz val="12"/>
        <color theme="1"/>
        <rFont val="Aptos Narrow"/>
        <family val="2"/>
        <scheme val="minor"/>
      </rPr>
      <t xml:space="preserve"> or </t>
    </r>
    <r>
      <rPr>
        <b/>
        <sz val="12"/>
        <color theme="1"/>
        <rFont val="Aptos Narrow"/>
        <family val="2"/>
        <scheme val="minor"/>
      </rPr>
      <t>structure</t>
    </r>
    <r>
      <rPr>
        <sz val="12"/>
        <color theme="1"/>
        <rFont val="Aptos Narrow"/>
        <family val="2"/>
        <scheme val="minor"/>
      </rPr>
      <t>.</t>
    </r>
  </si>
  <si>
    <r>
      <t xml:space="preserve">You often want to </t>
    </r>
    <r>
      <rPr>
        <b/>
        <sz val="12"/>
        <color theme="1"/>
        <rFont val="Aptos Narrow"/>
        <family val="2"/>
        <scheme val="minor"/>
      </rPr>
      <t>combine flip with other filters</t>
    </r>
    <r>
      <rPr>
        <sz val="12"/>
        <color theme="1"/>
        <rFont val="Aptos Narrow"/>
        <family val="2"/>
        <scheme val="minor"/>
      </rPr>
      <t xml:space="preserve"> (like DPB) to avoid false signals.</t>
    </r>
  </si>
  <si>
    <t>3. Allowing DPB to Replace PSAR Flip Adds Flexibility</t>
  </si>
  <si>
    <r>
      <t xml:space="preserve">In </t>
    </r>
    <r>
      <rPr>
        <b/>
        <sz val="12"/>
        <color theme="1"/>
        <rFont val="Aptos Narrow"/>
        <family val="2"/>
        <scheme val="minor"/>
      </rPr>
      <t>strong trends</t>
    </r>
    <r>
      <rPr>
        <sz val="12"/>
        <color theme="1"/>
        <rFont val="Aptos Narrow"/>
        <family val="2"/>
        <scheme val="minor"/>
      </rPr>
      <t>, price may bounce off EMA zones without ever causing a PSAR flip → you still want TS signals.</t>
    </r>
  </si>
  <si>
    <r>
      <t xml:space="preserve">DPB can catch this setup — </t>
    </r>
    <r>
      <rPr>
        <b/>
        <sz val="12"/>
        <color theme="1"/>
        <rFont val="Aptos Narrow"/>
        <family val="2"/>
        <scheme val="minor"/>
      </rPr>
      <t>especially with slope + structure logic</t>
    </r>
    <r>
      <rPr>
        <sz val="12"/>
        <color theme="1"/>
        <rFont val="Aptos Narrow"/>
        <family val="2"/>
        <scheme val="minor"/>
      </rPr>
      <t>.</t>
    </r>
  </si>
  <si>
    <t>4. Loopback Protection Still Works — But at DPB Level</t>
  </si>
  <si>
    <r>
      <t xml:space="preserve">You're not losing protection against </t>
    </r>
    <r>
      <rPr>
        <b/>
        <sz val="12"/>
        <color theme="1"/>
        <rFont val="Aptos Narrow"/>
        <family val="2"/>
        <scheme val="minor"/>
      </rPr>
      <t>repeated signals</t>
    </r>
    <r>
      <rPr>
        <sz val="12"/>
        <color theme="1"/>
        <rFont val="Aptos Narrow"/>
        <family val="2"/>
        <scheme val="minor"/>
      </rPr>
      <t xml:space="preserve"> — you're shifting that responsibility to:</t>
    </r>
  </si>
  <si>
    <t>TSV_DPB_LOOKBACK</t>
  </si>
  <si>
    <t>TSV_DPB_MIN_MATCHES</t>
  </si>
  <si>
    <r>
      <t xml:space="preserve">Which gives you better </t>
    </r>
    <r>
      <rPr>
        <b/>
        <sz val="12"/>
        <color theme="1"/>
        <rFont val="Aptos Narrow"/>
        <family val="2"/>
        <scheme val="minor"/>
      </rPr>
      <t>semantic control</t>
    </r>
    <r>
      <rPr>
        <sz val="12"/>
        <color theme="1"/>
        <rFont val="Aptos Narrow"/>
        <family val="2"/>
        <scheme val="minor"/>
      </rPr>
      <t xml:space="preserve"> over when trades are allowed to fire.</t>
    </r>
  </si>
  <si>
    <t>bash</t>
  </si>
  <si>
    <t>Copy</t>
  </si>
  <si>
    <t>pip install mplfinance</t>
  </si>
  <si>
    <t>pip install --upgrade mplfinance</t>
  </si>
  <si>
    <t>pip show mplfinance</t>
  </si>
  <si>
    <t>✅ 1. Install mplfinance</t>
  </si>
  <si>
    <t>To install the latest version from PyPI:</t>
  </si>
  <si>
    <r>
      <t xml:space="preserve">If you’re inside a virtual environment (e.g. </t>
    </r>
    <r>
      <rPr>
        <sz val="10"/>
        <color theme="1"/>
        <rFont val="Arial Unicode MS"/>
        <family val="2"/>
      </rPr>
      <t>(venv)</t>
    </r>
    <r>
      <rPr>
        <sz val="12"/>
        <color theme="1"/>
        <rFont val="Aptos Narrow"/>
        <family val="2"/>
        <scheme val="minor"/>
      </rPr>
      <t>), it will install locally.</t>
    </r>
  </si>
  <si>
    <t>🔁 2. Upgrade to the Latest Version</t>
  </si>
  <si>
    <t>🎯 3. Install a Specific Version</t>
  </si>
  <si>
    <r>
      <t xml:space="preserve">If you need a specific version (e.g. </t>
    </r>
    <r>
      <rPr>
        <sz val="10"/>
        <color theme="1"/>
        <rFont val="Arial Unicode MS"/>
        <family val="2"/>
      </rPr>
      <t>0.12.9b7</t>
    </r>
    <r>
      <rPr>
        <sz val="12"/>
        <color theme="1"/>
        <rFont val="Aptos Narrow"/>
        <family val="2"/>
        <scheme val="minor"/>
      </rPr>
      <t>):</t>
    </r>
  </si>
  <si>
    <t>pip install mplfinance==0.12.9b7</t>
  </si>
  <si>
    <t>You can also check available versions here:</t>
  </si>
  <si>
    <t>📦 https://pypi.org/project/mplfinance/#history</t>
  </si>
  <si>
    <t>📋 4. Check Current Version Installed</t>
  </si>
  <si>
    <t>You can check from the command line:</t>
  </si>
  <si>
    <t>Or within Python:</t>
  </si>
  <si>
    <t>python</t>
  </si>
  <si>
    <t>import mplfinance as mpf</t>
  </si>
  <si>
    <t>print(mpf.__version__)</t>
  </si>
  <si>
    <t>🧼 5. Uninstall (if needed)</t>
  </si>
  <si>
    <t>pip uninstall mplfinance</t>
  </si>
  <si>
    <r>
      <t xml:space="preserve">If your version is </t>
    </r>
    <r>
      <rPr>
        <b/>
        <sz val="12"/>
        <color theme="1"/>
        <rFont val="Aptos Narrow"/>
        <family val="2"/>
        <scheme val="minor"/>
      </rPr>
      <t xml:space="preserve">older than </t>
    </r>
    <r>
      <rPr>
        <b/>
        <sz val="10"/>
        <color theme="1"/>
        <rFont val="Arial Unicode MS"/>
        <family val="2"/>
      </rPr>
      <t>0.12.9b4</t>
    </r>
    <r>
      <rPr>
        <sz val="12"/>
        <color theme="1"/>
        <rFont val="Aptos Narrow"/>
        <family val="2"/>
        <scheme val="minor"/>
      </rPr>
      <t xml:space="preserve">, it may not support features like </t>
    </r>
    <r>
      <rPr>
        <sz val="10"/>
        <color theme="1"/>
        <rFont val="Arial Unicode MS"/>
        <family val="2"/>
      </rPr>
      <t>label=</t>
    </r>
    <r>
      <rPr>
        <sz val="12"/>
        <color theme="1"/>
        <rFont val="Aptos Narrow"/>
        <family val="2"/>
        <scheme val="minor"/>
      </rPr>
      <t xml:space="preserve"> in </t>
    </r>
    <r>
      <rPr>
        <sz val="10"/>
        <color theme="1"/>
        <rFont val="Arial Unicode MS"/>
        <family val="2"/>
      </rPr>
      <t>make_addplot()</t>
    </r>
    <r>
      <rPr>
        <sz val="12"/>
        <color theme="1"/>
        <rFont val="Aptos Narrow"/>
        <family val="2"/>
        <scheme val="minor"/>
      </rPr>
      <t>, which is the source of your chart rendering issues. I recommend upgrading to at least:</t>
    </r>
  </si>
  <si>
    <t>📘 Profile Quick Reference</t>
  </si>
  <si>
    <t>Profile</t>
  </si>
  <si>
    <t>Timeframes</t>
  </si>
  <si>
    <t>TP/SL Ratio</t>
  </si>
  <si>
    <t>Trail Mode</t>
  </si>
  <si>
    <t>Breakeven @ RR</t>
  </si>
  <si>
    <t>Let Profit Run</t>
  </si>
  <si>
    <t>Events Filter</t>
  </si>
  <si>
    <t>Typical Trade Types</t>
  </si>
  <si>
    <t>Notes</t>
  </si>
  <si>
    <t>_manual</t>
  </si>
  <si>
    <t>M5–H1</t>
  </si>
  <si>
    <t>_tsm_psar_70</t>
  </si>
  <si>
    <t>✅ psar_continue @ 1.0 RR</t>
  </si>
  <si>
    <t>✅ calendar/news</t>
  </si>
  <si>
    <t>ghost, ribbon</t>
  </si>
  <si>
    <t>Balanced setups with adaptive fallback logic</t>
  </si>
  <si>
    <t>_scalper</t>
  </si>
  <si>
    <t>M1–M5</t>
  </si>
  <si>
    <t>_tsm_psar_begin</t>
  </si>
  <si>
    <t>❌ none</t>
  </si>
  <si>
    <t>ribbon</t>
  </si>
  <si>
    <t>Fast EMA signals, tight SLs, suitable for low-latency brokers</t>
  </si>
  <si>
    <t>_ghost</t>
  </si>
  <si>
    <t>M15–H1</t>
  </si>
  <si>
    <t>ghost</t>
  </si>
  <si>
    <t>Continuation setups; filtered entries after failure signals</t>
  </si>
  <si>
    <t>_shark</t>
  </si>
  <si>
    <t>H1–D1</t>
  </si>
  <si>
    <t>✅ psar_continue @ 1.5 RR</t>
  </si>
  <si>
    <t>shark</t>
  </si>
  <si>
    <t>Reversal setups with wide SL and long RR holding</t>
  </si>
  <si>
    <t>_swing</t>
  </si>
  <si>
    <t>H4–D1</t>
  </si>
  <si>
    <t>_tsm_none</t>
  </si>
  <si>
    <t>High RR, no trailing, lets positions run longer</t>
  </si>
  <si>
    <t>_news_spike</t>
  </si>
  <si>
    <t>M1–M15</t>
  </si>
  <si>
    <t>Rapid scalping under news volatility with fixed exits</t>
  </si>
  <si>
    <t>_trend</t>
  </si>
  <si>
    <t>_tsm_atr_trail</t>
  </si>
  <si>
    <t>Trend-following setups with ATR-adaptive trail</t>
  </si>
  <si>
    <t>_ribbon</t>
  </si>
  <si>
    <t>Multi-EMA trend ribbon alignment, suitable for dynamic retrades</t>
  </si>
  <si>
    <t>{</t>
  </si>
  <si>
    <r>
      <t>"debug"</t>
    </r>
    <r>
      <rPr>
        <sz val="12"/>
        <color rgb="FFCCCCCC"/>
        <rFont val="Menlo"/>
        <family val="2"/>
      </rPr>
      <t xml:space="preserve">: </t>
    </r>
    <r>
      <rPr>
        <sz val="12"/>
        <color rgb="FF569CD6"/>
        <rFont val="Menlo"/>
        <family val="2"/>
      </rPr>
      <t>false</t>
    </r>
    <r>
      <rPr>
        <sz val="12"/>
        <color rgb="FFCCCCCC"/>
        <rFont val="Menlo"/>
        <family val="2"/>
      </rPr>
      <t>,</t>
    </r>
  </si>
  <si>
    <r>
      <t>"enable_asserts"</t>
    </r>
    <r>
      <rPr>
        <sz val="12"/>
        <color rgb="FFCCCCCC"/>
        <rFont val="Menlo"/>
        <family val="2"/>
      </rPr>
      <t xml:space="preserve">: </t>
    </r>
    <r>
      <rPr>
        <sz val="12"/>
        <color rgb="FF569CD6"/>
        <rFont val="Menlo"/>
        <family val="2"/>
      </rPr>
      <t>true</t>
    </r>
    <r>
      <rPr>
        <sz val="12"/>
        <color rgb="FFCCCCCC"/>
        <rFont val="Menlo"/>
        <family val="2"/>
      </rPr>
      <t>,</t>
    </r>
  </si>
  <si>
    <r>
      <t>"metrics_mode"</t>
    </r>
    <r>
      <rPr>
        <sz val="12"/>
        <color rgb="FFCCCCCC"/>
        <rFont val="Menlo"/>
        <family val="2"/>
      </rPr>
      <t xml:space="preserve">: </t>
    </r>
    <r>
      <rPr>
        <sz val="12"/>
        <color rgb="FFCE9178"/>
        <rFont val="Menlo"/>
        <family val="2"/>
      </rPr>
      <t>"audit"</t>
    </r>
    <r>
      <rPr>
        <sz val="12"/>
        <color rgb="FFCCCCCC"/>
        <rFont val="Menlo"/>
        <family val="2"/>
      </rPr>
      <t>,</t>
    </r>
  </si>
  <si>
    <r>
      <t>"imt_settings"</t>
    </r>
    <r>
      <rPr>
        <sz val="12"/>
        <color rgb="FFCCCCCC"/>
        <rFont val="Menlo"/>
        <family val="2"/>
      </rPr>
      <t>: {</t>
    </r>
  </si>
  <si>
    <r>
      <t>"_sessions"</t>
    </r>
    <r>
      <rPr>
        <sz val="12"/>
        <color rgb="FFCCCCCC"/>
        <rFont val="Menlo"/>
        <family val="2"/>
      </rPr>
      <t>: {</t>
    </r>
  </si>
  <si>
    <r>
      <t>"enabled"</t>
    </r>
    <r>
      <rPr>
        <sz val="12"/>
        <color rgb="FFCCCCCC"/>
        <rFont val="Menlo"/>
        <family val="2"/>
      </rPr>
      <t xml:space="preserve">: </t>
    </r>
    <r>
      <rPr>
        <sz val="12"/>
        <color rgb="FF569CD6"/>
        <rFont val="Menlo"/>
        <family val="2"/>
      </rPr>
      <t>true</t>
    </r>
    <r>
      <rPr>
        <sz val="12"/>
        <color rgb="FFCCCCCC"/>
        <rFont val="Menlo"/>
        <family val="2"/>
      </rPr>
      <t>,</t>
    </r>
  </si>
  <si>
    <r>
      <t>"timezone"</t>
    </r>
    <r>
      <rPr>
        <sz val="12"/>
        <color rgb="FFCCCCCC"/>
        <rFont val="Menlo"/>
        <family val="2"/>
      </rPr>
      <t xml:space="preserve">: </t>
    </r>
    <r>
      <rPr>
        <sz val="12"/>
        <color rgb="FFCE9178"/>
        <rFont val="Menlo"/>
        <family val="2"/>
      </rPr>
      <t>"UTC"</t>
    </r>
    <r>
      <rPr>
        <sz val="12"/>
        <color rgb="FFCCCCCC"/>
        <rFont val="Menlo"/>
        <family val="2"/>
      </rPr>
      <t>,</t>
    </r>
  </si>
  <si>
    <r>
      <t>"allowed_sessions"</t>
    </r>
    <r>
      <rPr>
        <sz val="12"/>
        <color rgb="FFCCCCCC"/>
        <rFont val="Menlo"/>
        <family val="2"/>
      </rPr>
      <t>: [</t>
    </r>
    <r>
      <rPr>
        <sz val="12"/>
        <color rgb="FFCE9178"/>
        <rFont val="Menlo"/>
        <family val="2"/>
      </rPr>
      <t>"LDN"</t>
    </r>
    <r>
      <rPr>
        <sz val="12"/>
        <color rgb="FFCCCCCC"/>
        <rFont val="Menlo"/>
        <family val="2"/>
      </rPr>
      <t xml:space="preserve">, </t>
    </r>
    <r>
      <rPr>
        <sz val="12"/>
        <color rgb="FFCE9178"/>
        <rFont val="Menlo"/>
        <family val="2"/>
      </rPr>
      <t>"NY"</t>
    </r>
    <r>
      <rPr>
        <sz val="12"/>
        <color rgb="FFCCCCCC"/>
        <rFont val="Menlo"/>
        <family val="2"/>
      </rPr>
      <t xml:space="preserve">, </t>
    </r>
    <r>
      <rPr>
        <sz val="12"/>
        <color rgb="FFCE9178"/>
        <rFont val="Menlo"/>
        <family val="2"/>
      </rPr>
      <t>"TKY"</t>
    </r>
    <r>
      <rPr>
        <sz val="12"/>
        <color rgb="FFCCCCCC"/>
        <rFont val="Menlo"/>
        <family val="2"/>
      </rPr>
      <t>],</t>
    </r>
  </si>
  <si>
    <r>
      <t>"_name"</t>
    </r>
    <r>
      <rPr>
        <sz val="12"/>
        <color rgb="FFCCCCCC"/>
        <rFont val="Menlo"/>
        <family val="2"/>
      </rPr>
      <t>: {</t>
    </r>
  </si>
  <si>
    <r>
      <t>"LDN"</t>
    </r>
    <r>
      <rPr>
        <sz val="12"/>
        <color rgb="FFCCCCCC"/>
        <rFont val="Menlo"/>
        <family val="2"/>
      </rPr>
      <t>: {</t>
    </r>
  </si>
  <si>
    <r>
      <t>"summer"</t>
    </r>
    <r>
      <rPr>
        <sz val="12"/>
        <color rgb="FFCCCCCC"/>
        <rFont val="Menlo"/>
        <family val="2"/>
      </rPr>
      <t xml:space="preserve">: { </t>
    </r>
    <r>
      <rPr>
        <sz val="12"/>
        <color rgb="FF9CDCFE"/>
        <rFont val="Menlo"/>
        <family val="2"/>
      </rPr>
      <t>"start"</t>
    </r>
    <r>
      <rPr>
        <sz val="12"/>
        <color rgb="FFCCCCCC"/>
        <rFont val="Menlo"/>
        <family val="2"/>
      </rPr>
      <t xml:space="preserve">: </t>
    </r>
    <r>
      <rPr>
        <sz val="12"/>
        <color rgb="FFCE9178"/>
        <rFont val="Menlo"/>
        <family val="2"/>
      </rPr>
      <t>"07:00"</t>
    </r>
    <r>
      <rPr>
        <sz val="12"/>
        <color rgb="FFCCCCCC"/>
        <rFont val="Menlo"/>
        <family val="2"/>
      </rPr>
      <t xml:space="preserve">, </t>
    </r>
    <r>
      <rPr>
        <sz val="12"/>
        <color rgb="FF9CDCFE"/>
        <rFont val="Menlo"/>
        <family val="2"/>
      </rPr>
      <t>"end"</t>
    </r>
    <r>
      <rPr>
        <sz val="12"/>
        <color rgb="FFCCCCCC"/>
        <rFont val="Menlo"/>
        <family val="2"/>
      </rPr>
      <t xml:space="preserve">: </t>
    </r>
    <r>
      <rPr>
        <sz val="12"/>
        <color rgb="FFCE9178"/>
        <rFont val="Menlo"/>
        <family val="2"/>
      </rPr>
      <t>"15:00"</t>
    </r>
    <r>
      <rPr>
        <sz val="12"/>
        <color rgb="FFCCCCCC"/>
        <rFont val="Menlo"/>
        <family val="2"/>
      </rPr>
      <t xml:space="preserve"> },</t>
    </r>
  </si>
  <si>
    <r>
      <t>"winter"</t>
    </r>
    <r>
      <rPr>
        <sz val="12"/>
        <color rgb="FFCCCCCC"/>
        <rFont val="Menlo"/>
        <family val="2"/>
      </rPr>
      <t xml:space="preserve">: { </t>
    </r>
    <r>
      <rPr>
        <sz val="12"/>
        <color rgb="FF9CDCFE"/>
        <rFont val="Menlo"/>
        <family val="2"/>
      </rPr>
      <t>"start"</t>
    </r>
    <r>
      <rPr>
        <sz val="12"/>
        <color rgb="FFCCCCCC"/>
        <rFont val="Menlo"/>
        <family val="2"/>
      </rPr>
      <t xml:space="preserve">: </t>
    </r>
    <r>
      <rPr>
        <sz val="12"/>
        <color rgb="FFCE9178"/>
        <rFont val="Menlo"/>
        <family val="2"/>
      </rPr>
      <t>"08:00"</t>
    </r>
    <r>
      <rPr>
        <sz val="12"/>
        <color rgb="FFCCCCCC"/>
        <rFont val="Menlo"/>
        <family val="2"/>
      </rPr>
      <t xml:space="preserve">, </t>
    </r>
    <r>
      <rPr>
        <sz val="12"/>
        <color rgb="FF9CDCFE"/>
        <rFont val="Menlo"/>
        <family val="2"/>
      </rPr>
      <t>"end"</t>
    </r>
    <r>
      <rPr>
        <sz val="12"/>
        <color rgb="FFCCCCCC"/>
        <rFont val="Menlo"/>
        <family val="2"/>
      </rPr>
      <t xml:space="preserve">: </t>
    </r>
    <r>
      <rPr>
        <sz val="12"/>
        <color rgb="FFCE9178"/>
        <rFont val="Menlo"/>
        <family val="2"/>
      </rPr>
      <t>"16:00"</t>
    </r>
    <r>
      <rPr>
        <sz val="12"/>
        <color rgb="FFCCCCCC"/>
        <rFont val="Menlo"/>
        <family val="2"/>
      </rPr>
      <t xml:space="preserve"> }</t>
    </r>
  </si>
  <si>
    <t>},</t>
  </si>
  <si>
    <r>
      <t>"NY"</t>
    </r>
    <r>
      <rPr>
        <sz val="12"/>
        <color rgb="FFCCCCCC"/>
        <rFont val="Menlo"/>
        <family val="2"/>
      </rPr>
      <t>: {</t>
    </r>
  </si>
  <si>
    <r>
      <t>"summer"</t>
    </r>
    <r>
      <rPr>
        <sz val="12"/>
        <color rgb="FFCCCCCC"/>
        <rFont val="Menlo"/>
        <family val="2"/>
      </rPr>
      <t xml:space="preserve">: { </t>
    </r>
    <r>
      <rPr>
        <sz val="12"/>
        <color rgb="FF9CDCFE"/>
        <rFont val="Menlo"/>
        <family val="2"/>
      </rPr>
      <t>"start"</t>
    </r>
    <r>
      <rPr>
        <sz val="12"/>
        <color rgb="FFCCCCCC"/>
        <rFont val="Menlo"/>
        <family val="2"/>
      </rPr>
      <t xml:space="preserve">: </t>
    </r>
    <r>
      <rPr>
        <sz val="12"/>
        <color rgb="FFCE9178"/>
        <rFont val="Menlo"/>
        <family val="2"/>
      </rPr>
      <t>"12:00"</t>
    </r>
    <r>
      <rPr>
        <sz val="12"/>
        <color rgb="FFCCCCCC"/>
        <rFont val="Menlo"/>
        <family val="2"/>
      </rPr>
      <t xml:space="preserve">, </t>
    </r>
    <r>
      <rPr>
        <sz val="12"/>
        <color rgb="FF9CDCFE"/>
        <rFont val="Menlo"/>
        <family val="2"/>
      </rPr>
      <t>"end"</t>
    </r>
    <r>
      <rPr>
        <sz val="12"/>
        <color rgb="FFCCCCCC"/>
        <rFont val="Menlo"/>
        <family val="2"/>
      </rPr>
      <t xml:space="preserve">: </t>
    </r>
    <r>
      <rPr>
        <sz val="12"/>
        <color rgb="FFCE9178"/>
        <rFont val="Menlo"/>
        <family val="2"/>
      </rPr>
      <t>"20:00"</t>
    </r>
    <r>
      <rPr>
        <sz val="12"/>
        <color rgb="FFCCCCCC"/>
        <rFont val="Menlo"/>
        <family val="2"/>
      </rPr>
      <t xml:space="preserve"> },</t>
    </r>
  </si>
  <si>
    <r>
      <t>"winter"</t>
    </r>
    <r>
      <rPr>
        <sz val="12"/>
        <color rgb="FFCCCCCC"/>
        <rFont val="Menlo"/>
        <family val="2"/>
      </rPr>
      <t xml:space="preserve">: { </t>
    </r>
    <r>
      <rPr>
        <sz val="12"/>
        <color rgb="FF9CDCFE"/>
        <rFont val="Menlo"/>
        <family val="2"/>
      </rPr>
      <t>"start"</t>
    </r>
    <r>
      <rPr>
        <sz val="12"/>
        <color rgb="FFCCCCCC"/>
        <rFont val="Menlo"/>
        <family val="2"/>
      </rPr>
      <t xml:space="preserve">: </t>
    </r>
    <r>
      <rPr>
        <sz val="12"/>
        <color rgb="FFCE9178"/>
        <rFont val="Menlo"/>
        <family val="2"/>
      </rPr>
      <t>"13:00"</t>
    </r>
    <r>
      <rPr>
        <sz val="12"/>
        <color rgb="FFCCCCCC"/>
        <rFont val="Menlo"/>
        <family val="2"/>
      </rPr>
      <t xml:space="preserve">, </t>
    </r>
    <r>
      <rPr>
        <sz val="12"/>
        <color rgb="FF9CDCFE"/>
        <rFont val="Menlo"/>
        <family val="2"/>
      </rPr>
      <t>"end"</t>
    </r>
    <r>
      <rPr>
        <sz val="12"/>
        <color rgb="FFCCCCCC"/>
        <rFont val="Menlo"/>
        <family val="2"/>
      </rPr>
      <t xml:space="preserve">: </t>
    </r>
    <r>
      <rPr>
        <sz val="12"/>
        <color rgb="FFCE9178"/>
        <rFont val="Menlo"/>
        <family val="2"/>
      </rPr>
      <t>"21:00"</t>
    </r>
    <r>
      <rPr>
        <sz val="12"/>
        <color rgb="FFCCCCCC"/>
        <rFont val="Menlo"/>
        <family val="2"/>
      </rPr>
      <t xml:space="preserve"> }</t>
    </r>
  </si>
  <si>
    <r>
      <t>"TKY"</t>
    </r>
    <r>
      <rPr>
        <sz val="12"/>
        <color rgb="FFCCCCCC"/>
        <rFont val="Menlo"/>
        <family val="2"/>
      </rPr>
      <t>: {</t>
    </r>
  </si>
  <si>
    <r>
      <t>"all_year"</t>
    </r>
    <r>
      <rPr>
        <sz val="12"/>
        <color rgb="FFCCCCCC"/>
        <rFont val="Menlo"/>
        <family val="2"/>
      </rPr>
      <t xml:space="preserve">: { </t>
    </r>
    <r>
      <rPr>
        <sz val="12"/>
        <color rgb="FF9CDCFE"/>
        <rFont val="Menlo"/>
        <family val="2"/>
      </rPr>
      <t>"start"</t>
    </r>
    <r>
      <rPr>
        <sz val="12"/>
        <color rgb="FFCCCCCC"/>
        <rFont val="Menlo"/>
        <family val="2"/>
      </rPr>
      <t xml:space="preserve">: </t>
    </r>
    <r>
      <rPr>
        <sz val="12"/>
        <color rgb="FFCE9178"/>
        <rFont val="Menlo"/>
        <family val="2"/>
      </rPr>
      <t>"00:00"</t>
    </r>
    <r>
      <rPr>
        <sz val="12"/>
        <color rgb="FFCCCCCC"/>
        <rFont val="Menlo"/>
        <family val="2"/>
      </rPr>
      <t xml:space="preserve">, </t>
    </r>
    <r>
      <rPr>
        <sz val="12"/>
        <color rgb="FF9CDCFE"/>
        <rFont val="Menlo"/>
        <family val="2"/>
      </rPr>
      <t>"end"</t>
    </r>
    <r>
      <rPr>
        <sz val="12"/>
        <color rgb="FFCCCCCC"/>
        <rFont val="Menlo"/>
        <family val="2"/>
      </rPr>
      <t xml:space="preserve">: </t>
    </r>
    <r>
      <rPr>
        <sz val="12"/>
        <color rgb="FFCE9178"/>
        <rFont val="Menlo"/>
        <family val="2"/>
      </rPr>
      <t>"08:00"</t>
    </r>
    <r>
      <rPr>
        <sz val="12"/>
        <color rgb="FFCCCCCC"/>
        <rFont val="Menlo"/>
        <family val="2"/>
      </rPr>
      <t xml:space="preserve"> }</t>
    </r>
  </si>
  <si>
    <t>}</t>
  </si>
  <si>
    <r>
      <t>"_margin"</t>
    </r>
    <r>
      <rPr>
        <sz val="12"/>
        <color rgb="FFCCCCCC"/>
        <rFont val="Menlo"/>
        <family val="2"/>
      </rPr>
      <t>: {</t>
    </r>
  </si>
  <si>
    <r>
      <t>"LDN"</t>
    </r>
    <r>
      <rPr>
        <sz val="12"/>
        <color rgb="FFCCCCCC"/>
        <rFont val="Menlo"/>
        <family val="2"/>
      </rPr>
      <t>: [</t>
    </r>
    <r>
      <rPr>
        <sz val="12"/>
        <color rgb="FFB5CEA8"/>
        <rFont val="Menlo"/>
        <family val="2"/>
      </rPr>
      <t>-0</t>
    </r>
    <r>
      <rPr>
        <sz val="12"/>
        <color rgb="FFCCCCCC"/>
        <rFont val="Menlo"/>
        <family val="2"/>
      </rPr>
      <t xml:space="preserve">, </t>
    </r>
    <r>
      <rPr>
        <sz val="12"/>
        <color rgb="FFB5CEA8"/>
        <rFont val="Menlo"/>
        <family val="2"/>
      </rPr>
      <t>0</t>
    </r>
    <r>
      <rPr>
        <sz val="12"/>
        <color rgb="FFCCCCCC"/>
        <rFont val="Menlo"/>
        <family val="2"/>
      </rPr>
      <t>],</t>
    </r>
  </si>
  <si>
    <r>
      <t>"NY"</t>
    </r>
    <r>
      <rPr>
        <sz val="12"/>
        <color rgb="FFCCCCCC"/>
        <rFont val="Menlo"/>
        <family val="2"/>
      </rPr>
      <t>: [</t>
    </r>
    <r>
      <rPr>
        <sz val="12"/>
        <color rgb="FFB5CEA8"/>
        <rFont val="Menlo"/>
        <family val="2"/>
      </rPr>
      <t>-0</t>
    </r>
    <r>
      <rPr>
        <sz val="12"/>
        <color rgb="FFCCCCCC"/>
        <rFont val="Menlo"/>
        <family val="2"/>
      </rPr>
      <t xml:space="preserve">, </t>
    </r>
    <r>
      <rPr>
        <sz val="12"/>
        <color rgb="FFB5CEA8"/>
        <rFont val="Menlo"/>
        <family val="2"/>
      </rPr>
      <t>0</t>
    </r>
    <r>
      <rPr>
        <sz val="12"/>
        <color rgb="FFCCCCCC"/>
        <rFont val="Menlo"/>
        <family val="2"/>
      </rPr>
      <t>],</t>
    </r>
  </si>
  <si>
    <r>
      <t>"TKY"</t>
    </r>
    <r>
      <rPr>
        <sz val="12"/>
        <color rgb="FFCCCCCC"/>
        <rFont val="Menlo"/>
        <family val="2"/>
      </rPr>
      <t>: [</t>
    </r>
    <r>
      <rPr>
        <sz val="12"/>
        <color rgb="FFB5CEA8"/>
        <rFont val="Menlo"/>
        <family val="2"/>
      </rPr>
      <t>-0</t>
    </r>
    <r>
      <rPr>
        <sz val="12"/>
        <color rgb="FFCCCCCC"/>
        <rFont val="Menlo"/>
        <family val="2"/>
      </rPr>
      <t xml:space="preserve">, </t>
    </r>
    <r>
      <rPr>
        <sz val="12"/>
        <color rgb="FFB5CEA8"/>
        <rFont val="Menlo"/>
        <family val="2"/>
      </rPr>
      <t>0</t>
    </r>
    <r>
      <rPr>
        <sz val="12"/>
        <color rgb="FFCCCCCC"/>
        <rFont val="Menlo"/>
        <family val="2"/>
      </rPr>
      <t>]</t>
    </r>
  </si>
  <si>
    <r>
      <t>"its_settings"</t>
    </r>
    <r>
      <rPr>
        <sz val="12"/>
        <color rgb="FFCCCCCC"/>
        <rFont val="Menlo"/>
        <family val="2"/>
      </rPr>
      <t>: {</t>
    </r>
  </si>
  <si>
    <r>
      <t>"selected_profile"</t>
    </r>
    <r>
      <rPr>
        <sz val="12"/>
        <color rgb="FFCCCCCC"/>
        <rFont val="Menlo"/>
        <family val="2"/>
      </rPr>
      <t xml:space="preserve">: </t>
    </r>
    <r>
      <rPr>
        <sz val="12"/>
        <color rgb="FFCE9178"/>
        <rFont val="Menlo"/>
        <family val="2"/>
      </rPr>
      <t>"manual_its"</t>
    </r>
    <r>
      <rPr>
        <sz val="12"/>
        <color rgb="FFCCCCCC"/>
        <rFont val="Menlo"/>
        <family val="2"/>
      </rPr>
      <t>,</t>
    </r>
  </si>
  <si>
    <r>
      <t>"show_te_signals"</t>
    </r>
    <r>
      <rPr>
        <sz val="12"/>
        <color rgb="FFCCCCCC"/>
        <rFont val="Menlo"/>
        <family val="2"/>
      </rPr>
      <t xml:space="preserve">: </t>
    </r>
    <r>
      <rPr>
        <sz val="12"/>
        <color rgb="FF569CD6"/>
        <rFont val="Menlo"/>
        <family val="2"/>
      </rPr>
      <t>true</t>
    </r>
    <r>
      <rPr>
        <sz val="12"/>
        <color rgb="FFCCCCCC"/>
        <rFont val="Menlo"/>
        <family val="2"/>
      </rPr>
      <t>,</t>
    </r>
  </si>
  <si>
    <r>
      <t>"te_panel_config"</t>
    </r>
    <r>
      <rPr>
        <sz val="12"/>
        <color rgb="FFCCCCCC"/>
        <rFont val="Menlo"/>
        <family val="2"/>
      </rPr>
      <t>: {</t>
    </r>
  </si>
  <si>
    <r>
      <t>"arrow_panel"</t>
    </r>
    <r>
      <rPr>
        <sz val="12"/>
        <color rgb="FFCCCCCC"/>
        <rFont val="Menlo"/>
        <family val="2"/>
      </rPr>
      <t xml:space="preserve">: </t>
    </r>
    <r>
      <rPr>
        <sz val="12"/>
        <color rgb="FFB5CEA8"/>
        <rFont val="Menlo"/>
        <family val="2"/>
      </rPr>
      <t>0</t>
    </r>
    <r>
      <rPr>
        <sz val="12"/>
        <color rgb="FFCCCCCC"/>
        <rFont val="Menlo"/>
        <family val="2"/>
      </rPr>
      <t>,</t>
    </r>
  </si>
  <si>
    <r>
      <t>"dot_panel"</t>
    </r>
    <r>
      <rPr>
        <sz val="12"/>
        <color rgb="FFCCCCCC"/>
        <rFont val="Menlo"/>
        <family val="2"/>
      </rPr>
      <t xml:space="preserve">: </t>
    </r>
    <r>
      <rPr>
        <sz val="12"/>
        <color rgb="FFB5CEA8"/>
        <rFont val="Menlo"/>
        <family val="2"/>
      </rPr>
      <t>3</t>
    </r>
    <r>
      <rPr>
        <sz val="12"/>
        <color rgb="FFCCCCCC"/>
        <rFont val="Menlo"/>
        <family val="2"/>
      </rPr>
      <t>,</t>
    </r>
  </si>
  <si>
    <r>
      <t>"plus_dot_pos"</t>
    </r>
    <r>
      <rPr>
        <sz val="12"/>
        <color rgb="FFCCCCCC"/>
        <rFont val="Menlo"/>
        <family val="2"/>
      </rPr>
      <t xml:space="preserve">: </t>
    </r>
    <r>
      <rPr>
        <sz val="12"/>
        <color rgb="FFB5CEA8"/>
        <rFont val="Menlo"/>
        <family val="2"/>
      </rPr>
      <t>0.9</t>
    </r>
    <r>
      <rPr>
        <sz val="12"/>
        <color rgb="FFCCCCCC"/>
        <rFont val="Menlo"/>
        <family val="2"/>
      </rPr>
      <t>,</t>
    </r>
  </si>
  <si>
    <r>
      <t>"minus_dot_pos"</t>
    </r>
    <r>
      <rPr>
        <sz val="12"/>
        <color rgb="FFCCCCCC"/>
        <rFont val="Menlo"/>
        <family val="2"/>
      </rPr>
      <t xml:space="preserve">: </t>
    </r>
    <r>
      <rPr>
        <sz val="12"/>
        <color rgb="FFB5CEA8"/>
        <rFont val="Menlo"/>
        <family val="2"/>
      </rPr>
      <t>0.1</t>
    </r>
    <r>
      <rPr>
        <sz val="12"/>
        <color rgb="FFCCCCCC"/>
        <rFont val="Menlo"/>
        <family val="2"/>
      </rPr>
      <t>,</t>
    </r>
  </si>
  <si>
    <r>
      <t>"ylim"</t>
    </r>
    <r>
      <rPr>
        <sz val="12"/>
        <color rgb="FFCCCCCC"/>
        <rFont val="Menlo"/>
        <family val="2"/>
      </rPr>
      <t>: {</t>
    </r>
  </si>
  <si>
    <r>
      <t>"ymin"</t>
    </r>
    <r>
      <rPr>
        <sz val="12"/>
        <color rgb="FFCCCCCC"/>
        <rFont val="Menlo"/>
        <family val="2"/>
      </rPr>
      <t xml:space="preserve">: </t>
    </r>
    <r>
      <rPr>
        <sz val="12"/>
        <color rgb="FFB5CEA8"/>
        <rFont val="Menlo"/>
        <family val="2"/>
      </rPr>
      <t>-1.0</t>
    </r>
    <r>
      <rPr>
        <sz val="12"/>
        <color rgb="FFCCCCCC"/>
        <rFont val="Menlo"/>
        <family val="2"/>
      </rPr>
      <t>,</t>
    </r>
  </si>
  <si>
    <r>
      <t>"ymax"</t>
    </r>
    <r>
      <rPr>
        <sz val="12"/>
        <color rgb="FFCCCCCC"/>
        <rFont val="Menlo"/>
        <family val="2"/>
      </rPr>
      <t xml:space="preserve">: </t>
    </r>
    <r>
      <rPr>
        <sz val="12"/>
        <color rgb="FFB5CEA8"/>
        <rFont val="Menlo"/>
        <family val="2"/>
      </rPr>
      <t>1.0</t>
    </r>
    <r>
      <rPr>
        <sz val="12"/>
        <color rgb="FFCCCCCC"/>
        <rFont val="Menlo"/>
        <family val="2"/>
      </rPr>
      <t>,</t>
    </r>
  </si>
  <si>
    <r>
      <t>"display_factor"</t>
    </r>
    <r>
      <rPr>
        <sz val="12"/>
        <color rgb="FFCCCCCC"/>
        <rFont val="Menlo"/>
        <family val="2"/>
      </rPr>
      <t xml:space="preserve">: </t>
    </r>
    <r>
      <rPr>
        <sz val="12"/>
        <color rgb="FFB5CEA8"/>
        <rFont val="Menlo"/>
        <family val="2"/>
      </rPr>
      <t>1.0</t>
    </r>
  </si>
  <si>
    <r>
      <t>"show_y_labels"</t>
    </r>
    <r>
      <rPr>
        <sz val="12"/>
        <color rgb="FFCCCCCC"/>
        <rFont val="Menlo"/>
        <family val="2"/>
      </rPr>
      <t xml:space="preserve">: </t>
    </r>
    <r>
      <rPr>
        <sz val="12"/>
        <color rgb="FF569CD6"/>
        <rFont val="Menlo"/>
        <family val="2"/>
      </rPr>
      <t>true</t>
    </r>
    <r>
      <rPr>
        <sz val="12"/>
        <color rgb="FFCCCCCC"/>
        <rFont val="Menlo"/>
        <family val="2"/>
      </rPr>
      <t>,</t>
    </r>
  </si>
  <si>
    <r>
      <t>"show_zero_line"</t>
    </r>
    <r>
      <rPr>
        <sz val="12"/>
        <color rgb="FFCCCCCC"/>
        <rFont val="Menlo"/>
        <family val="2"/>
      </rPr>
      <t xml:space="preserve">: </t>
    </r>
    <r>
      <rPr>
        <sz val="12"/>
        <color rgb="FF569CD6"/>
        <rFont val="Menlo"/>
        <family val="2"/>
      </rPr>
      <t>false</t>
    </r>
  </si>
  <si>
    <r>
      <t>"manual_its"</t>
    </r>
    <r>
      <rPr>
        <sz val="12"/>
        <color rgb="FFCCCCCC"/>
        <rFont val="Menlo"/>
        <family val="2"/>
      </rPr>
      <t>: {</t>
    </r>
  </si>
  <si>
    <r>
      <t>"active"</t>
    </r>
    <r>
      <rPr>
        <sz val="12"/>
        <color rgb="FFCCCCCC"/>
        <rFont val="Menlo"/>
        <family val="2"/>
      </rPr>
      <t xml:space="preserve">: </t>
    </r>
    <r>
      <rPr>
        <sz val="12"/>
        <color rgb="FF569CD6"/>
        <rFont val="Menlo"/>
        <family val="2"/>
      </rPr>
      <t>true</t>
    </r>
    <r>
      <rPr>
        <sz val="12"/>
        <color rgb="FFCCCCCC"/>
        <rFont val="Menlo"/>
        <family val="2"/>
      </rPr>
      <t>,</t>
    </r>
  </si>
  <si>
    <r>
      <t>"TSV_MACD_TOGGLE"</t>
    </r>
    <r>
      <rPr>
        <sz val="12"/>
        <color rgb="FFCCCCCC"/>
        <rFont val="Menlo"/>
        <family val="2"/>
      </rPr>
      <t xml:space="preserve">: </t>
    </r>
    <r>
      <rPr>
        <sz val="12"/>
        <color rgb="FF569CD6"/>
        <rFont val="Menlo"/>
        <family val="2"/>
      </rPr>
      <t>true</t>
    </r>
    <r>
      <rPr>
        <sz val="12"/>
        <color rgb="FFCCCCCC"/>
        <rFont val="Menlo"/>
        <family val="2"/>
      </rPr>
      <t>,</t>
    </r>
  </si>
  <si>
    <r>
      <t>"TSV_MACD_MODE"</t>
    </r>
    <r>
      <rPr>
        <sz val="12"/>
        <color rgb="FFCCCCCC"/>
        <rFont val="Menlo"/>
        <family val="2"/>
      </rPr>
      <t xml:space="preserve">: </t>
    </r>
    <r>
      <rPr>
        <sz val="12"/>
        <color rgb="FFCE9178"/>
        <rFont val="Menlo"/>
        <family val="2"/>
      </rPr>
      <t>"histogram"</t>
    </r>
    <r>
      <rPr>
        <sz val="12"/>
        <color rgb="FFCCCCCC"/>
        <rFont val="Menlo"/>
        <family val="2"/>
      </rPr>
      <t>,</t>
    </r>
  </si>
  <si>
    <r>
      <t>"TSV_MACD_HIST_AUTO_SCALE"</t>
    </r>
    <r>
      <rPr>
        <sz val="12"/>
        <color rgb="FFCCCCCC"/>
        <rFont val="Menlo"/>
        <family val="2"/>
      </rPr>
      <t xml:space="preserve">: </t>
    </r>
    <r>
      <rPr>
        <sz val="12"/>
        <color rgb="FF569CD6"/>
        <rFont val="Menlo"/>
        <family val="2"/>
      </rPr>
      <t>true</t>
    </r>
    <r>
      <rPr>
        <sz val="12"/>
        <color rgb="FFCCCCCC"/>
        <rFont val="Menlo"/>
        <family val="2"/>
      </rPr>
      <t>,</t>
    </r>
  </si>
  <si>
    <r>
      <t>"TSV_MACD_HIST_MIN"</t>
    </r>
    <r>
      <rPr>
        <sz val="12"/>
        <color rgb="FFCCCCCC"/>
        <rFont val="Menlo"/>
        <family val="2"/>
      </rPr>
      <t xml:space="preserve">: </t>
    </r>
    <r>
      <rPr>
        <sz val="12"/>
        <color rgb="FFB5CEA8"/>
        <rFont val="Menlo"/>
        <family val="2"/>
      </rPr>
      <t>0.0001</t>
    </r>
    <r>
      <rPr>
        <sz val="12"/>
        <color rgb="FFCCCCCC"/>
        <rFont val="Menlo"/>
        <family val="2"/>
      </rPr>
      <t>,</t>
    </r>
  </si>
  <si>
    <r>
      <t>"TSV_MACD_SLOPE_FILTER"</t>
    </r>
    <r>
      <rPr>
        <sz val="12"/>
        <color rgb="FFCCCCCC"/>
        <rFont val="Menlo"/>
        <family val="2"/>
      </rPr>
      <t xml:space="preserve">: </t>
    </r>
    <r>
      <rPr>
        <sz val="12"/>
        <color rgb="FF569CD6"/>
        <rFont val="Menlo"/>
        <family val="2"/>
      </rPr>
      <t>true</t>
    </r>
    <r>
      <rPr>
        <sz val="12"/>
        <color rgb="FFCCCCCC"/>
        <rFont val="Menlo"/>
        <family val="2"/>
      </rPr>
      <t>,</t>
    </r>
  </si>
  <si>
    <r>
      <t>"TSV_MACD_SLOPE_MIN"</t>
    </r>
    <r>
      <rPr>
        <sz val="12"/>
        <color rgb="FFCCCCCC"/>
        <rFont val="Menlo"/>
        <family val="2"/>
      </rPr>
      <t xml:space="preserve">: </t>
    </r>
    <r>
      <rPr>
        <sz val="12"/>
        <color rgb="FFB5CEA8"/>
        <rFont val="Menlo"/>
        <family val="2"/>
      </rPr>
      <t>0.001</t>
    </r>
    <r>
      <rPr>
        <sz val="12"/>
        <color rgb="FFCCCCCC"/>
        <rFont val="Menlo"/>
        <family val="2"/>
      </rPr>
      <t>,</t>
    </r>
  </si>
  <si>
    <r>
      <t>"TSV_CCI_TOGGLE"</t>
    </r>
    <r>
      <rPr>
        <sz val="12"/>
        <color rgb="FFCCCCCC"/>
        <rFont val="Menlo"/>
        <family val="2"/>
      </rPr>
      <t xml:space="preserve">: </t>
    </r>
    <r>
      <rPr>
        <sz val="12"/>
        <color rgb="FF569CD6"/>
        <rFont val="Menlo"/>
        <family val="2"/>
      </rPr>
      <t>true</t>
    </r>
    <r>
      <rPr>
        <sz val="12"/>
        <color rgb="FFCCCCCC"/>
        <rFont val="Menlo"/>
        <family val="2"/>
      </rPr>
      <t>,</t>
    </r>
  </si>
  <si>
    <r>
      <t>"TSV_CCI_MODE"</t>
    </r>
    <r>
      <rPr>
        <sz val="12"/>
        <color rgb="FFCCCCCC"/>
        <rFont val="Menlo"/>
        <family val="2"/>
      </rPr>
      <t xml:space="preserve">: </t>
    </r>
    <r>
      <rPr>
        <sz val="12"/>
        <color rgb="FFCE9178"/>
        <rFont val="Menlo"/>
        <family val="2"/>
      </rPr>
      <t>"threshold"</t>
    </r>
    <r>
      <rPr>
        <sz val="12"/>
        <color rgb="FFCCCCCC"/>
        <rFont val="Menlo"/>
        <family val="2"/>
      </rPr>
      <t>,</t>
    </r>
  </si>
  <si>
    <r>
      <t>"TSV_CCI_THRESHOLD"</t>
    </r>
    <r>
      <rPr>
        <sz val="12"/>
        <color rgb="FFCCCCCC"/>
        <rFont val="Menlo"/>
        <family val="2"/>
      </rPr>
      <t xml:space="preserve">: </t>
    </r>
    <r>
      <rPr>
        <sz val="12"/>
        <color rgb="FFB5CEA8"/>
        <rFont val="Menlo"/>
        <family val="2"/>
      </rPr>
      <t>100</t>
    </r>
    <r>
      <rPr>
        <sz val="12"/>
        <color rgb="FFCCCCCC"/>
        <rFont val="Menlo"/>
        <family val="2"/>
      </rPr>
      <t>,</t>
    </r>
  </si>
  <si>
    <r>
      <t>"TSV_CCI_MID_ZONE"</t>
    </r>
    <r>
      <rPr>
        <sz val="12"/>
        <color rgb="FFCCCCCC"/>
        <rFont val="Menlo"/>
        <family val="2"/>
      </rPr>
      <t xml:space="preserve">: </t>
    </r>
    <r>
      <rPr>
        <sz val="12"/>
        <color rgb="FFB5CEA8"/>
        <rFont val="Menlo"/>
        <family val="2"/>
      </rPr>
      <t>50</t>
    </r>
    <r>
      <rPr>
        <sz val="12"/>
        <color rgb="FFCCCCCC"/>
        <rFont val="Menlo"/>
        <family val="2"/>
      </rPr>
      <t>,</t>
    </r>
  </si>
  <si>
    <r>
      <t>"TSV_CCI_FLAT_EPSILON"</t>
    </r>
    <r>
      <rPr>
        <sz val="12"/>
        <color rgb="FFCCCCCC"/>
        <rFont val="Menlo"/>
        <family val="2"/>
      </rPr>
      <t xml:space="preserve">: </t>
    </r>
    <r>
      <rPr>
        <sz val="12"/>
        <color rgb="FFB5CEA8"/>
        <rFont val="Menlo"/>
        <family val="2"/>
      </rPr>
      <t>5</t>
    </r>
    <r>
      <rPr>
        <sz val="12"/>
        <color rgb="FFCCCCCC"/>
        <rFont val="Menlo"/>
        <family val="2"/>
      </rPr>
      <t>,</t>
    </r>
  </si>
  <si>
    <r>
      <t>"TSV_PSAR_MODE"</t>
    </r>
    <r>
      <rPr>
        <sz val="12"/>
        <color rgb="FFCCCCCC"/>
        <rFont val="Menlo"/>
        <family val="2"/>
      </rPr>
      <t xml:space="preserve">: </t>
    </r>
    <r>
      <rPr>
        <sz val="12"/>
        <color rgb="FFCE9178"/>
        <rFont val="Menlo"/>
        <family val="2"/>
      </rPr>
      <t>"and"</t>
    </r>
    <r>
      <rPr>
        <sz val="12"/>
        <color rgb="FFCCCCCC"/>
        <rFont val="Menlo"/>
        <family val="2"/>
      </rPr>
      <t>,</t>
    </r>
  </si>
  <si>
    <r>
      <t>"TSV_PSAR_TOGGLE"</t>
    </r>
    <r>
      <rPr>
        <sz val="12"/>
        <color rgb="FFCCCCCC"/>
        <rFont val="Menlo"/>
        <family val="2"/>
      </rPr>
      <t xml:space="preserve">: </t>
    </r>
    <r>
      <rPr>
        <sz val="12"/>
        <color rgb="FF569CD6"/>
        <rFont val="Menlo"/>
        <family val="2"/>
      </rPr>
      <t>true</t>
    </r>
    <r>
      <rPr>
        <sz val="12"/>
        <color rgb="FFCCCCCC"/>
        <rFont val="Menlo"/>
        <family val="2"/>
      </rPr>
      <t xml:space="preserve">, </t>
    </r>
  </si>
  <si>
    <r>
      <t>"TSV_PSAR_DOT_TOGGLE"</t>
    </r>
    <r>
      <rPr>
        <sz val="12"/>
        <color rgb="FFCCCCCC"/>
        <rFont val="Menlo"/>
        <family val="2"/>
      </rPr>
      <t xml:space="preserve">: </t>
    </r>
    <r>
      <rPr>
        <sz val="12"/>
        <color rgb="FF569CD6"/>
        <rFont val="Menlo"/>
        <family val="2"/>
      </rPr>
      <t>true</t>
    </r>
    <r>
      <rPr>
        <sz val="12"/>
        <color rgb="FFCCCCCC"/>
        <rFont val="Menlo"/>
        <family val="2"/>
      </rPr>
      <t>,</t>
    </r>
  </si>
  <si>
    <r>
      <t>"TSV_PSAR_FLIP_TOGGLE"</t>
    </r>
    <r>
      <rPr>
        <sz val="12"/>
        <color rgb="FFCCCCCC"/>
        <rFont val="Menlo"/>
        <family val="2"/>
      </rPr>
      <t xml:space="preserve">: </t>
    </r>
    <r>
      <rPr>
        <sz val="12"/>
        <color rgb="FF569CD6"/>
        <rFont val="Menlo"/>
        <family val="2"/>
      </rPr>
      <t>true</t>
    </r>
    <r>
      <rPr>
        <sz val="12"/>
        <color rgb="FFCCCCCC"/>
        <rFont val="Menlo"/>
        <family val="2"/>
      </rPr>
      <t>,</t>
    </r>
  </si>
  <si>
    <r>
      <t>"TSV_PSAR_MATCH_CANDLE_DIRECTION"</t>
    </r>
    <r>
      <rPr>
        <sz val="12"/>
        <color rgb="FFCCCCCC"/>
        <rFont val="Menlo"/>
        <family val="2"/>
      </rPr>
      <t xml:space="preserve">: </t>
    </r>
    <r>
      <rPr>
        <sz val="12"/>
        <color rgb="FF569CD6"/>
        <rFont val="Menlo"/>
        <family val="2"/>
      </rPr>
      <t>true</t>
    </r>
    <r>
      <rPr>
        <sz val="12"/>
        <color rgb="FFCCCCCC"/>
        <rFont val="Menlo"/>
        <family val="2"/>
      </rPr>
      <t>,</t>
    </r>
  </si>
  <si>
    <r>
      <t>"TSV_PSAR_REQUIRE_WICK_POSITION"</t>
    </r>
    <r>
      <rPr>
        <sz val="12"/>
        <color rgb="FFCCCCCC"/>
        <rFont val="Menlo"/>
        <family val="2"/>
      </rPr>
      <t xml:space="preserve">: </t>
    </r>
    <r>
      <rPr>
        <sz val="12"/>
        <color rgb="FF569CD6"/>
        <rFont val="Menlo"/>
        <family val="2"/>
      </rPr>
      <t>true</t>
    </r>
    <r>
      <rPr>
        <sz val="12"/>
        <color rgb="FFCCCCCC"/>
        <rFont val="Menlo"/>
        <family val="2"/>
      </rPr>
      <t>,</t>
    </r>
  </si>
  <si>
    <r>
      <t>"TSV_PSAR_FLIP_COUNT_TOGGLE"</t>
    </r>
    <r>
      <rPr>
        <sz val="12"/>
        <color rgb="FFCCCCCC"/>
        <rFont val="Menlo"/>
        <family val="2"/>
      </rPr>
      <t xml:space="preserve">: </t>
    </r>
    <r>
      <rPr>
        <sz val="12"/>
        <color rgb="FF569CD6"/>
        <rFont val="Menlo"/>
        <family val="2"/>
      </rPr>
      <t>true</t>
    </r>
    <r>
      <rPr>
        <sz val="12"/>
        <color rgb="FFCCCCCC"/>
        <rFont val="Menlo"/>
        <family val="2"/>
      </rPr>
      <t>,</t>
    </r>
  </si>
  <si>
    <r>
      <t>"TSV_PSAR_FLIP_COUNT_LOOPBACK"</t>
    </r>
    <r>
      <rPr>
        <sz val="12"/>
        <color rgb="FFCCCCCC"/>
        <rFont val="Menlo"/>
        <family val="2"/>
      </rPr>
      <t xml:space="preserve">: </t>
    </r>
    <r>
      <rPr>
        <sz val="12"/>
        <color rgb="FFB5CEA8"/>
        <rFont val="Menlo"/>
        <family val="2"/>
      </rPr>
      <t>1</t>
    </r>
    <r>
      <rPr>
        <sz val="12"/>
        <color rgb="FFCCCCCC"/>
        <rFont val="Menlo"/>
        <family val="2"/>
      </rPr>
      <t>,</t>
    </r>
  </si>
  <si>
    <r>
      <t>"TSV_PSAR_FLIP_TOGGLE_PREFER_EARLY_ENTRY"</t>
    </r>
    <r>
      <rPr>
        <sz val="12"/>
        <color rgb="FFCCCCCC"/>
        <rFont val="Menlo"/>
        <family val="2"/>
      </rPr>
      <t xml:space="preserve">: </t>
    </r>
    <r>
      <rPr>
        <sz val="12"/>
        <color rgb="FF569CD6"/>
        <rFont val="Menlo"/>
        <family val="2"/>
      </rPr>
      <t>false</t>
    </r>
    <r>
      <rPr>
        <sz val="12"/>
        <color rgb="FFCCCCCC"/>
        <rFont val="Menlo"/>
        <family val="2"/>
      </rPr>
      <t>,</t>
    </r>
  </si>
  <si>
    <r>
      <t>"TSV_PSAR_DEFERRED_ENTRY_TOGGLE"</t>
    </r>
    <r>
      <rPr>
        <sz val="12"/>
        <color rgb="FFCCCCCC"/>
        <rFont val="Menlo"/>
        <family val="2"/>
      </rPr>
      <t xml:space="preserve">: </t>
    </r>
    <r>
      <rPr>
        <sz val="12"/>
        <color rgb="FF569CD6"/>
        <rFont val="Menlo"/>
        <family val="2"/>
      </rPr>
      <t>false</t>
    </r>
    <r>
      <rPr>
        <sz val="12"/>
        <color rgb="FFCCCCCC"/>
        <rFont val="Menlo"/>
        <family val="2"/>
      </rPr>
      <t>,</t>
    </r>
  </si>
  <si>
    <r>
      <t>"TSV_PSAR_DEFERRED_LOOKBACK"</t>
    </r>
    <r>
      <rPr>
        <sz val="12"/>
        <color rgb="FFCCCCCC"/>
        <rFont val="Menlo"/>
        <family val="2"/>
      </rPr>
      <t xml:space="preserve">: </t>
    </r>
    <r>
      <rPr>
        <sz val="12"/>
        <color rgb="FFB5CEA8"/>
        <rFont val="Menlo"/>
        <family val="2"/>
      </rPr>
      <t>3</t>
    </r>
    <r>
      <rPr>
        <sz val="12"/>
        <color rgb="FFCCCCCC"/>
        <rFont val="Menlo"/>
        <family val="2"/>
      </rPr>
      <t>,</t>
    </r>
  </si>
  <si>
    <r>
      <t>"TSV_ALLOW_DPB_REPLACE_TRSET"</t>
    </r>
    <r>
      <rPr>
        <sz val="12"/>
        <color rgb="FFCCCCCC"/>
        <rFont val="Menlo"/>
        <family val="2"/>
      </rPr>
      <t xml:space="preserve">: </t>
    </r>
    <r>
      <rPr>
        <sz val="12"/>
        <color rgb="FF569CD6"/>
        <rFont val="Menlo"/>
        <family val="2"/>
      </rPr>
      <t>true</t>
    </r>
    <r>
      <rPr>
        <sz val="12"/>
        <color rgb="FFCCCCCC"/>
        <rFont val="Menlo"/>
        <family val="2"/>
      </rPr>
      <t>,</t>
    </r>
  </si>
  <si>
    <r>
      <t>"TSV_DEBUG_TS_LOG"</t>
    </r>
    <r>
      <rPr>
        <sz val="12"/>
        <color rgb="FFCCCCCC"/>
        <rFont val="Menlo"/>
        <family val="2"/>
      </rPr>
      <t xml:space="preserve">: </t>
    </r>
    <r>
      <rPr>
        <sz val="12"/>
        <color rgb="FF569CD6"/>
        <rFont val="Menlo"/>
        <family val="2"/>
      </rPr>
      <t>true</t>
    </r>
    <r>
      <rPr>
        <sz val="12"/>
        <color rgb="FFCCCCCC"/>
        <rFont val="Menlo"/>
        <family val="2"/>
      </rPr>
      <t>,</t>
    </r>
  </si>
  <si>
    <r>
      <t>"TSV_DPB_TOGGLE"</t>
    </r>
    <r>
      <rPr>
        <sz val="12"/>
        <color rgb="FFCCCCCC"/>
        <rFont val="Menlo"/>
        <family val="2"/>
      </rPr>
      <t xml:space="preserve">: </t>
    </r>
    <r>
      <rPr>
        <sz val="12"/>
        <color rgb="FF569CD6"/>
        <rFont val="Menlo"/>
        <family val="2"/>
      </rPr>
      <t>true</t>
    </r>
    <r>
      <rPr>
        <sz val="12"/>
        <color rgb="FFCCCCCC"/>
        <rFont val="Menlo"/>
        <family val="2"/>
      </rPr>
      <t>,</t>
    </r>
  </si>
  <si>
    <r>
      <t>"TSV_DPB_MODE"</t>
    </r>
    <r>
      <rPr>
        <sz val="12"/>
        <color rgb="FFCCCCCC"/>
        <rFont val="Menlo"/>
        <family val="2"/>
      </rPr>
      <t xml:space="preserve">: </t>
    </r>
    <r>
      <rPr>
        <sz val="12"/>
        <color rgb="FFCE9178"/>
        <rFont val="Menlo"/>
        <family val="2"/>
      </rPr>
      <t>"loopback"</t>
    </r>
    <r>
      <rPr>
        <sz val="12"/>
        <color rgb="FFCCCCCC"/>
        <rFont val="Menlo"/>
        <family val="2"/>
      </rPr>
      <t>,</t>
    </r>
  </si>
  <si>
    <r>
      <t>"TSV_DPB_LOOKBACK"</t>
    </r>
    <r>
      <rPr>
        <sz val="12"/>
        <color rgb="FFCCCCCC"/>
        <rFont val="Menlo"/>
        <family val="2"/>
      </rPr>
      <t xml:space="preserve">: </t>
    </r>
    <r>
      <rPr>
        <sz val="12"/>
        <color rgb="FFB5CEA8"/>
        <rFont val="Menlo"/>
        <family val="2"/>
      </rPr>
      <t>4</t>
    </r>
    <r>
      <rPr>
        <sz val="12"/>
        <color rgb="FFCCCCCC"/>
        <rFont val="Menlo"/>
        <family val="2"/>
      </rPr>
      <t>,</t>
    </r>
  </si>
  <si>
    <r>
      <t>"TSV_DPB_MIN_MATCHES"</t>
    </r>
    <r>
      <rPr>
        <sz val="12"/>
        <color rgb="FFCCCCCC"/>
        <rFont val="Menlo"/>
        <family val="2"/>
      </rPr>
      <t xml:space="preserve">: </t>
    </r>
    <r>
      <rPr>
        <sz val="12"/>
        <color rgb="FFB5CEA8"/>
        <rFont val="Menlo"/>
        <family val="2"/>
      </rPr>
      <t>2</t>
    </r>
    <r>
      <rPr>
        <sz val="12"/>
        <color rgb="FFCCCCCC"/>
        <rFont val="Menlo"/>
        <family val="2"/>
      </rPr>
      <t>,</t>
    </r>
  </si>
  <si>
    <r>
      <t>"TSV_DPB_SLOPE_CHECK_ENABLED"</t>
    </r>
    <r>
      <rPr>
        <sz val="12"/>
        <color rgb="FFCCCCCC"/>
        <rFont val="Menlo"/>
        <family val="2"/>
      </rPr>
      <t xml:space="preserve">: </t>
    </r>
    <r>
      <rPr>
        <sz val="12"/>
        <color rgb="FF569CD6"/>
        <rFont val="Menlo"/>
        <family val="2"/>
      </rPr>
      <t>true</t>
    </r>
    <r>
      <rPr>
        <sz val="12"/>
        <color rgb="FFCCCCCC"/>
        <rFont val="Menlo"/>
        <family val="2"/>
      </rPr>
      <t>,</t>
    </r>
  </si>
  <si>
    <r>
      <t>"TSV_DPB_EMA_PAIRS"</t>
    </r>
    <r>
      <rPr>
        <sz val="12"/>
        <color rgb="FFCCCCCC"/>
        <rFont val="Menlo"/>
        <family val="2"/>
      </rPr>
      <t>: [</t>
    </r>
  </si>
  <si>
    <r>
      <t>[</t>
    </r>
    <r>
      <rPr>
        <sz val="12"/>
        <color rgb="FFCE9178"/>
        <rFont val="Menlo"/>
        <family val="2"/>
      </rPr>
      <t>"ema_5"</t>
    </r>
    <r>
      <rPr>
        <sz val="12"/>
        <color rgb="FFCCCCCC"/>
        <rFont val="Menlo"/>
        <family val="2"/>
      </rPr>
      <t xml:space="preserve">, </t>
    </r>
    <r>
      <rPr>
        <sz val="12"/>
        <color rgb="FFCE9178"/>
        <rFont val="Menlo"/>
        <family val="2"/>
      </rPr>
      <t>"ema_13"</t>
    </r>
    <r>
      <rPr>
        <sz val="12"/>
        <color rgb="FFCCCCCC"/>
        <rFont val="Menlo"/>
        <family val="2"/>
      </rPr>
      <t>],</t>
    </r>
  </si>
  <si>
    <r>
      <t>[</t>
    </r>
    <r>
      <rPr>
        <sz val="12"/>
        <color rgb="FFCE9178"/>
        <rFont val="Menlo"/>
        <family val="2"/>
      </rPr>
      <t>"ema_13"</t>
    </r>
    <r>
      <rPr>
        <sz val="12"/>
        <color rgb="FFCCCCCC"/>
        <rFont val="Menlo"/>
        <family val="2"/>
      </rPr>
      <t xml:space="preserve">, </t>
    </r>
    <r>
      <rPr>
        <sz val="12"/>
        <color rgb="FFCE9178"/>
        <rFont val="Menlo"/>
        <family val="2"/>
      </rPr>
      <t>"ema_34"</t>
    </r>
    <r>
      <rPr>
        <sz val="12"/>
        <color rgb="FFCCCCCC"/>
        <rFont val="Menlo"/>
        <family val="2"/>
      </rPr>
      <t>],</t>
    </r>
  </si>
  <si>
    <r>
      <t>[</t>
    </r>
    <r>
      <rPr>
        <sz val="12"/>
        <color rgb="FFCE9178"/>
        <rFont val="Menlo"/>
        <family val="2"/>
      </rPr>
      <t>"ema_34"</t>
    </r>
    <r>
      <rPr>
        <sz val="12"/>
        <color rgb="FFCCCCCC"/>
        <rFont val="Menlo"/>
        <family val="2"/>
      </rPr>
      <t xml:space="preserve">, </t>
    </r>
    <r>
      <rPr>
        <sz val="12"/>
        <color rgb="FFCE9178"/>
        <rFont val="Menlo"/>
        <family val="2"/>
      </rPr>
      <t>"ema_89"</t>
    </r>
    <r>
      <rPr>
        <sz val="12"/>
        <color rgb="FFCCCCCC"/>
        <rFont val="Menlo"/>
        <family val="2"/>
      </rPr>
      <t>]</t>
    </r>
  </si>
  <si>
    <t>],</t>
  </si>
  <si>
    <r>
      <t>"TSV_OC_TOGGLE"</t>
    </r>
    <r>
      <rPr>
        <sz val="12"/>
        <color rgb="FFCCCCCC"/>
        <rFont val="Menlo"/>
        <family val="2"/>
      </rPr>
      <t xml:space="preserve">: </t>
    </r>
    <r>
      <rPr>
        <sz val="12"/>
        <color rgb="FF569CD6"/>
        <rFont val="Menlo"/>
        <family val="2"/>
      </rPr>
      <t>true</t>
    </r>
    <r>
      <rPr>
        <sz val="12"/>
        <color rgb="FFCCCCCC"/>
        <rFont val="Menlo"/>
        <family val="2"/>
      </rPr>
      <t>,</t>
    </r>
  </si>
  <si>
    <r>
      <t>"TSV_OC_BODY_COUNT"</t>
    </r>
    <r>
      <rPr>
        <sz val="12"/>
        <color rgb="FFCCCCCC"/>
        <rFont val="Menlo"/>
        <family val="2"/>
      </rPr>
      <t xml:space="preserve">: </t>
    </r>
    <r>
      <rPr>
        <sz val="12"/>
        <color rgb="FFB5CEA8"/>
        <rFont val="Menlo"/>
        <family val="2"/>
      </rPr>
      <t>1</t>
    </r>
    <r>
      <rPr>
        <sz val="12"/>
        <color rgb="FFCCCCCC"/>
        <rFont val="Menlo"/>
        <family val="2"/>
      </rPr>
      <t>,</t>
    </r>
  </si>
  <si>
    <r>
      <t>"TSV_OC_LIMIT_FACTOR"</t>
    </r>
    <r>
      <rPr>
        <sz val="12"/>
        <color rgb="FFCCCCCC"/>
        <rFont val="Menlo"/>
        <family val="2"/>
      </rPr>
      <t xml:space="preserve">: </t>
    </r>
    <r>
      <rPr>
        <sz val="12"/>
        <color rgb="FFB5CEA8"/>
        <rFont val="Menlo"/>
        <family val="2"/>
      </rPr>
      <t>5.0</t>
    </r>
    <r>
      <rPr>
        <sz val="12"/>
        <color rgb="FFCCCCCC"/>
        <rFont val="Menlo"/>
        <family val="2"/>
      </rPr>
      <t>,</t>
    </r>
  </si>
  <si>
    <r>
      <t>"TSV_OC_LIMIT_CANDLES"</t>
    </r>
    <r>
      <rPr>
        <sz val="12"/>
        <color rgb="FFCCCCCC"/>
        <rFont val="Menlo"/>
        <family val="2"/>
      </rPr>
      <t xml:space="preserve">: </t>
    </r>
    <r>
      <rPr>
        <sz val="12"/>
        <color rgb="FFB5CEA8"/>
        <rFont val="Menlo"/>
        <family val="2"/>
      </rPr>
      <t>1</t>
    </r>
    <r>
      <rPr>
        <sz val="12"/>
        <color rgb="FFCCCCCC"/>
        <rFont val="Menlo"/>
        <family val="2"/>
      </rPr>
      <t>,</t>
    </r>
  </si>
  <si>
    <r>
      <t>"TSV_ATR_TOGGLE"</t>
    </r>
    <r>
      <rPr>
        <sz val="12"/>
        <color rgb="FFCCCCCC"/>
        <rFont val="Menlo"/>
        <family val="2"/>
      </rPr>
      <t xml:space="preserve">: </t>
    </r>
    <r>
      <rPr>
        <sz val="12"/>
        <color rgb="FF569CD6"/>
        <rFont val="Menlo"/>
        <family val="2"/>
      </rPr>
      <t>true</t>
    </r>
    <r>
      <rPr>
        <sz val="12"/>
        <color rgb="FFCCCCCC"/>
        <rFont val="Menlo"/>
        <family val="2"/>
      </rPr>
      <t>,</t>
    </r>
  </si>
  <si>
    <r>
      <t>"TSV_ATR_MODE"</t>
    </r>
    <r>
      <rPr>
        <sz val="12"/>
        <color rgb="FFCCCCCC"/>
        <rFont val="Menlo"/>
        <family val="2"/>
      </rPr>
      <t xml:space="preserve">: </t>
    </r>
    <r>
      <rPr>
        <sz val="12"/>
        <color rgb="FFCE9178"/>
        <rFont val="Menlo"/>
        <family val="2"/>
      </rPr>
      <t>"dynamic_avg"</t>
    </r>
    <r>
      <rPr>
        <sz val="12"/>
        <color rgb="FFCCCCCC"/>
        <rFont val="Menlo"/>
        <family val="2"/>
      </rPr>
      <t>,</t>
    </r>
  </si>
  <si>
    <r>
      <t>"TSV_ATR_WINDOW"</t>
    </r>
    <r>
      <rPr>
        <sz val="12"/>
        <color rgb="FFCCCCCC"/>
        <rFont val="Menlo"/>
        <family val="2"/>
      </rPr>
      <t xml:space="preserve">: </t>
    </r>
    <r>
      <rPr>
        <sz val="12"/>
        <color rgb="FFB5CEA8"/>
        <rFont val="Menlo"/>
        <family val="2"/>
      </rPr>
      <t>21</t>
    </r>
    <r>
      <rPr>
        <sz val="12"/>
        <color rgb="FFCCCCCC"/>
        <rFont val="Menlo"/>
        <family val="2"/>
      </rPr>
      <t>,</t>
    </r>
  </si>
  <si>
    <r>
      <t>"TSV_ATR_FACTOR"</t>
    </r>
    <r>
      <rPr>
        <sz val="12"/>
        <color rgb="FFCCCCCC"/>
        <rFont val="Menlo"/>
        <family val="2"/>
      </rPr>
      <t xml:space="preserve">: </t>
    </r>
    <r>
      <rPr>
        <sz val="12"/>
        <color rgb="FFB5CEA8"/>
        <rFont val="Menlo"/>
        <family val="2"/>
      </rPr>
      <t>0.8</t>
    </r>
    <r>
      <rPr>
        <sz val="12"/>
        <color rgb="FFCCCCCC"/>
        <rFont val="Menlo"/>
        <family val="2"/>
      </rPr>
      <t>,</t>
    </r>
  </si>
  <si>
    <r>
      <t>"TSV_ATR_THRESHOLD_PIPS"</t>
    </r>
    <r>
      <rPr>
        <sz val="12"/>
        <color rgb="FFCCCCCC"/>
        <rFont val="Menlo"/>
        <family val="2"/>
      </rPr>
      <t xml:space="preserve">: </t>
    </r>
    <r>
      <rPr>
        <sz val="12"/>
        <color rgb="FFB5CEA8"/>
        <rFont val="Menlo"/>
        <family val="2"/>
      </rPr>
      <t>5</t>
    </r>
    <r>
      <rPr>
        <sz val="12"/>
        <color rgb="FFCCCCCC"/>
        <rFont val="Menlo"/>
        <family val="2"/>
      </rPr>
      <t>,</t>
    </r>
  </si>
  <si>
    <r>
      <t>"TSV_RSI_TOGGLE"</t>
    </r>
    <r>
      <rPr>
        <sz val="12"/>
        <color rgb="FFCCCCCC"/>
        <rFont val="Menlo"/>
        <family val="2"/>
      </rPr>
      <t xml:space="preserve">: </t>
    </r>
    <r>
      <rPr>
        <sz val="12"/>
        <color rgb="FF569CD6"/>
        <rFont val="Menlo"/>
        <family val="2"/>
      </rPr>
      <t>false</t>
    </r>
    <r>
      <rPr>
        <sz val="12"/>
        <color rgb="FFCCCCCC"/>
        <rFont val="Menlo"/>
        <family val="2"/>
      </rPr>
      <t>,</t>
    </r>
  </si>
  <si>
    <r>
      <t>"TSV_RSI_MODE"</t>
    </r>
    <r>
      <rPr>
        <sz val="12"/>
        <color rgb="FFCCCCCC"/>
        <rFont val="Menlo"/>
        <family val="2"/>
      </rPr>
      <t xml:space="preserve">: </t>
    </r>
    <r>
      <rPr>
        <sz val="12"/>
        <color rgb="FFCE9178"/>
        <rFont val="Menlo"/>
        <family val="2"/>
      </rPr>
      <t>"classic"</t>
    </r>
    <r>
      <rPr>
        <sz val="12"/>
        <color rgb="FFCCCCCC"/>
        <rFont val="Menlo"/>
        <family val="2"/>
      </rPr>
      <t>,</t>
    </r>
  </si>
  <si>
    <r>
      <t>"TSV_RSI_OVERBOUGHT"</t>
    </r>
    <r>
      <rPr>
        <sz val="12"/>
        <color rgb="FFCCCCCC"/>
        <rFont val="Menlo"/>
        <family val="2"/>
      </rPr>
      <t xml:space="preserve">: </t>
    </r>
    <r>
      <rPr>
        <sz val="12"/>
        <color rgb="FFB5CEA8"/>
        <rFont val="Menlo"/>
        <family val="2"/>
      </rPr>
      <t>70</t>
    </r>
    <r>
      <rPr>
        <sz val="12"/>
        <color rgb="FFCCCCCC"/>
        <rFont val="Menlo"/>
        <family val="2"/>
      </rPr>
      <t>,</t>
    </r>
  </si>
  <si>
    <r>
      <t>"TSV_RSI_OVERSOLD"</t>
    </r>
    <r>
      <rPr>
        <sz val="12"/>
        <color rgb="FFCCCCCC"/>
        <rFont val="Menlo"/>
        <family val="2"/>
      </rPr>
      <t xml:space="preserve">: </t>
    </r>
    <r>
      <rPr>
        <sz val="12"/>
        <color rgb="FFB5CEA8"/>
        <rFont val="Menlo"/>
        <family val="2"/>
      </rPr>
      <t>30</t>
    </r>
    <r>
      <rPr>
        <sz val="12"/>
        <color rgb="FFCCCCCC"/>
        <rFont val="Menlo"/>
        <family val="2"/>
      </rPr>
      <t>,</t>
    </r>
  </si>
  <si>
    <r>
      <t>"TSV_RSI_EPSILON"</t>
    </r>
    <r>
      <rPr>
        <sz val="12"/>
        <color rgb="FFCCCCCC"/>
        <rFont val="Menlo"/>
        <family val="2"/>
      </rPr>
      <t xml:space="preserve">: </t>
    </r>
    <r>
      <rPr>
        <sz val="12"/>
        <color rgb="FFB5CEA8"/>
        <rFont val="Menlo"/>
        <family val="2"/>
      </rPr>
      <t>5</t>
    </r>
    <r>
      <rPr>
        <sz val="12"/>
        <color rgb="FFCCCCCC"/>
        <rFont val="Menlo"/>
        <family val="2"/>
      </rPr>
      <t>,</t>
    </r>
  </si>
  <si>
    <r>
      <t>"TSV_ENTRY_TOGGLE"</t>
    </r>
    <r>
      <rPr>
        <sz val="12"/>
        <color rgb="FFCCCCCC"/>
        <rFont val="Menlo"/>
        <family val="2"/>
      </rPr>
      <t xml:space="preserve">: </t>
    </r>
    <r>
      <rPr>
        <sz val="12"/>
        <color rgb="FF569CD6"/>
        <rFont val="Menlo"/>
        <family val="2"/>
      </rPr>
      <t>false</t>
    </r>
    <r>
      <rPr>
        <sz val="12"/>
        <color rgb="FFCCCCCC"/>
        <rFont val="Menlo"/>
        <family val="2"/>
      </rPr>
      <t>,</t>
    </r>
  </si>
  <si>
    <r>
      <t>"TSV_ENTRY_BODY_MIN_PCT"</t>
    </r>
    <r>
      <rPr>
        <sz val="12"/>
        <color rgb="FFCCCCCC"/>
        <rFont val="Menlo"/>
        <family val="2"/>
      </rPr>
      <t xml:space="preserve">: </t>
    </r>
    <r>
      <rPr>
        <sz val="12"/>
        <color rgb="FFB5CEA8"/>
        <rFont val="Menlo"/>
        <family val="2"/>
      </rPr>
      <t>33</t>
    </r>
    <r>
      <rPr>
        <sz val="12"/>
        <color rgb="FFCCCCCC"/>
        <rFont val="Menlo"/>
        <family val="2"/>
      </rPr>
      <t>,</t>
    </r>
  </si>
  <si>
    <r>
      <t>"TSV_ENTRY_OVEREXTENDED_GUARD"</t>
    </r>
    <r>
      <rPr>
        <sz val="12"/>
        <color rgb="FFCCCCCC"/>
        <rFont val="Menlo"/>
        <family val="2"/>
      </rPr>
      <t xml:space="preserve">: </t>
    </r>
    <r>
      <rPr>
        <sz val="12"/>
        <color rgb="FF569CD6"/>
        <rFont val="Menlo"/>
        <family val="2"/>
      </rPr>
      <t>true</t>
    </r>
    <r>
      <rPr>
        <sz val="12"/>
        <color rgb="FFCCCCCC"/>
        <rFont val="Menlo"/>
        <family val="2"/>
      </rPr>
      <t>,</t>
    </r>
  </si>
  <si>
    <r>
      <t>"TSV_ENTRY_OVEREXTENDED_LOOKBACK"</t>
    </r>
    <r>
      <rPr>
        <sz val="12"/>
        <color rgb="FFCCCCCC"/>
        <rFont val="Menlo"/>
        <family val="2"/>
      </rPr>
      <t xml:space="preserve">: </t>
    </r>
    <r>
      <rPr>
        <sz val="12"/>
        <color rgb="FFB5CEA8"/>
        <rFont val="Menlo"/>
        <family val="2"/>
      </rPr>
      <t>20</t>
    </r>
    <r>
      <rPr>
        <sz val="12"/>
        <color rgb="FFCCCCCC"/>
        <rFont val="Menlo"/>
        <family val="2"/>
      </rPr>
      <t>,</t>
    </r>
  </si>
  <si>
    <r>
      <t>"TSV_ENTRY_OVEREXTENDED_PCT_FROM_HHLL"</t>
    </r>
    <r>
      <rPr>
        <sz val="12"/>
        <color rgb="FFCCCCCC"/>
        <rFont val="Menlo"/>
        <family val="2"/>
      </rPr>
      <t xml:space="preserve">: </t>
    </r>
    <r>
      <rPr>
        <sz val="12"/>
        <color rgb="FFB5CEA8"/>
        <rFont val="Menlo"/>
        <family val="2"/>
      </rPr>
      <t>0.02</t>
    </r>
    <r>
      <rPr>
        <sz val="12"/>
        <color rgb="FFCCCCCC"/>
        <rFont val="Menlo"/>
        <family val="2"/>
      </rPr>
      <t>,</t>
    </r>
  </si>
  <si>
    <r>
      <t>"TSV_MAX_TRADES_PER_SESSION"</t>
    </r>
    <r>
      <rPr>
        <sz val="12"/>
        <color rgb="FFCCCCCC"/>
        <rFont val="Menlo"/>
        <family val="2"/>
      </rPr>
      <t xml:space="preserve">: </t>
    </r>
    <r>
      <rPr>
        <sz val="12"/>
        <color rgb="FFB5CEA8"/>
        <rFont val="Menlo"/>
        <family val="2"/>
      </rPr>
      <t>5</t>
    </r>
    <r>
      <rPr>
        <sz val="12"/>
        <color rgb="FFCCCCCC"/>
        <rFont val="Menlo"/>
        <family val="2"/>
      </rPr>
      <t>,</t>
    </r>
  </si>
  <si>
    <r>
      <t>"TSV_MIN_CANDLE_GAP"</t>
    </r>
    <r>
      <rPr>
        <sz val="12"/>
        <color rgb="FFCCCCCC"/>
        <rFont val="Menlo"/>
        <family val="2"/>
      </rPr>
      <t xml:space="preserve">: </t>
    </r>
    <r>
      <rPr>
        <sz val="12"/>
        <color rgb="FFB5CEA8"/>
        <rFont val="Menlo"/>
        <family val="2"/>
      </rPr>
      <t>3</t>
    </r>
    <r>
      <rPr>
        <sz val="12"/>
        <color rgb="FFCCCCCC"/>
        <rFont val="Menlo"/>
        <family val="2"/>
      </rPr>
      <t>,</t>
    </r>
  </si>
  <si>
    <r>
      <t>"TSV_TRADE_SETUP_TOGGLE"</t>
    </r>
    <r>
      <rPr>
        <sz val="12"/>
        <color rgb="FFCCCCCC"/>
        <rFont val="Menlo"/>
        <family val="2"/>
      </rPr>
      <t xml:space="preserve">: </t>
    </r>
    <r>
      <rPr>
        <sz val="12"/>
        <color rgb="FF569CD6"/>
        <rFont val="Menlo"/>
        <family val="2"/>
      </rPr>
      <t>false</t>
    </r>
    <r>
      <rPr>
        <sz val="12"/>
        <color rgb="FFCCCCCC"/>
        <rFont val="Menlo"/>
        <family val="2"/>
      </rPr>
      <t>,</t>
    </r>
  </si>
  <si>
    <r>
      <t>"TSV_TRADE_SETUP_MODE"</t>
    </r>
    <r>
      <rPr>
        <sz val="12"/>
        <color rgb="FFCCCCCC"/>
        <rFont val="Menlo"/>
        <family val="2"/>
      </rPr>
      <t xml:space="preserve">: </t>
    </r>
    <r>
      <rPr>
        <sz val="12"/>
        <color rgb="FFCE9178"/>
        <rFont val="Menlo"/>
        <family val="2"/>
      </rPr>
      <t>"all"</t>
    </r>
    <r>
      <rPr>
        <sz val="12"/>
        <color rgb="FFCCCCCC"/>
        <rFont val="Menlo"/>
        <family val="2"/>
      </rPr>
      <t>,</t>
    </r>
  </si>
  <si>
    <r>
      <t>"TSV_TRADE_SETUP_ALLOWED_PATTERNS"</t>
    </r>
    <r>
      <rPr>
        <sz val="12"/>
        <color rgb="FFCCCCCC"/>
        <rFont val="Menlo"/>
        <family val="2"/>
      </rPr>
      <t>: [</t>
    </r>
    <r>
      <rPr>
        <sz val="12"/>
        <color rgb="FFCE9178"/>
        <rFont val="Menlo"/>
        <family val="2"/>
      </rPr>
      <t>"ribbon"</t>
    </r>
    <r>
      <rPr>
        <sz val="12"/>
        <color rgb="FFCCCCCC"/>
        <rFont val="Menlo"/>
        <family val="2"/>
      </rPr>
      <t xml:space="preserve">, </t>
    </r>
    <r>
      <rPr>
        <sz val="12"/>
        <color rgb="FFCE9178"/>
        <rFont val="Menlo"/>
        <family val="2"/>
      </rPr>
      <t>"ghost"</t>
    </r>
    <r>
      <rPr>
        <sz val="12"/>
        <color rgb="FFCCCCCC"/>
        <rFont val="Menlo"/>
        <family val="2"/>
      </rPr>
      <t xml:space="preserve">, </t>
    </r>
    <r>
      <rPr>
        <sz val="12"/>
        <color rgb="FFCE9178"/>
        <rFont val="Menlo"/>
        <family val="2"/>
      </rPr>
      <t>"shark"</t>
    </r>
    <r>
      <rPr>
        <sz val="12"/>
        <color rgb="FFCCCCCC"/>
        <rFont val="Menlo"/>
        <family val="2"/>
      </rPr>
      <t>],</t>
    </r>
  </si>
  <si>
    <r>
      <t>"TSV_TRADE_SETUP_EMA_TOLERANCE"</t>
    </r>
    <r>
      <rPr>
        <sz val="12"/>
        <color rgb="FFCCCCCC"/>
        <rFont val="Menlo"/>
        <family val="2"/>
      </rPr>
      <t xml:space="preserve">: </t>
    </r>
    <r>
      <rPr>
        <sz val="12"/>
        <color rgb="FFB5CEA8"/>
        <rFont val="Menlo"/>
        <family val="2"/>
      </rPr>
      <t>0.01</t>
    </r>
    <r>
      <rPr>
        <sz val="12"/>
        <color rgb="FFCCCCCC"/>
        <rFont val="Menlo"/>
        <family val="2"/>
      </rPr>
      <t>,</t>
    </r>
  </si>
  <si>
    <r>
      <t>"ITS_USE_FLOATING_MARKERS"</t>
    </r>
    <r>
      <rPr>
        <sz val="12"/>
        <color rgb="FFCCCCCC"/>
        <rFont val="Menlo"/>
        <family val="2"/>
      </rPr>
      <t xml:space="preserve">: </t>
    </r>
    <r>
      <rPr>
        <sz val="12"/>
        <color rgb="FF569CD6"/>
        <rFont val="Menlo"/>
        <family val="2"/>
      </rPr>
      <t>false</t>
    </r>
  </si>
  <si>
    <r>
      <t>"manual_its_v2"</t>
    </r>
    <r>
      <rPr>
        <sz val="12"/>
        <color rgb="FFCCCCCC"/>
        <rFont val="Menlo"/>
        <family val="2"/>
      </rPr>
      <t>: {</t>
    </r>
  </si>
  <si>
    <r>
      <t>"TSV_CCI_FLAT_EPSILON"</t>
    </r>
    <r>
      <rPr>
        <sz val="12"/>
        <color rgb="FFCCCCCC"/>
        <rFont val="Menlo"/>
        <family val="2"/>
      </rPr>
      <t xml:space="preserve">: </t>
    </r>
    <r>
      <rPr>
        <sz val="12"/>
        <color rgb="FFB5CEA8"/>
        <rFont val="Menlo"/>
        <family val="2"/>
      </rPr>
      <t>3</t>
    </r>
    <r>
      <rPr>
        <sz val="12"/>
        <color rgb="FFCCCCCC"/>
        <rFont val="Menlo"/>
        <family val="2"/>
      </rPr>
      <t>,</t>
    </r>
  </si>
  <si>
    <r>
      <t>"TSV_RSI_TOGGLE"</t>
    </r>
    <r>
      <rPr>
        <sz val="12"/>
        <color rgb="FFCCCCCC"/>
        <rFont val="Menlo"/>
        <family val="2"/>
      </rPr>
      <t xml:space="preserve">: </t>
    </r>
    <r>
      <rPr>
        <sz val="12"/>
        <color rgb="FF569CD6"/>
        <rFont val="Menlo"/>
        <family val="2"/>
      </rPr>
      <t>true</t>
    </r>
    <r>
      <rPr>
        <sz val="12"/>
        <color rgb="FFCCCCCC"/>
        <rFont val="Menlo"/>
        <family val="2"/>
      </rPr>
      <t>,</t>
    </r>
  </si>
  <si>
    <r>
      <t>"TSV_RSI_MODE"</t>
    </r>
    <r>
      <rPr>
        <sz val="12"/>
        <color rgb="FFCCCCCC"/>
        <rFont val="Menlo"/>
        <family val="2"/>
      </rPr>
      <t xml:space="preserve">: </t>
    </r>
    <r>
      <rPr>
        <sz val="12"/>
        <color rgb="FFCE9178"/>
        <rFont val="Menlo"/>
        <family val="2"/>
      </rPr>
      <t>"flat_filter"</t>
    </r>
    <r>
      <rPr>
        <sz val="12"/>
        <color rgb="FFCCCCCC"/>
        <rFont val="Menlo"/>
        <family val="2"/>
      </rPr>
      <t>,</t>
    </r>
  </si>
  <si>
    <r>
      <t>"TSV_ATR_FACTOR"</t>
    </r>
    <r>
      <rPr>
        <sz val="12"/>
        <color rgb="FFCCCCCC"/>
        <rFont val="Menlo"/>
        <family val="2"/>
      </rPr>
      <t xml:space="preserve">: </t>
    </r>
    <r>
      <rPr>
        <sz val="12"/>
        <color rgb="FFB5CEA8"/>
        <rFont val="Menlo"/>
        <family val="2"/>
      </rPr>
      <t>0.6</t>
    </r>
    <r>
      <rPr>
        <sz val="12"/>
        <color rgb="FFCCCCCC"/>
        <rFont val="Menlo"/>
        <family val="2"/>
      </rPr>
      <t>,</t>
    </r>
  </si>
  <si>
    <r>
      <t>"TSV_ATR_THRESHOLD_PIPS"</t>
    </r>
    <r>
      <rPr>
        <sz val="12"/>
        <color rgb="FFCCCCCC"/>
        <rFont val="Menlo"/>
        <family val="2"/>
      </rPr>
      <t xml:space="preserve">: </t>
    </r>
    <r>
      <rPr>
        <sz val="12"/>
        <color rgb="FFB5CEA8"/>
        <rFont val="Menlo"/>
        <family val="2"/>
      </rPr>
      <t>3</t>
    </r>
    <r>
      <rPr>
        <sz val="12"/>
        <color rgb="FFCCCCCC"/>
        <rFont val="Menlo"/>
        <family val="2"/>
      </rPr>
      <t>,</t>
    </r>
  </si>
  <si>
    <r>
      <t>"TSV_PSAR_TOGGLE"</t>
    </r>
    <r>
      <rPr>
        <sz val="12"/>
        <color rgb="FFCCCCCC"/>
        <rFont val="Menlo"/>
        <family val="2"/>
      </rPr>
      <t xml:space="preserve">: </t>
    </r>
    <r>
      <rPr>
        <sz val="12"/>
        <color rgb="FF569CD6"/>
        <rFont val="Menlo"/>
        <family val="2"/>
      </rPr>
      <t>true</t>
    </r>
    <r>
      <rPr>
        <sz val="12"/>
        <color rgb="FFCCCCCC"/>
        <rFont val="Menlo"/>
        <family val="2"/>
      </rPr>
      <t>,</t>
    </r>
  </si>
  <si>
    <r>
      <t>"TSV_PSAR_DEFERRED_ENTRY_TOGGLE"</t>
    </r>
    <r>
      <rPr>
        <sz val="12"/>
        <color rgb="FFCCCCCC"/>
        <rFont val="Menlo"/>
        <family val="2"/>
      </rPr>
      <t xml:space="preserve">: </t>
    </r>
    <r>
      <rPr>
        <sz val="12"/>
        <color rgb="FF569CD6"/>
        <rFont val="Menlo"/>
        <family val="2"/>
      </rPr>
      <t>true</t>
    </r>
    <r>
      <rPr>
        <sz val="12"/>
        <color rgb="FFCCCCCC"/>
        <rFont val="Menlo"/>
        <family val="2"/>
      </rPr>
      <t>,</t>
    </r>
  </si>
  <si>
    <r>
      <t>"TSV_PSAR_DEFERRED_LOOKBACK"</t>
    </r>
    <r>
      <rPr>
        <sz val="12"/>
        <color rgb="FFCCCCCC"/>
        <rFont val="Menlo"/>
        <family val="2"/>
      </rPr>
      <t xml:space="preserve">: </t>
    </r>
    <r>
      <rPr>
        <sz val="12"/>
        <color rgb="FFB5CEA8"/>
        <rFont val="Menlo"/>
        <family val="2"/>
      </rPr>
      <t>2</t>
    </r>
    <r>
      <rPr>
        <sz val="12"/>
        <color rgb="FFCCCCCC"/>
        <rFont val="Menlo"/>
        <family val="2"/>
      </rPr>
      <t>,</t>
    </r>
  </si>
  <si>
    <r>
      <t>"TSV_DPB_LOOKBACK"</t>
    </r>
    <r>
      <rPr>
        <sz val="12"/>
        <color rgb="FFCCCCCC"/>
        <rFont val="Menlo"/>
        <family val="2"/>
      </rPr>
      <t xml:space="preserve">: </t>
    </r>
    <r>
      <rPr>
        <sz val="12"/>
        <color rgb="FFB5CEA8"/>
        <rFont val="Menlo"/>
        <family val="2"/>
      </rPr>
      <t>6</t>
    </r>
    <r>
      <rPr>
        <sz val="12"/>
        <color rgb="FFCCCCCC"/>
        <rFont val="Menlo"/>
        <family val="2"/>
      </rPr>
      <t>,</t>
    </r>
  </si>
  <si>
    <r>
      <t>"TSV_DPB_MIN_MATCHES"</t>
    </r>
    <r>
      <rPr>
        <sz val="12"/>
        <color rgb="FFCCCCCC"/>
        <rFont val="Menlo"/>
        <family val="2"/>
      </rPr>
      <t xml:space="preserve">: </t>
    </r>
    <r>
      <rPr>
        <sz val="12"/>
        <color rgb="FFB5CEA8"/>
        <rFont val="Menlo"/>
        <family val="2"/>
      </rPr>
      <t>3</t>
    </r>
    <r>
      <rPr>
        <sz val="12"/>
        <color rgb="FFCCCCCC"/>
        <rFont val="Menlo"/>
        <family val="2"/>
      </rPr>
      <t>,</t>
    </r>
  </si>
  <si>
    <r>
      <t>"TSV_ENTRY_TOGGLE"</t>
    </r>
    <r>
      <rPr>
        <sz val="12"/>
        <color rgb="FFCCCCCC"/>
        <rFont val="Menlo"/>
        <family val="2"/>
      </rPr>
      <t xml:space="preserve">: </t>
    </r>
    <r>
      <rPr>
        <sz val="12"/>
        <color rgb="FF569CD6"/>
        <rFont val="Menlo"/>
        <family val="2"/>
      </rPr>
      <t>true</t>
    </r>
    <r>
      <rPr>
        <sz val="12"/>
        <color rgb="FFCCCCCC"/>
        <rFont val="Menlo"/>
        <family val="2"/>
      </rPr>
      <t>,</t>
    </r>
  </si>
  <si>
    <r>
      <t>"TSV_MAX_TRADES_PER_SESSION"</t>
    </r>
    <r>
      <rPr>
        <sz val="12"/>
        <color rgb="FFCCCCCC"/>
        <rFont val="Menlo"/>
        <family val="2"/>
      </rPr>
      <t xml:space="preserve">: </t>
    </r>
    <r>
      <rPr>
        <sz val="12"/>
        <color rgb="FFB5CEA8"/>
        <rFont val="Menlo"/>
        <family val="2"/>
      </rPr>
      <t>4</t>
    </r>
    <r>
      <rPr>
        <sz val="12"/>
        <color rgb="FFCCCCCC"/>
        <rFont val="Menlo"/>
        <family val="2"/>
      </rPr>
      <t>,</t>
    </r>
  </si>
  <si>
    <r>
      <t>"TSV_TRADE_SETUP_TOGGLE"</t>
    </r>
    <r>
      <rPr>
        <sz val="12"/>
        <color rgb="FFCCCCCC"/>
        <rFont val="Menlo"/>
        <family val="2"/>
      </rPr>
      <t xml:space="preserve">: </t>
    </r>
    <r>
      <rPr>
        <sz val="12"/>
        <color rgb="FF569CD6"/>
        <rFont val="Menlo"/>
        <family val="2"/>
      </rPr>
      <t>true</t>
    </r>
    <r>
      <rPr>
        <sz val="12"/>
        <color rgb="FFCCCCCC"/>
        <rFont val="Menlo"/>
        <family val="2"/>
      </rPr>
      <t>,</t>
    </r>
  </si>
  <si>
    <r>
      <t>"manual_its_org"</t>
    </r>
    <r>
      <rPr>
        <sz val="12"/>
        <color rgb="FFCCCCCC"/>
        <rFont val="Menlo"/>
        <family val="2"/>
      </rPr>
      <t>: {</t>
    </r>
  </si>
  <si>
    <r>
      <t>"TSV_PSAR_REQUIRE_WICK_POSITION"</t>
    </r>
    <r>
      <rPr>
        <sz val="12"/>
        <color rgb="FFCCCCCC"/>
        <rFont val="Menlo"/>
        <family val="2"/>
      </rPr>
      <t xml:space="preserve">: </t>
    </r>
    <r>
      <rPr>
        <sz val="12"/>
        <color rgb="FF569CD6"/>
        <rFont val="Menlo"/>
        <family val="2"/>
      </rPr>
      <t>false</t>
    </r>
    <r>
      <rPr>
        <sz val="12"/>
        <color rgb="FFCCCCCC"/>
        <rFont val="Menlo"/>
        <family val="2"/>
      </rPr>
      <t>,</t>
    </r>
  </si>
  <si>
    <r>
      <t>"TSV_PSAR_MATCH_CANDLE_DIRECTION"</t>
    </r>
    <r>
      <rPr>
        <sz val="12"/>
        <color rgb="FFCCCCCC"/>
        <rFont val="Menlo"/>
        <family val="2"/>
      </rPr>
      <t xml:space="preserve">: </t>
    </r>
    <r>
      <rPr>
        <sz val="12"/>
        <color rgb="FF569CD6"/>
        <rFont val="Menlo"/>
        <family val="2"/>
      </rPr>
      <t>false</t>
    </r>
    <r>
      <rPr>
        <sz val="12"/>
        <color rgb="FFCCCCCC"/>
        <rFont val="Menlo"/>
        <family val="2"/>
      </rPr>
      <t>,</t>
    </r>
  </si>
  <si>
    <r>
      <t>"TSV_DPB_LOOKBACK"</t>
    </r>
    <r>
      <rPr>
        <sz val="12"/>
        <color rgb="FFCCCCCC"/>
        <rFont val="Menlo"/>
        <family val="2"/>
      </rPr>
      <t xml:space="preserve">: </t>
    </r>
    <r>
      <rPr>
        <sz val="12"/>
        <color rgb="FFB5CEA8"/>
        <rFont val="Menlo"/>
        <family val="2"/>
      </rPr>
      <t>5</t>
    </r>
    <r>
      <rPr>
        <sz val="12"/>
        <color rgb="FFCCCCCC"/>
        <rFont val="Menlo"/>
        <family val="2"/>
      </rPr>
      <t>,</t>
    </r>
  </si>
  <si>
    <r>
      <t>"TSV_DPB_MIN_MATCHES"</t>
    </r>
    <r>
      <rPr>
        <sz val="12"/>
        <color rgb="FFCCCCCC"/>
        <rFont val="Menlo"/>
        <family val="2"/>
      </rPr>
      <t xml:space="preserve">: </t>
    </r>
    <r>
      <rPr>
        <sz val="12"/>
        <color rgb="FFB5CEA8"/>
        <rFont val="Menlo"/>
        <family val="2"/>
      </rPr>
      <t>1</t>
    </r>
    <r>
      <rPr>
        <sz val="12"/>
        <color rgb="FFCCCCCC"/>
        <rFont val="Menlo"/>
        <family val="2"/>
      </rPr>
      <t>,</t>
    </r>
  </si>
  <si>
    <r>
      <t>"TSV_ATR_WINDOW"</t>
    </r>
    <r>
      <rPr>
        <sz val="12"/>
        <color rgb="FFCCCCCC"/>
        <rFont val="Menlo"/>
        <family val="2"/>
      </rPr>
      <t xml:space="preserve">: </t>
    </r>
    <r>
      <rPr>
        <sz val="12"/>
        <color rgb="FFB5CEA8"/>
        <rFont val="Menlo"/>
        <family val="2"/>
      </rPr>
      <t>20</t>
    </r>
    <r>
      <rPr>
        <sz val="12"/>
        <color rgb="FFCCCCCC"/>
        <rFont val="Menlo"/>
        <family val="2"/>
      </rPr>
      <t>,</t>
    </r>
  </si>
  <si>
    <r>
      <t>"TSV_TRADE_SETUP_EMA_TOLERANCE"</t>
    </r>
    <r>
      <rPr>
        <sz val="12"/>
        <color rgb="FFCCCCCC"/>
        <rFont val="Menlo"/>
        <family val="2"/>
      </rPr>
      <t xml:space="preserve">: </t>
    </r>
    <r>
      <rPr>
        <sz val="12"/>
        <color rgb="FFB5CEA8"/>
        <rFont val="Menlo"/>
        <family val="2"/>
      </rPr>
      <t>0.02</t>
    </r>
    <r>
      <rPr>
        <sz val="12"/>
        <color rgb="FFCCCCCC"/>
        <rFont val="Menlo"/>
        <family val="2"/>
      </rPr>
      <t>,</t>
    </r>
  </si>
  <si>
    <r>
      <t>"custom_its"</t>
    </r>
    <r>
      <rPr>
        <sz val="12"/>
        <color rgb="FFCCCCCC"/>
        <rFont val="Menlo"/>
        <family val="2"/>
      </rPr>
      <t>: {</t>
    </r>
  </si>
  <si>
    <r>
      <t>"TSV_ATR_TOGGLE"</t>
    </r>
    <r>
      <rPr>
        <sz val="12"/>
        <color rgb="FFCCCCCC"/>
        <rFont val="Menlo"/>
        <family val="2"/>
      </rPr>
      <t xml:space="preserve">: </t>
    </r>
    <r>
      <rPr>
        <sz val="12"/>
        <color rgb="FF569CD6"/>
        <rFont val="Menlo"/>
        <family val="2"/>
      </rPr>
      <t>false</t>
    </r>
    <r>
      <rPr>
        <sz val="12"/>
        <color rgb="FFCCCCCC"/>
        <rFont val="Menlo"/>
        <family val="2"/>
      </rPr>
      <t>,</t>
    </r>
  </si>
  <si>
    <r>
      <t>"TSV_PSAR_FLIP_COUNT_LOOPBACK"</t>
    </r>
    <r>
      <rPr>
        <sz val="12"/>
        <color rgb="FFCCCCCC"/>
        <rFont val="Menlo"/>
        <family val="2"/>
      </rPr>
      <t xml:space="preserve">: </t>
    </r>
    <r>
      <rPr>
        <sz val="12"/>
        <color rgb="FFB5CEA8"/>
        <rFont val="Menlo"/>
        <family val="2"/>
      </rPr>
      <t>3</t>
    </r>
    <r>
      <rPr>
        <sz val="12"/>
        <color rgb="FFCCCCCC"/>
        <rFont val="Menlo"/>
        <family val="2"/>
      </rPr>
      <t>,</t>
    </r>
  </si>
  <si>
    <r>
      <t>"TSV_DEBUG_TS_LOG"</t>
    </r>
    <r>
      <rPr>
        <sz val="12"/>
        <color rgb="FFCCCCCC"/>
        <rFont val="Menlo"/>
        <family val="2"/>
      </rPr>
      <t xml:space="preserve">: </t>
    </r>
    <r>
      <rPr>
        <sz val="12"/>
        <color rgb="FF569CD6"/>
        <rFont val="Menlo"/>
        <family val="2"/>
      </rPr>
      <t>false</t>
    </r>
    <r>
      <rPr>
        <sz val="12"/>
        <color rgb="FFCCCCCC"/>
        <rFont val="Menlo"/>
        <family val="2"/>
      </rPr>
      <t>,</t>
    </r>
  </si>
  <si>
    <r>
      <t>"TSV_TRADE_SETUP_EMA_TOLERANCE"</t>
    </r>
    <r>
      <rPr>
        <sz val="12"/>
        <color rgb="FFCCCCCC"/>
        <rFont val="Menlo"/>
        <family val="2"/>
      </rPr>
      <t xml:space="preserve">: </t>
    </r>
    <r>
      <rPr>
        <sz val="12"/>
        <color rgb="FFB5CEA8"/>
        <rFont val="Menlo"/>
        <family val="2"/>
      </rPr>
      <t>0.001</t>
    </r>
    <r>
      <rPr>
        <sz val="12"/>
        <color rgb="FFCCCCCC"/>
        <rFont val="Menlo"/>
        <family val="2"/>
      </rPr>
      <t>,</t>
    </r>
  </si>
  <si>
    <r>
      <t>"trend_following_its"</t>
    </r>
    <r>
      <rPr>
        <sz val="12"/>
        <color rgb="FFCCCCCC"/>
        <rFont val="Menlo"/>
        <family val="2"/>
      </rPr>
      <t>: {</t>
    </r>
  </si>
  <si>
    <r>
      <t>"active"</t>
    </r>
    <r>
      <rPr>
        <sz val="12"/>
        <color rgb="FFCCCCCC"/>
        <rFont val="Menlo"/>
        <family val="2"/>
      </rPr>
      <t xml:space="preserve">: </t>
    </r>
    <r>
      <rPr>
        <sz val="12"/>
        <color rgb="FF569CD6"/>
        <rFont val="Menlo"/>
        <family val="2"/>
      </rPr>
      <t>false</t>
    </r>
    <r>
      <rPr>
        <sz val="12"/>
        <color rgb="FFCCCCCC"/>
        <rFont val="Menlo"/>
        <family val="2"/>
      </rPr>
      <t>,</t>
    </r>
  </si>
  <si>
    <r>
      <t>"TSV_MACD_MODE"</t>
    </r>
    <r>
      <rPr>
        <sz val="12"/>
        <color rgb="FFCCCCCC"/>
        <rFont val="Menlo"/>
        <family val="2"/>
      </rPr>
      <t xml:space="preserve">: </t>
    </r>
    <r>
      <rPr>
        <sz val="12"/>
        <color rgb="FFCE9178"/>
        <rFont val="Menlo"/>
        <family val="2"/>
      </rPr>
      <t>"flex"</t>
    </r>
    <r>
      <rPr>
        <sz val="12"/>
        <color rgb="FFCCCCCC"/>
        <rFont val="Menlo"/>
        <family val="2"/>
      </rPr>
      <t>,</t>
    </r>
  </si>
  <si>
    <r>
      <t>"TSV_CCI_TOGGLE"</t>
    </r>
    <r>
      <rPr>
        <sz val="12"/>
        <color rgb="FFCCCCCC"/>
        <rFont val="Menlo"/>
        <family val="2"/>
      </rPr>
      <t xml:space="preserve">: </t>
    </r>
    <r>
      <rPr>
        <sz val="12"/>
        <color rgb="FF569CD6"/>
        <rFont val="Menlo"/>
        <family val="2"/>
      </rPr>
      <t>false</t>
    </r>
    <r>
      <rPr>
        <sz val="12"/>
        <color rgb="FFCCCCCC"/>
        <rFont val="Menlo"/>
        <family val="2"/>
      </rPr>
      <t>,</t>
    </r>
  </si>
  <si>
    <r>
      <t>"TSV_RSI_MODE"</t>
    </r>
    <r>
      <rPr>
        <sz val="12"/>
        <color rgb="FFCCCCCC"/>
        <rFont val="Menlo"/>
        <family val="2"/>
      </rPr>
      <t xml:space="preserve">: </t>
    </r>
    <r>
      <rPr>
        <sz val="12"/>
        <color rgb="FFCE9178"/>
        <rFont val="Menlo"/>
        <family val="2"/>
      </rPr>
      <t>"flex"</t>
    </r>
    <r>
      <rPr>
        <sz val="12"/>
        <color rgb="FFCCCCCC"/>
        <rFont val="Menlo"/>
        <family val="2"/>
      </rPr>
      <t>,</t>
    </r>
  </si>
  <si>
    <r>
      <t>"TSV_RSI_OVERBOUGHT"</t>
    </r>
    <r>
      <rPr>
        <sz val="12"/>
        <color rgb="FFCCCCCC"/>
        <rFont val="Menlo"/>
        <family val="2"/>
      </rPr>
      <t xml:space="preserve">: </t>
    </r>
    <r>
      <rPr>
        <sz val="12"/>
        <color rgb="FFB5CEA8"/>
        <rFont val="Menlo"/>
        <family val="2"/>
      </rPr>
      <t>60</t>
    </r>
    <r>
      <rPr>
        <sz val="12"/>
        <color rgb="FFCCCCCC"/>
        <rFont val="Menlo"/>
        <family val="2"/>
      </rPr>
      <t>,</t>
    </r>
  </si>
  <si>
    <r>
      <t>"TSV_RSI_OVERSOLD"</t>
    </r>
    <r>
      <rPr>
        <sz val="12"/>
        <color rgb="FFCCCCCC"/>
        <rFont val="Menlo"/>
        <family val="2"/>
      </rPr>
      <t xml:space="preserve">: </t>
    </r>
    <r>
      <rPr>
        <sz val="12"/>
        <color rgb="FFB5CEA8"/>
        <rFont val="Menlo"/>
        <family val="2"/>
      </rPr>
      <t>40</t>
    </r>
    <r>
      <rPr>
        <sz val="12"/>
        <color rgb="FFCCCCCC"/>
        <rFont val="Menlo"/>
        <family val="2"/>
      </rPr>
      <t>,</t>
    </r>
  </si>
  <si>
    <r>
      <t>"TSV_OC_LIMIT_FACTOR"</t>
    </r>
    <r>
      <rPr>
        <sz val="12"/>
        <color rgb="FFCCCCCC"/>
        <rFont val="Menlo"/>
        <family val="2"/>
      </rPr>
      <t xml:space="preserve">: </t>
    </r>
    <r>
      <rPr>
        <sz val="12"/>
        <color rgb="FFB5CEA8"/>
        <rFont val="Menlo"/>
        <family val="2"/>
      </rPr>
      <t>2.0</t>
    </r>
    <r>
      <rPr>
        <sz val="12"/>
        <color rgb="FFCCCCCC"/>
        <rFont val="Menlo"/>
        <family val="2"/>
      </rPr>
      <t>,</t>
    </r>
  </si>
  <si>
    <r>
      <t>"TSV_PSAR_FLIP_TOGGLE_PREFER_EARLY_ENTRY"</t>
    </r>
    <r>
      <rPr>
        <sz val="12"/>
        <color rgb="FFCCCCCC"/>
        <rFont val="Menlo"/>
        <family val="2"/>
      </rPr>
      <t xml:space="preserve">: </t>
    </r>
    <r>
      <rPr>
        <sz val="12"/>
        <color rgb="FF569CD6"/>
        <rFont val="Menlo"/>
        <family val="2"/>
      </rPr>
      <t>true</t>
    </r>
    <r>
      <rPr>
        <sz val="12"/>
        <color rgb="FFCCCCCC"/>
        <rFont val="Menlo"/>
        <family val="2"/>
      </rPr>
      <t>,</t>
    </r>
  </si>
  <si>
    <r>
      <t>"TSV_PSAR_FLIP_COUNT_LOOPBACK"</t>
    </r>
    <r>
      <rPr>
        <sz val="12"/>
        <color rgb="FFCCCCCC"/>
        <rFont val="Menlo"/>
        <family val="2"/>
      </rPr>
      <t xml:space="preserve">: </t>
    </r>
    <r>
      <rPr>
        <sz val="12"/>
        <color rgb="FFB5CEA8"/>
        <rFont val="Menlo"/>
        <family val="2"/>
      </rPr>
      <t>2</t>
    </r>
    <r>
      <rPr>
        <sz val="12"/>
        <color rgb="FFCCCCCC"/>
        <rFont val="Menlo"/>
        <family val="2"/>
      </rPr>
      <t>,</t>
    </r>
  </si>
  <si>
    <r>
      <t>"TSV_PSAR_DEFERRED_MODE"</t>
    </r>
    <r>
      <rPr>
        <sz val="12"/>
        <color rgb="FFCCCCCC"/>
        <rFont val="Menlo"/>
        <family val="2"/>
      </rPr>
      <t xml:space="preserve">: </t>
    </r>
    <r>
      <rPr>
        <sz val="12"/>
        <color rgb="FFCE9178"/>
        <rFont val="Menlo"/>
        <family val="2"/>
      </rPr>
      <t>"flip_dot"</t>
    </r>
    <r>
      <rPr>
        <sz val="12"/>
        <color rgb="FFCCCCCC"/>
        <rFont val="Menlo"/>
        <family val="2"/>
      </rPr>
      <t>,</t>
    </r>
  </si>
  <si>
    <r>
      <t>"TSV_DPB_LOOKBACK"</t>
    </r>
    <r>
      <rPr>
        <sz val="12"/>
        <color rgb="FFCCCCCC"/>
        <rFont val="Menlo"/>
        <family val="2"/>
      </rPr>
      <t xml:space="preserve">: </t>
    </r>
    <r>
      <rPr>
        <sz val="12"/>
        <color rgb="FFB5CEA8"/>
        <rFont val="Menlo"/>
        <family val="2"/>
      </rPr>
      <t>2</t>
    </r>
    <r>
      <rPr>
        <sz val="12"/>
        <color rgb="FFCCCCCC"/>
        <rFont val="Menlo"/>
        <family val="2"/>
      </rPr>
      <t>,</t>
    </r>
  </si>
  <si>
    <r>
      <t>"TSV_MAX_TRADES_PER_SESSION"</t>
    </r>
    <r>
      <rPr>
        <sz val="12"/>
        <color rgb="FFCCCCCC"/>
        <rFont val="Menlo"/>
        <family val="2"/>
      </rPr>
      <t xml:space="preserve">: </t>
    </r>
    <r>
      <rPr>
        <sz val="12"/>
        <color rgb="FFB5CEA8"/>
        <rFont val="Menlo"/>
        <family val="2"/>
      </rPr>
      <t>1</t>
    </r>
    <r>
      <rPr>
        <sz val="12"/>
        <color rgb="FFCCCCCC"/>
        <rFont val="Menlo"/>
        <family val="2"/>
      </rPr>
      <t>,</t>
    </r>
  </si>
  <si>
    <r>
      <t>"TSV_MIN_CANDLE_GAP"</t>
    </r>
    <r>
      <rPr>
        <sz val="12"/>
        <color rgb="FFCCCCCC"/>
        <rFont val="Menlo"/>
        <family val="2"/>
      </rPr>
      <t xml:space="preserve">: </t>
    </r>
    <r>
      <rPr>
        <sz val="12"/>
        <color rgb="FFB5CEA8"/>
        <rFont val="Menlo"/>
        <family val="2"/>
      </rPr>
      <t>1</t>
    </r>
  </si>
  <si>
    <r>
      <t>"conservative_its"</t>
    </r>
    <r>
      <rPr>
        <sz val="12"/>
        <color rgb="FFCCCCCC"/>
        <rFont val="Menlo"/>
        <family val="2"/>
      </rPr>
      <t>: {</t>
    </r>
  </si>
  <si>
    <r>
      <t>"TSV_RSI_OVERBOUGHT"</t>
    </r>
    <r>
      <rPr>
        <sz val="12"/>
        <color rgb="FFCCCCCC"/>
        <rFont val="Menlo"/>
        <family val="2"/>
      </rPr>
      <t xml:space="preserve">: </t>
    </r>
    <r>
      <rPr>
        <sz val="12"/>
        <color rgb="FFB5CEA8"/>
        <rFont val="Menlo"/>
        <family val="2"/>
      </rPr>
      <t>65</t>
    </r>
    <r>
      <rPr>
        <sz val="12"/>
        <color rgb="FFCCCCCC"/>
        <rFont val="Menlo"/>
        <family val="2"/>
      </rPr>
      <t>,</t>
    </r>
  </si>
  <si>
    <r>
      <t>"TSV_RSI_OVERSOLD"</t>
    </r>
    <r>
      <rPr>
        <sz val="12"/>
        <color rgb="FFCCCCCC"/>
        <rFont val="Menlo"/>
        <family val="2"/>
      </rPr>
      <t xml:space="preserve">: </t>
    </r>
    <r>
      <rPr>
        <sz val="12"/>
        <color rgb="FFB5CEA8"/>
        <rFont val="Menlo"/>
        <family val="2"/>
      </rPr>
      <t>35</t>
    </r>
    <r>
      <rPr>
        <sz val="12"/>
        <color rgb="FFCCCCCC"/>
        <rFont val="Menlo"/>
        <family val="2"/>
      </rPr>
      <t>,</t>
    </r>
  </si>
  <si>
    <r>
      <t>"TSV_ATR_FACTOR"</t>
    </r>
    <r>
      <rPr>
        <sz val="12"/>
        <color rgb="FFCCCCCC"/>
        <rFont val="Menlo"/>
        <family val="2"/>
      </rPr>
      <t xml:space="preserve">: </t>
    </r>
    <r>
      <rPr>
        <sz val="12"/>
        <color rgb="FFB5CEA8"/>
        <rFont val="Menlo"/>
        <family val="2"/>
      </rPr>
      <t>1.0</t>
    </r>
    <r>
      <rPr>
        <sz val="12"/>
        <color rgb="FFCCCCCC"/>
        <rFont val="Menlo"/>
        <family val="2"/>
      </rPr>
      <t>,</t>
    </r>
  </si>
  <si>
    <r>
      <t>"TSV_OC_LIMIT_FACTOR"</t>
    </r>
    <r>
      <rPr>
        <sz val="12"/>
        <color rgb="FFCCCCCC"/>
        <rFont val="Menlo"/>
        <family val="2"/>
      </rPr>
      <t xml:space="preserve">: </t>
    </r>
    <r>
      <rPr>
        <sz val="12"/>
        <color rgb="FFB5CEA8"/>
        <rFont val="Menlo"/>
        <family val="2"/>
      </rPr>
      <t>2.5</t>
    </r>
    <r>
      <rPr>
        <sz val="12"/>
        <color rgb="FFCCCCCC"/>
        <rFont val="Menlo"/>
        <family val="2"/>
      </rPr>
      <t>,</t>
    </r>
  </si>
  <si>
    <r>
      <t>"TSV_DPB_LOOKBACK"</t>
    </r>
    <r>
      <rPr>
        <sz val="12"/>
        <color rgb="FFCCCCCC"/>
        <rFont val="Menlo"/>
        <family val="2"/>
      </rPr>
      <t xml:space="preserve">: </t>
    </r>
    <r>
      <rPr>
        <sz val="12"/>
        <color rgb="FFB5CEA8"/>
        <rFont val="Menlo"/>
        <family val="2"/>
      </rPr>
      <t>3</t>
    </r>
    <r>
      <rPr>
        <sz val="12"/>
        <color rgb="FFCCCCCC"/>
        <rFont val="Menlo"/>
        <family val="2"/>
      </rPr>
      <t>,</t>
    </r>
  </si>
  <si>
    <r>
      <t>"TSV_DPB_EMA_PAIRS"</t>
    </r>
    <r>
      <rPr>
        <sz val="12"/>
        <color rgb="FFCCCCCC"/>
        <rFont val="Menlo"/>
        <family val="2"/>
      </rPr>
      <t>: [[</t>
    </r>
    <r>
      <rPr>
        <sz val="12"/>
        <color rgb="FFCE9178"/>
        <rFont val="Menlo"/>
        <family val="2"/>
      </rPr>
      <t>"ema_13"</t>
    </r>
    <r>
      <rPr>
        <sz val="12"/>
        <color rgb="FFCCCCCC"/>
        <rFont val="Menlo"/>
        <family val="2"/>
      </rPr>
      <t xml:space="preserve">, </t>
    </r>
    <r>
      <rPr>
        <sz val="12"/>
        <color rgb="FFCE9178"/>
        <rFont val="Menlo"/>
        <family val="2"/>
      </rPr>
      <t>"ema_34"</t>
    </r>
    <r>
      <rPr>
        <sz val="12"/>
        <color rgb="FFCCCCCC"/>
        <rFont val="Menlo"/>
        <family val="2"/>
      </rPr>
      <t>], [</t>
    </r>
    <r>
      <rPr>
        <sz val="12"/>
        <color rgb="FFCE9178"/>
        <rFont val="Menlo"/>
        <family val="2"/>
      </rPr>
      <t>"ema_34"</t>
    </r>
    <r>
      <rPr>
        <sz val="12"/>
        <color rgb="FFCCCCCC"/>
        <rFont val="Menlo"/>
        <family val="2"/>
      </rPr>
      <t xml:space="preserve">, </t>
    </r>
    <r>
      <rPr>
        <sz val="12"/>
        <color rgb="FFCE9178"/>
        <rFont val="Menlo"/>
        <family val="2"/>
      </rPr>
      <t>"ema_89"</t>
    </r>
    <r>
      <rPr>
        <sz val="12"/>
        <color rgb="FFCCCCCC"/>
        <rFont val="Menlo"/>
        <family val="2"/>
      </rPr>
      <t>]],</t>
    </r>
  </si>
  <si>
    <r>
      <t>"TSV_ENTRY_BODY_MIN_PCT"</t>
    </r>
    <r>
      <rPr>
        <sz val="12"/>
        <color rgb="FFCCCCCC"/>
        <rFont val="Menlo"/>
        <family val="2"/>
      </rPr>
      <t xml:space="preserve">: </t>
    </r>
    <r>
      <rPr>
        <sz val="12"/>
        <color rgb="FFB5CEA8"/>
        <rFont val="Menlo"/>
        <family val="2"/>
      </rPr>
      <t>40</t>
    </r>
    <r>
      <rPr>
        <sz val="12"/>
        <color rgb="FFCCCCCC"/>
        <rFont val="Menlo"/>
        <family val="2"/>
      </rPr>
      <t>,</t>
    </r>
  </si>
  <si>
    <r>
      <t>"TSV_MIN_CANDLE_GAP"</t>
    </r>
    <r>
      <rPr>
        <sz val="12"/>
        <color rgb="FFCCCCCC"/>
        <rFont val="Menlo"/>
        <family val="2"/>
      </rPr>
      <t xml:space="preserve">: </t>
    </r>
    <r>
      <rPr>
        <sz val="12"/>
        <color rgb="FFB5CEA8"/>
        <rFont val="Menlo"/>
        <family val="2"/>
      </rPr>
      <t>2</t>
    </r>
  </si>
  <si>
    <r>
      <t>"aggressive_its"</t>
    </r>
    <r>
      <rPr>
        <sz val="12"/>
        <color rgb="FFCCCCCC"/>
        <rFont val="Menlo"/>
        <family val="2"/>
      </rPr>
      <t>: {</t>
    </r>
  </si>
  <si>
    <r>
      <t>"TSV_OC_TOGGLE"</t>
    </r>
    <r>
      <rPr>
        <sz val="12"/>
        <color rgb="FFCCCCCC"/>
        <rFont val="Menlo"/>
        <family val="2"/>
      </rPr>
      <t xml:space="preserve">: </t>
    </r>
    <r>
      <rPr>
        <sz val="12"/>
        <color rgb="FF569CD6"/>
        <rFont val="Menlo"/>
        <family val="2"/>
      </rPr>
      <t>false</t>
    </r>
    <r>
      <rPr>
        <sz val="12"/>
        <color rgb="FFCCCCCC"/>
        <rFont val="Menlo"/>
        <family val="2"/>
      </rPr>
      <t>,</t>
    </r>
  </si>
  <si>
    <r>
      <t>"TSV_PSAR_MODE"</t>
    </r>
    <r>
      <rPr>
        <sz val="12"/>
        <color rgb="FFCCCCCC"/>
        <rFont val="Menlo"/>
        <family val="2"/>
      </rPr>
      <t xml:space="preserve">: </t>
    </r>
    <r>
      <rPr>
        <sz val="12"/>
        <color rgb="FFCE9178"/>
        <rFont val="Menlo"/>
        <family val="2"/>
      </rPr>
      <t>"or"</t>
    </r>
    <r>
      <rPr>
        <sz val="12"/>
        <color rgb="FFCCCCCC"/>
        <rFont val="Menlo"/>
        <family val="2"/>
      </rPr>
      <t>,</t>
    </r>
  </si>
  <si>
    <r>
      <t>"TSV_PSAR_FLIP_COUNT_TOGGLE"</t>
    </r>
    <r>
      <rPr>
        <sz val="12"/>
        <color rgb="FFCCCCCC"/>
        <rFont val="Menlo"/>
        <family val="2"/>
      </rPr>
      <t xml:space="preserve">: </t>
    </r>
    <r>
      <rPr>
        <sz val="12"/>
        <color rgb="FF569CD6"/>
        <rFont val="Menlo"/>
        <family val="2"/>
      </rPr>
      <t>false</t>
    </r>
    <r>
      <rPr>
        <sz val="12"/>
        <color rgb="FFCCCCCC"/>
        <rFont val="Menlo"/>
        <family val="2"/>
      </rPr>
      <t>,</t>
    </r>
  </si>
  <si>
    <r>
      <t>"TSV_DPB_MODE"</t>
    </r>
    <r>
      <rPr>
        <sz val="12"/>
        <color rgb="FFCCCCCC"/>
        <rFont val="Menlo"/>
        <family val="2"/>
      </rPr>
      <t xml:space="preserve">: </t>
    </r>
    <r>
      <rPr>
        <sz val="12"/>
        <color rgb="FFCE9178"/>
        <rFont val="Menlo"/>
        <family val="2"/>
      </rPr>
      <t>"basic"</t>
    </r>
    <r>
      <rPr>
        <sz val="12"/>
        <color rgb="FFCCCCCC"/>
        <rFont val="Menlo"/>
        <family val="2"/>
      </rPr>
      <t>,</t>
    </r>
  </si>
  <si>
    <r>
      <t>"TSV_DPB_LOOKBACK"</t>
    </r>
    <r>
      <rPr>
        <sz val="12"/>
        <color rgb="FFCCCCCC"/>
        <rFont val="Menlo"/>
        <family val="2"/>
      </rPr>
      <t xml:space="preserve">: </t>
    </r>
    <r>
      <rPr>
        <sz val="12"/>
        <color rgb="FFB5CEA8"/>
        <rFont val="Menlo"/>
        <family val="2"/>
      </rPr>
      <t>1</t>
    </r>
    <r>
      <rPr>
        <sz val="12"/>
        <color rgb="FFCCCCCC"/>
        <rFont val="Menlo"/>
        <family val="2"/>
      </rPr>
      <t>,</t>
    </r>
  </si>
  <si>
    <r>
      <t>"TSV_DPB_EMA_PAIRS"</t>
    </r>
    <r>
      <rPr>
        <sz val="12"/>
        <color rgb="FFCCCCCC"/>
        <rFont val="Menlo"/>
        <family val="2"/>
      </rPr>
      <t>: [[</t>
    </r>
    <r>
      <rPr>
        <sz val="12"/>
        <color rgb="FFCE9178"/>
        <rFont val="Menlo"/>
        <family val="2"/>
      </rPr>
      <t>"ema_5"</t>
    </r>
    <r>
      <rPr>
        <sz val="12"/>
        <color rgb="FFCCCCCC"/>
        <rFont val="Menlo"/>
        <family val="2"/>
      </rPr>
      <t xml:space="preserve">, </t>
    </r>
    <r>
      <rPr>
        <sz val="12"/>
        <color rgb="FFCE9178"/>
        <rFont val="Menlo"/>
        <family val="2"/>
      </rPr>
      <t>"ema_13"</t>
    </r>
    <r>
      <rPr>
        <sz val="12"/>
        <color rgb="FFCCCCCC"/>
        <rFont val="Menlo"/>
        <family val="2"/>
      </rPr>
      <t>]],</t>
    </r>
  </si>
  <si>
    <r>
      <t>"TSV_ENTRY_BODY_MIN_PCT"</t>
    </r>
    <r>
      <rPr>
        <sz val="12"/>
        <color rgb="FFCCCCCC"/>
        <rFont val="Menlo"/>
        <family val="2"/>
      </rPr>
      <t xml:space="preserve">: </t>
    </r>
    <r>
      <rPr>
        <sz val="12"/>
        <color rgb="FFB5CEA8"/>
        <rFont val="Menlo"/>
        <family val="2"/>
      </rPr>
      <t>20</t>
    </r>
    <r>
      <rPr>
        <sz val="12"/>
        <color rgb="FFCCCCCC"/>
        <rFont val="Menlo"/>
        <family val="2"/>
      </rPr>
      <t>,</t>
    </r>
  </si>
  <si>
    <r>
      <t>"TSV_MAX_TRADES_PER_SESSION"</t>
    </r>
    <r>
      <rPr>
        <sz val="12"/>
        <color rgb="FFCCCCCC"/>
        <rFont val="Menlo"/>
        <family val="2"/>
      </rPr>
      <t xml:space="preserve">: </t>
    </r>
    <r>
      <rPr>
        <sz val="12"/>
        <color rgb="FFB5CEA8"/>
        <rFont val="Menlo"/>
        <family val="2"/>
      </rPr>
      <t>3</t>
    </r>
    <r>
      <rPr>
        <sz val="12"/>
        <color rgb="FFCCCCCC"/>
        <rFont val="Menlo"/>
        <family val="2"/>
      </rPr>
      <t>,</t>
    </r>
  </si>
  <si>
    <r>
      <t>"TSV_MIN_CANDLE_GAP"</t>
    </r>
    <r>
      <rPr>
        <sz val="12"/>
        <color rgb="FFCCCCCC"/>
        <rFont val="Menlo"/>
        <family val="2"/>
      </rPr>
      <t xml:space="preserve">: </t>
    </r>
    <r>
      <rPr>
        <sz val="12"/>
        <color rgb="FFB5CEA8"/>
        <rFont val="Menlo"/>
        <family val="2"/>
      </rPr>
      <t>0</t>
    </r>
  </si>
  <si>
    <r>
      <t>"chart_settings"</t>
    </r>
    <r>
      <rPr>
        <sz val="12"/>
        <color rgb="FFCCCCCC"/>
        <rFont val="Menlo"/>
        <family val="2"/>
      </rPr>
      <t>: {</t>
    </r>
  </si>
  <si>
    <r>
      <t>"legend"</t>
    </r>
    <r>
      <rPr>
        <sz val="12"/>
        <color rgb="FFCCCCCC"/>
        <rFont val="Menlo"/>
        <family val="2"/>
      </rPr>
      <t>: {</t>
    </r>
  </si>
  <si>
    <r>
      <t>"modes"</t>
    </r>
    <r>
      <rPr>
        <sz val="12"/>
        <color rgb="FFCCCCCC"/>
        <rFont val="Menlo"/>
        <family val="2"/>
      </rPr>
      <t>: [</t>
    </r>
    <r>
      <rPr>
        <sz val="12"/>
        <color rgb="FFCE9178"/>
        <rFont val="Menlo"/>
        <family val="2"/>
      </rPr>
      <t>"panel-i"</t>
    </r>
    <r>
      <rPr>
        <sz val="12"/>
        <color rgb="FFCCCCCC"/>
        <rFont val="Menlo"/>
        <family val="2"/>
      </rPr>
      <t xml:space="preserve">, </t>
    </r>
    <r>
      <rPr>
        <sz val="12"/>
        <color rgb="FFCE9178"/>
        <rFont val="Menlo"/>
        <family val="2"/>
      </rPr>
      <t>"panel-s"</t>
    </r>
    <r>
      <rPr>
        <sz val="12"/>
        <color rgb="FFCCCCCC"/>
        <rFont val="Menlo"/>
        <family val="2"/>
      </rPr>
      <t>],</t>
    </r>
  </si>
  <si>
    <r>
      <t>"group_box_by_panel"</t>
    </r>
    <r>
      <rPr>
        <sz val="12"/>
        <color rgb="FFCCCCCC"/>
        <rFont val="Menlo"/>
        <family val="2"/>
      </rPr>
      <t xml:space="preserve">: </t>
    </r>
    <r>
      <rPr>
        <sz val="12"/>
        <color rgb="FF569CD6"/>
        <rFont val="Menlo"/>
        <family val="2"/>
      </rPr>
      <t>false</t>
    </r>
    <r>
      <rPr>
        <sz val="12"/>
        <color rgb="FFCCCCCC"/>
        <rFont val="Menlo"/>
        <family val="2"/>
      </rPr>
      <t>,</t>
    </r>
  </si>
  <si>
    <r>
      <t>"separate_panels_with_lines"</t>
    </r>
    <r>
      <rPr>
        <sz val="12"/>
        <color rgb="FFCCCCCC"/>
        <rFont val="Menlo"/>
        <family val="2"/>
      </rPr>
      <t xml:space="preserve">: </t>
    </r>
    <r>
      <rPr>
        <sz val="12"/>
        <color rgb="FF569CD6"/>
        <rFont val="Menlo"/>
        <family val="2"/>
      </rPr>
      <t>false</t>
    </r>
    <r>
      <rPr>
        <sz val="12"/>
        <color rgb="FFCCCCCC"/>
        <rFont val="Menlo"/>
        <family val="2"/>
      </rPr>
      <t>,</t>
    </r>
  </si>
  <si>
    <r>
      <t>"strip_top_legend_panel_prefix"</t>
    </r>
    <r>
      <rPr>
        <sz val="12"/>
        <color rgb="FFCCCCCC"/>
        <rFont val="Menlo"/>
        <family val="2"/>
      </rPr>
      <t xml:space="preserve">: </t>
    </r>
    <r>
      <rPr>
        <sz val="12"/>
        <color rgb="FF569CD6"/>
        <rFont val="Menlo"/>
        <family val="2"/>
      </rPr>
      <t>true</t>
    </r>
    <r>
      <rPr>
        <sz val="12"/>
        <color rgb="FFCCCCCC"/>
        <rFont val="Menlo"/>
        <family val="2"/>
      </rPr>
      <t>,</t>
    </r>
  </si>
  <si>
    <r>
      <t>"top_xoffset"</t>
    </r>
    <r>
      <rPr>
        <sz val="12"/>
        <color rgb="FFCCCCCC"/>
        <rFont val="Menlo"/>
        <family val="2"/>
      </rPr>
      <t xml:space="preserve">: </t>
    </r>
    <r>
      <rPr>
        <sz val="12"/>
        <color rgb="FFB5CEA8"/>
        <rFont val="Menlo"/>
        <family val="2"/>
      </rPr>
      <t>0.01</t>
    </r>
    <r>
      <rPr>
        <sz val="12"/>
        <color rgb="FFCCCCCC"/>
        <rFont val="Menlo"/>
        <family val="2"/>
      </rPr>
      <t>,</t>
    </r>
  </si>
  <si>
    <r>
      <t>"top_yoffset"</t>
    </r>
    <r>
      <rPr>
        <sz val="12"/>
        <color rgb="FFCCCCCC"/>
        <rFont val="Menlo"/>
        <family val="2"/>
      </rPr>
      <t xml:space="preserve">: </t>
    </r>
    <r>
      <rPr>
        <sz val="12"/>
        <color rgb="FFB5CEA8"/>
        <rFont val="Menlo"/>
        <family val="2"/>
      </rPr>
      <t>0.03</t>
    </r>
    <r>
      <rPr>
        <sz val="12"/>
        <color rgb="FFCCCCCC"/>
        <rFont val="Menlo"/>
        <family val="2"/>
      </rPr>
      <t>,</t>
    </r>
  </si>
  <si>
    <r>
      <t>"top_ncol"</t>
    </r>
    <r>
      <rPr>
        <sz val="12"/>
        <color rgb="FFCCCCCC"/>
        <rFont val="Menlo"/>
        <family val="2"/>
      </rPr>
      <t xml:space="preserve">: </t>
    </r>
    <r>
      <rPr>
        <sz val="12"/>
        <color rgb="FFB5CEA8"/>
        <rFont val="Menlo"/>
        <family val="2"/>
      </rPr>
      <t>3</t>
    </r>
    <r>
      <rPr>
        <sz val="12"/>
        <color rgb="FFCCCCCC"/>
        <rFont val="Menlo"/>
        <family val="2"/>
      </rPr>
      <t>,</t>
    </r>
  </si>
  <si>
    <r>
      <t>"fontsize"</t>
    </r>
    <r>
      <rPr>
        <sz val="12"/>
        <color rgb="FFCCCCCC"/>
        <rFont val="Menlo"/>
        <family val="2"/>
      </rPr>
      <t xml:space="preserve">: </t>
    </r>
    <r>
      <rPr>
        <sz val="12"/>
        <color rgb="FFB5CEA8"/>
        <rFont val="Menlo"/>
        <family val="2"/>
      </rPr>
      <t>10</t>
    </r>
    <r>
      <rPr>
        <sz val="12"/>
        <color rgb="FFCCCCCC"/>
        <rFont val="Menlo"/>
        <family val="2"/>
      </rPr>
      <t>,</t>
    </r>
  </si>
  <si>
    <r>
      <t>"label_color"</t>
    </r>
    <r>
      <rPr>
        <sz val="12"/>
        <color rgb="FFCCCCCC"/>
        <rFont val="Menlo"/>
        <family val="2"/>
      </rPr>
      <t xml:space="preserve">: </t>
    </r>
    <r>
      <rPr>
        <sz val="12"/>
        <color rgb="FFCE9178"/>
        <rFont val="Menlo"/>
        <family val="2"/>
      </rPr>
      <t>"white"</t>
    </r>
    <r>
      <rPr>
        <sz val="12"/>
        <color rgb="FFCCCCCC"/>
        <rFont val="Menlo"/>
        <family val="2"/>
      </rPr>
      <t>,</t>
    </r>
  </si>
  <si>
    <r>
      <t>"facecolor"</t>
    </r>
    <r>
      <rPr>
        <sz val="12"/>
        <color rgb="FFCCCCCC"/>
        <rFont val="Menlo"/>
        <family val="2"/>
      </rPr>
      <t xml:space="preserve">: </t>
    </r>
    <r>
      <rPr>
        <sz val="12"/>
        <color rgb="FFCE9178"/>
        <rFont val="Menlo"/>
        <family val="2"/>
      </rPr>
      <t>"black"</t>
    </r>
    <r>
      <rPr>
        <sz val="12"/>
        <color rgb="FFCCCCCC"/>
        <rFont val="Menlo"/>
        <family val="2"/>
      </rPr>
      <t>,</t>
    </r>
  </si>
  <si>
    <r>
      <t>"edge_color"</t>
    </r>
    <r>
      <rPr>
        <sz val="12"/>
        <color rgb="FFCCCCCC"/>
        <rFont val="Menlo"/>
        <family val="2"/>
      </rPr>
      <t xml:space="preserve">: </t>
    </r>
    <r>
      <rPr>
        <sz val="12"/>
        <color rgb="FFCE9178"/>
        <rFont val="Menlo"/>
        <family val="2"/>
      </rPr>
      <t>"white"</t>
    </r>
    <r>
      <rPr>
        <sz val="12"/>
        <color rgb="FFCCCCCC"/>
        <rFont val="Menlo"/>
        <family val="2"/>
      </rPr>
      <t>,</t>
    </r>
  </si>
  <si>
    <r>
      <t>"panel_s_offset_x"</t>
    </r>
    <r>
      <rPr>
        <sz val="12"/>
        <color rgb="FFCCCCCC"/>
        <rFont val="Menlo"/>
        <family val="2"/>
      </rPr>
      <t>: {</t>
    </r>
  </si>
  <si>
    <r>
      <t>"0"</t>
    </r>
    <r>
      <rPr>
        <sz val="12"/>
        <color rgb="FFCCCCCC"/>
        <rFont val="Menlo"/>
        <family val="2"/>
      </rPr>
      <t xml:space="preserve">: </t>
    </r>
    <r>
      <rPr>
        <sz val="12"/>
        <color rgb="FFB5CEA8"/>
        <rFont val="Menlo"/>
        <family val="2"/>
      </rPr>
      <t>0.01</t>
    </r>
    <r>
      <rPr>
        <sz val="12"/>
        <color rgb="FFCCCCCC"/>
        <rFont val="Menlo"/>
        <family val="2"/>
      </rPr>
      <t>,</t>
    </r>
  </si>
  <si>
    <r>
      <t>"1"</t>
    </r>
    <r>
      <rPr>
        <sz val="12"/>
        <color rgb="FFCCCCCC"/>
        <rFont val="Menlo"/>
        <family val="2"/>
      </rPr>
      <t xml:space="preserve">: </t>
    </r>
    <r>
      <rPr>
        <sz val="12"/>
        <color rgb="FFB5CEA8"/>
        <rFont val="Menlo"/>
        <family val="2"/>
      </rPr>
      <t>0.01</t>
    </r>
    <r>
      <rPr>
        <sz val="12"/>
        <color rgb="FFCCCCCC"/>
        <rFont val="Menlo"/>
        <family val="2"/>
      </rPr>
      <t>,</t>
    </r>
  </si>
  <si>
    <r>
      <t>"2"</t>
    </r>
    <r>
      <rPr>
        <sz val="12"/>
        <color rgb="FFCCCCCC"/>
        <rFont val="Menlo"/>
        <family val="2"/>
      </rPr>
      <t xml:space="preserve">: </t>
    </r>
    <r>
      <rPr>
        <sz val="12"/>
        <color rgb="FFB5CEA8"/>
        <rFont val="Menlo"/>
        <family val="2"/>
      </rPr>
      <t>0.01</t>
    </r>
    <r>
      <rPr>
        <sz val="12"/>
        <color rgb="FFCCCCCC"/>
        <rFont val="Menlo"/>
        <family val="2"/>
      </rPr>
      <t>,</t>
    </r>
  </si>
  <si>
    <r>
      <t>"3"</t>
    </r>
    <r>
      <rPr>
        <sz val="12"/>
        <color rgb="FFCCCCCC"/>
        <rFont val="Menlo"/>
        <family val="2"/>
      </rPr>
      <t xml:space="preserve">: </t>
    </r>
    <r>
      <rPr>
        <sz val="12"/>
        <color rgb="FFB5CEA8"/>
        <rFont val="Menlo"/>
        <family val="2"/>
      </rPr>
      <t>0.01</t>
    </r>
  </si>
  <si>
    <r>
      <t>"panel_s_offset_y"</t>
    </r>
    <r>
      <rPr>
        <sz val="12"/>
        <color rgb="FFCCCCCC"/>
        <rFont val="Menlo"/>
        <family val="2"/>
      </rPr>
      <t>: {</t>
    </r>
  </si>
  <si>
    <r>
      <t>"0"</t>
    </r>
    <r>
      <rPr>
        <sz val="12"/>
        <color rgb="FFCCCCCC"/>
        <rFont val="Menlo"/>
        <family val="2"/>
      </rPr>
      <t xml:space="preserve">: </t>
    </r>
    <r>
      <rPr>
        <sz val="12"/>
        <color rgb="FFB5CEA8"/>
        <rFont val="Menlo"/>
        <family val="2"/>
      </rPr>
      <t>0.99</t>
    </r>
    <r>
      <rPr>
        <sz val="12"/>
        <color rgb="FFCCCCCC"/>
        <rFont val="Menlo"/>
        <family val="2"/>
      </rPr>
      <t>,</t>
    </r>
  </si>
  <si>
    <r>
      <t>"1"</t>
    </r>
    <r>
      <rPr>
        <sz val="12"/>
        <color rgb="FFCCCCCC"/>
        <rFont val="Menlo"/>
        <family val="2"/>
      </rPr>
      <t xml:space="preserve">: </t>
    </r>
    <r>
      <rPr>
        <sz val="12"/>
        <color rgb="FFB5CEA8"/>
        <rFont val="Menlo"/>
        <family val="2"/>
      </rPr>
      <t>0.99</t>
    </r>
    <r>
      <rPr>
        <sz val="12"/>
        <color rgb="FFCCCCCC"/>
        <rFont val="Menlo"/>
        <family val="2"/>
      </rPr>
      <t>,</t>
    </r>
  </si>
  <si>
    <r>
      <t>"2"</t>
    </r>
    <r>
      <rPr>
        <sz val="12"/>
        <color rgb="FFCCCCCC"/>
        <rFont val="Menlo"/>
        <family val="2"/>
      </rPr>
      <t xml:space="preserve">: </t>
    </r>
    <r>
      <rPr>
        <sz val="12"/>
        <color rgb="FFB5CEA8"/>
        <rFont val="Menlo"/>
        <family val="2"/>
      </rPr>
      <t>0.99</t>
    </r>
    <r>
      <rPr>
        <sz val="12"/>
        <color rgb="FFCCCCCC"/>
        <rFont val="Menlo"/>
        <family val="2"/>
      </rPr>
      <t>,</t>
    </r>
  </si>
  <si>
    <r>
      <t>"3"</t>
    </r>
    <r>
      <rPr>
        <sz val="12"/>
        <color rgb="FFCCCCCC"/>
        <rFont val="Menlo"/>
        <family val="2"/>
      </rPr>
      <t xml:space="preserve">: </t>
    </r>
    <r>
      <rPr>
        <sz val="12"/>
        <color rgb="FFB5CEA8"/>
        <rFont val="Menlo"/>
        <family val="2"/>
      </rPr>
      <t>0.99</t>
    </r>
  </si>
  <si>
    <r>
      <t>"yaxis"</t>
    </r>
    <r>
      <rPr>
        <sz val="12"/>
        <color rgb="FFCCCCCC"/>
        <rFont val="Menlo"/>
        <family val="2"/>
      </rPr>
      <t>: {</t>
    </r>
  </si>
  <si>
    <r>
      <t>"position"</t>
    </r>
    <r>
      <rPr>
        <sz val="12"/>
        <color rgb="FFCCCCCC"/>
        <rFont val="Menlo"/>
        <family val="2"/>
      </rPr>
      <t xml:space="preserve">: </t>
    </r>
    <r>
      <rPr>
        <sz val="12"/>
        <color rgb="FFCE9178"/>
        <rFont val="Menlo"/>
        <family val="2"/>
      </rPr>
      <t>"left"</t>
    </r>
    <r>
      <rPr>
        <sz val="12"/>
        <color rgb="FFCCCCCC"/>
        <rFont val="Menlo"/>
        <family val="2"/>
      </rPr>
      <t>,</t>
    </r>
  </si>
  <si>
    <r>
      <t>"labelsize"</t>
    </r>
    <r>
      <rPr>
        <sz val="12"/>
        <color rgb="FFCCCCCC"/>
        <rFont val="Menlo"/>
        <family val="2"/>
      </rPr>
      <t xml:space="preserve">: </t>
    </r>
    <r>
      <rPr>
        <sz val="12"/>
        <color rgb="FFB5CEA8"/>
        <rFont val="Menlo"/>
        <family val="2"/>
      </rPr>
      <t>12</t>
    </r>
    <r>
      <rPr>
        <sz val="12"/>
        <color rgb="FFCCCCCC"/>
        <rFont val="Menlo"/>
        <family val="2"/>
      </rPr>
      <t>,</t>
    </r>
  </si>
  <si>
    <r>
      <t>"label_rotation"</t>
    </r>
    <r>
      <rPr>
        <sz val="12"/>
        <color rgb="FFCCCCCC"/>
        <rFont val="Menlo"/>
        <family val="2"/>
      </rPr>
      <t xml:space="preserve">: </t>
    </r>
    <r>
      <rPr>
        <sz val="12"/>
        <color rgb="FFB5CEA8"/>
        <rFont val="Menlo"/>
        <family val="2"/>
      </rPr>
      <t>90</t>
    </r>
    <r>
      <rPr>
        <sz val="12"/>
        <color rgb="FFCCCCCC"/>
        <rFont val="Menlo"/>
        <family val="2"/>
      </rPr>
      <t>,</t>
    </r>
  </si>
  <si>
    <r>
      <t>"label_weight"</t>
    </r>
    <r>
      <rPr>
        <sz val="12"/>
        <color rgb="FFCCCCCC"/>
        <rFont val="Menlo"/>
        <family val="2"/>
      </rPr>
      <t xml:space="preserve">: </t>
    </r>
    <r>
      <rPr>
        <sz val="12"/>
        <color rgb="FFCE9178"/>
        <rFont val="Menlo"/>
        <family val="2"/>
      </rPr>
      <t>"bold"</t>
    </r>
    <r>
      <rPr>
        <sz val="12"/>
        <color rgb="FFCCCCCC"/>
        <rFont val="Menlo"/>
        <family val="2"/>
      </rPr>
      <t>,</t>
    </r>
  </si>
  <si>
    <r>
      <t>"label_alpha"</t>
    </r>
    <r>
      <rPr>
        <sz val="12"/>
        <color rgb="FFCCCCCC"/>
        <rFont val="Menlo"/>
        <family val="2"/>
      </rPr>
      <t xml:space="preserve">: </t>
    </r>
    <r>
      <rPr>
        <sz val="12"/>
        <color rgb="FFB5CEA8"/>
        <rFont val="Menlo"/>
        <family val="2"/>
      </rPr>
      <t>0.8</t>
    </r>
  </si>
  <si>
    <r>
      <t>"xaxis"</t>
    </r>
    <r>
      <rPr>
        <sz val="12"/>
        <color rgb="FFCCCCCC"/>
        <rFont val="Menlo"/>
        <family val="2"/>
      </rPr>
      <t>: {</t>
    </r>
  </si>
  <si>
    <r>
      <t>"label_rotation"</t>
    </r>
    <r>
      <rPr>
        <sz val="12"/>
        <color rgb="FFCCCCCC"/>
        <rFont val="Menlo"/>
        <family val="2"/>
      </rPr>
      <t xml:space="preserve">: </t>
    </r>
    <r>
      <rPr>
        <sz val="12"/>
        <color rgb="FFB5CEA8"/>
        <rFont val="Menlo"/>
        <family val="2"/>
      </rPr>
      <t>0</t>
    </r>
    <r>
      <rPr>
        <sz val="12"/>
        <color rgb="FFCCCCCC"/>
        <rFont val="Menlo"/>
        <family val="2"/>
      </rPr>
      <t>,</t>
    </r>
  </si>
  <si>
    <r>
      <t>"panels"</t>
    </r>
    <r>
      <rPr>
        <sz val="12"/>
        <color rgb="FFCCCCCC"/>
        <rFont val="Menlo"/>
        <family val="2"/>
      </rPr>
      <t>: {</t>
    </r>
  </si>
  <si>
    <r>
      <t>"1"</t>
    </r>
    <r>
      <rPr>
        <sz val="12"/>
        <color rgb="FFCCCCCC"/>
        <rFont val="Menlo"/>
        <family val="2"/>
      </rPr>
      <t xml:space="preserve">: { </t>
    </r>
    <r>
      <rPr>
        <sz val="12"/>
        <color rgb="FF9CDCFE"/>
        <rFont val="Menlo"/>
        <family val="2"/>
      </rPr>
      <t>"ylim"</t>
    </r>
    <r>
      <rPr>
        <sz val="12"/>
        <color rgb="FFCCCCCC"/>
        <rFont val="Menlo"/>
        <family val="2"/>
      </rPr>
      <t>: {</t>
    </r>
    <r>
      <rPr>
        <sz val="12"/>
        <color rgb="FF9CDCFE"/>
        <rFont val="Menlo"/>
        <family val="2"/>
      </rPr>
      <t>"enabled"</t>
    </r>
    <r>
      <rPr>
        <sz val="12"/>
        <color rgb="FFCCCCCC"/>
        <rFont val="Menlo"/>
        <family val="2"/>
      </rPr>
      <t xml:space="preserve">: </t>
    </r>
    <r>
      <rPr>
        <sz val="12"/>
        <color rgb="FF569CD6"/>
        <rFont val="Menlo"/>
        <family val="2"/>
      </rPr>
      <t>true</t>
    </r>
    <r>
      <rPr>
        <sz val="12"/>
        <color rgb="FFCCCCCC"/>
        <rFont val="Menlo"/>
        <family val="2"/>
      </rPr>
      <t xml:space="preserve">, </t>
    </r>
    <r>
      <rPr>
        <sz val="12"/>
        <color rgb="FF9CDCFE"/>
        <rFont val="Menlo"/>
        <family val="2"/>
      </rPr>
      <t>"ymin"</t>
    </r>
    <r>
      <rPr>
        <sz val="12"/>
        <color rgb="FFCCCCCC"/>
        <rFont val="Menlo"/>
        <family val="2"/>
      </rPr>
      <t xml:space="preserve">: </t>
    </r>
    <r>
      <rPr>
        <sz val="12"/>
        <color rgb="FFB5CEA8"/>
        <rFont val="Menlo"/>
        <family val="2"/>
      </rPr>
      <t>-1.0</t>
    </r>
    <r>
      <rPr>
        <sz val="12"/>
        <color rgb="FFCCCCCC"/>
        <rFont val="Menlo"/>
        <family val="2"/>
      </rPr>
      <t xml:space="preserve">, </t>
    </r>
    <r>
      <rPr>
        <sz val="12"/>
        <color rgb="FF9CDCFE"/>
        <rFont val="Menlo"/>
        <family val="2"/>
      </rPr>
      <t>"ymax"</t>
    </r>
    <r>
      <rPr>
        <sz val="12"/>
        <color rgb="FFCCCCCC"/>
        <rFont val="Menlo"/>
        <family val="2"/>
      </rPr>
      <t xml:space="preserve">: </t>
    </r>
    <r>
      <rPr>
        <sz val="12"/>
        <color rgb="FFB5CEA8"/>
        <rFont val="Menlo"/>
        <family val="2"/>
      </rPr>
      <t>1.0</t>
    </r>
    <r>
      <rPr>
        <sz val="12"/>
        <color rgb="FFCCCCCC"/>
        <rFont val="Menlo"/>
        <family val="2"/>
      </rPr>
      <t xml:space="preserve">, </t>
    </r>
    <r>
      <rPr>
        <sz val="12"/>
        <color rgb="FF9CDCFE"/>
        <rFont val="Menlo"/>
        <family val="2"/>
      </rPr>
      <t>"display_factor"</t>
    </r>
    <r>
      <rPr>
        <sz val="12"/>
        <color rgb="FFCCCCCC"/>
        <rFont val="Menlo"/>
        <family val="2"/>
      </rPr>
      <t xml:space="preserve">: </t>
    </r>
    <r>
      <rPr>
        <sz val="12"/>
        <color rgb="FFB5CEA8"/>
        <rFont val="Menlo"/>
        <family val="2"/>
      </rPr>
      <t>1.0</t>
    </r>
    <r>
      <rPr>
        <sz val="12"/>
        <color rgb="FFCCCCCC"/>
        <rFont val="Menlo"/>
        <family val="2"/>
      </rPr>
      <t>},</t>
    </r>
  </si>
  <si>
    <r>
      <t>"show_zero_line"</t>
    </r>
    <r>
      <rPr>
        <sz val="12"/>
        <color rgb="FFCCCCCC"/>
        <rFont val="Menlo"/>
        <family val="2"/>
      </rPr>
      <t xml:space="preserve">: </t>
    </r>
    <r>
      <rPr>
        <sz val="12"/>
        <color rgb="FF569CD6"/>
        <rFont val="Menlo"/>
        <family val="2"/>
      </rPr>
      <t>false</t>
    </r>
    <r>
      <rPr>
        <sz val="12"/>
        <color rgb="FFCCCCCC"/>
        <rFont val="Menlo"/>
        <family val="2"/>
      </rPr>
      <t xml:space="preserve">, </t>
    </r>
    <r>
      <rPr>
        <sz val="12"/>
        <color rgb="FF9CDCFE"/>
        <rFont val="Menlo"/>
        <family val="2"/>
      </rPr>
      <t>"show_y_labels"</t>
    </r>
    <r>
      <rPr>
        <sz val="12"/>
        <color rgb="FFCCCCCC"/>
        <rFont val="Menlo"/>
        <family val="2"/>
      </rPr>
      <t xml:space="preserve">: </t>
    </r>
    <r>
      <rPr>
        <sz val="12"/>
        <color rgb="FF569CD6"/>
        <rFont val="Menlo"/>
        <family val="2"/>
      </rPr>
      <t>true</t>
    </r>
  </si>
  <si>
    <r>
      <t>"2"</t>
    </r>
    <r>
      <rPr>
        <sz val="12"/>
        <color rgb="FFCCCCCC"/>
        <rFont val="Menlo"/>
        <family val="2"/>
      </rPr>
      <t xml:space="preserve">: { </t>
    </r>
    <r>
      <rPr>
        <sz val="12"/>
        <color rgb="FF9CDCFE"/>
        <rFont val="Menlo"/>
        <family val="2"/>
      </rPr>
      <t>"ylim"</t>
    </r>
    <r>
      <rPr>
        <sz val="12"/>
        <color rgb="FFCCCCCC"/>
        <rFont val="Menlo"/>
        <family val="2"/>
      </rPr>
      <t>: {</t>
    </r>
    <r>
      <rPr>
        <sz val="12"/>
        <color rgb="FF9CDCFE"/>
        <rFont val="Menlo"/>
        <family val="2"/>
      </rPr>
      <t>"enabled"</t>
    </r>
    <r>
      <rPr>
        <sz val="12"/>
        <color rgb="FFCCCCCC"/>
        <rFont val="Menlo"/>
        <family val="2"/>
      </rPr>
      <t xml:space="preserve">: </t>
    </r>
    <r>
      <rPr>
        <sz val="12"/>
        <color rgb="FF569CD6"/>
        <rFont val="Menlo"/>
        <family val="2"/>
      </rPr>
      <t>true</t>
    </r>
    <r>
      <rPr>
        <sz val="12"/>
        <color rgb="FFCCCCCC"/>
        <rFont val="Menlo"/>
        <family val="2"/>
      </rPr>
      <t xml:space="preserve">, </t>
    </r>
    <r>
      <rPr>
        <sz val="12"/>
        <color rgb="FF9CDCFE"/>
        <rFont val="Menlo"/>
        <family val="2"/>
      </rPr>
      <t>"ymin"</t>
    </r>
    <r>
      <rPr>
        <sz val="12"/>
        <color rgb="FFCCCCCC"/>
        <rFont val="Menlo"/>
        <family val="2"/>
      </rPr>
      <t xml:space="preserve">: </t>
    </r>
    <r>
      <rPr>
        <sz val="12"/>
        <color rgb="FFB5CEA8"/>
        <rFont val="Menlo"/>
        <family val="2"/>
      </rPr>
      <t>-1.0</t>
    </r>
    <r>
      <rPr>
        <sz val="12"/>
        <color rgb="FFCCCCCC"/>
        <rFont val="Menlo"/>
        <family val="2"/>
      </rPr>
      <t xml:space="preserve">, </t>
    </r>
    <r>
      <rPr>
        <sz val="12"/>
        <color rgb="FF9CDCFE"/>
        <rFont val="Menlo"/>
        <family val="2"/>
      </rPr>
      <t>"ymax"</t>
    </r>
    <r>
      <rPr>
        <sz val="12"/>
        <color rgb="FFCCCCCC"/>
        <rFont val="Menlo"/>
        <family val="2"/>
      </rPr>
      <t xml:space="preserve">: </t>
    </r>
    <r>
      <rPr>
        <sz val="12"/>
        <color rgb="FFB5CEA8"/>
        <rFont val="Menlo"/>
        <family val="2"/>
      </rPr>
      <t>1.0</t>
    </r>
    <r>
      <rPr>
        <sz val="12"/>
        <color rgb="FFCCCCCC"/>
        <rFont val="Menlo"/>
        <family val="2"/>
      </rPr>
      <t xml:space="preserve">, </t>
    </r>
    <r>
      <rPr>
        <sz val="12"/>
        <color rgb="FF9CDCFE"/>
        <rFont val="Menlo"/>
        <family val="2"/>
      </rPr>
      <t>"display_factor"</t>
    </r>
    <r>
      <rPr>
        <sz val="12"/>
        <color rgb="FFCCCCCC"/>
        <rFont val="Menlo"/>
        <family val="2"/>
      </rPr>
      <t xml:space="preserve">: </t>
    </r>
    <r>
      <rPr>
        <sz val="12"/>
        <color rgb="FFB5CEA8"/>
        <rFont val="Menlo"/>
        <family val="2"/>
      </rPr>
      <t>1.0</t>
    </r>
    <r>
      <rPr>
        <sz val="12"/>
        <color rgb="FFCCCCCC"/>
        <rFont val="Menlo"/>
        <family val="2"/>
      </rPr>
      <t>},</t>
    </r>
  </si>
  <si>
    <r>
      <t>"3"</t>
    </r>
    <r>
      <rPr>
        <sz val="12"/>
        <color rgb="FFCCCCCC"/>
        <rFont val="Menlo"/>
        <family val="2"/>
      </rPr>
      <t xml:space="preserve">: { </t>
    </r>
    <r>
      <rPr>
        <sz val="12"/>
        <color rgb="FF9CDCFE"/>
        <rFont val="Menlo"/>
        <family val="2"/>
      </rPr>
      <t>"ylim"</t>
    </r>
    <r>
      <rPr>
        <sz val="12"/>
        <color rgb="FFCCCCCC"/>
        <rFont val="Menlo"/>
        <family val="2"/>
      </rPr>
      <t>: {</t>
    </r>
    <r>
      <rPr>
        <sz val="12"/>
        <color rgb="FF9CDCFE"/>
        <rFont val="Menlo"/>
        <family val="2"/>
      </rPr>
      <t>"enabled"</t>
    </r>
    <r>
      <rPr>
        <sz val="12"/>
        <color rgb="FFCCCCCC"/>
        <rFont val="Menlo"/>
        <family val="2"/>
      </rPr>
      <t xml:space="preserve">: </t>
    </r>
    <r>
      <rPr>
        <sz val="12"/>
        <color rgb="FF569CD6"/>
        <rFont val="Menlo"/>
        <family val="2"/>
      </rPr>
      <t>true</t>
    </r>
    <r>
      <rPr>
        <sz val="12"/>
        <color rgb="FFCCCCCC"/>
        <rFont val="Menlo"/>
        <family val="2"/>
      </rPr>
      <t xml:space="preserve">, </t>
    </r>
    <r>
      <rPr>
        <sz val="12"/>
        <color rgb="FF9CDCFE"/>
        <rFont val="Menlo"/>
        <family val="2"/>
      </rPr>
      <t>"ymin"</t>
    </r>
    <r>
      <rPr>
        <sz val="12"/>
        <color rgb="FFCCCCCC"/>
        <rFont val="Menlo"/>
        <family val="2"/>
      </rPr>
      <t xml:space="preserve">: </t>
    </r>
    <r>
      <rPr>
        <sz val="12"/>
        <color rgb="FFB5CEA8"/>
        <rFont val="Menlo"/>
        <family val="2"/>
      </rPr>
      <t>-1.0</t>
    </r>
    <r>
      <rPr>
        <sz val="12"/>
        <color rgb="FFCCCCCC"/>
        <rFont val="Menlo"/>
        <family val="2"/>
      </rPr>
      <t xml:space="preserve">, </t>
    </r>
    <r>
      <rPr>
        <sz val="12"/>
        <color rgb="FF9CDCFE"/>
        <rFont val="Menlo"/>
        <family val="2"/>
      </rPr>
      <t>"ymax"</t>
    </r>
    <r>
      <rPr>
        <sz val="12"/>
        <color rgb="FFCCCCCC"/>
        <rFont val="Menlo"/>
        <family val="2"/>
      </rPr>
      <t xml:space="preserve">: </t>
    </r>
    <r>
      <rPr>
        <sz val="12"/>
        <color rgb="FFB5CEA8"/>
        <rFont val="Menlo"/>
        <family val="2"/>
      </rPr>
      <t>1.0</t>
    </r>
    <r>
      <rPr>
        <sz val="12"/>
        <color rgb="FFCCCCCC"/>
        <rFont val="Menlo"/>
        <family val="2"/>
      </rPr>
      <t xml:space="preserve">, </t>
    </r>
    <r>
      <rPr>
        <sz val="12"/>
        <color rgb="FF9CDCFE"/>
        <rFont val="Menlo"/>
        <family val="2"/>
      </rPr>
      <t>"display_factor"</t>
    </r>
    <r>
      <rPr>
        <sz val="12"/>
        <color rgb="FFCCCCCC"/>
        <rFont val="Menlo"/>
        <family val="2"/>
      </rPr>
      <t xml:space="preserve">: </t>
    </r>
    <r>
      <rPr>
        <sz val="12"/>
        <color rgb="FFB5CEA8"/>
        <rFont val="Menlo"/>
        <family val="2"/>
      </rPr>
      <t>1.0</t>
    </r>
    <r>
      <rPr>
        <sz val="12"/>
        <color rgb="FFCCCCCC"/>
        <rFont val="Menlo"/>
        <family val="2"/>
      </rPr>
      <t>},</t>
    </r>
  </si>
  <si>
    <r>
      <t>"4"</t>
    </r>
    <r>
      <rPr>
        <sz val="12"/>
        <color rgb="FFCCCCCC"/>
        <rFont val="Menlo"/>
        <family val="2"/>
      </rPr>
      <t xml:space="preserve">: { </t>
    </r>
    <r>
      <rPr>
        <sz val="12"/>
        <color rgb="FF9CDCFE"/>
        <rFont val="Menlo"/>
        <family val="2"/>
      </rPr>
      <t>"ylim"</t>
    </r>
    <r>
      <rPr>
        <sz val="12"/>
        <color rgb="FFCCCCCC"/>
        <rFont val="Menlo"/>
        <family val="2"/>
      </rPr>
      <t>: {</t>
    </r>
    <r>
      <rPr>
        <sz val="12"/>
        <color rgb="FF9CDCFE"/>
        <rFont val="Menlo"/>
        <family val="2"/>
      </rPr>
      <t>"enabled"</t>
    </r>
    <r>
      <rPr>
        <sz val="12"/>
        <color rgb="FFCCCCCC"/>
        <rFont val="Menlo"/>
        <family val="2"/>
      </rPr>
      <t xml:space="preserve">: </t>
    </r>
    <r>
      <rPr>
        <sz val="12"/>
        <color rgb="FF569CD6"/>
        <rFont val="Menlo"/>
        <family val="2"/>
      </rPr>
      <t>true</t>
    </r>
    <r>
      <rPr>
        <sz val="12"/>
        <color rgb="FFCCCCCC"/>
        <rFont val="Menlo"/>
        <family val="2"/>
      </rPr>
      <t xml:space="preserve">, </t>
    </r>
    <r>
      <rPr>
        <sz val="12"/>
        <color rgb="FF9CDCFE"/>
        <rFont val="Menlo"/>
        <family val="2"/>
      </rPr>
      <t>"ymin"</t>
    </r>
    <r>
      <rPr>
        <sz val="12"/>
        <color rgb="FFCCCCCC"/>
        <rFont val="Menlo"/>
        <family val="2"/>
      </rPr>
      <t xml:space="preserve">: </t>
    </r>
    <r>
      <rPr>
        <sz val="12"/>
        <color rgb="FFB5CEA8"/>
        <rFont val="Menlo"/>
        <family val="2"/>
      </rPr>
      <t>-1.0</t>
    </r>
    <r>
      <rPr>
        <sz val="12"/>
        <color rgb="FFCCCCCC"/>
        <rFont val="Menlo"/>
        <family val="2"/>
      </rPr>
      <t xml:space="preserve">, </t>
    </r>
    <r>
      <rPr>
        <sz val="12"/>
        <color rgb="FF9CDCFE"/>
        <rFont val="Menlo"/>
        <family val="2"/>
      </rPr>
      <t>"ymax"</t>
    </r>
    <r>
      <rPr>
        <sz val="12"/>
        <color rgb="FFCCCCCC"/>
        <rFont val="Menlo"/>
        <family val="2"/>
      </rPr>
      <t xml:space="preserve">: </t>
    </r>
    <r>
      <rPr>
        <sz val="12"/>
        <color rgb="FFB5CEA8"/>
        <rFont val="Menlo"/>
        <family val="2"/>
      </rPr>
      <t>1.0</t>
    </r>
    <r>
      <rPr>
        <sz val="12"/>
        <color rgb="FFCCCCCC"/>
        <rFont val="Menlo"/>
        <family val="2"/>
      </rPr>
      <t xml:space="preserve">, </t>
    </r>
    <r>
      <rPr>
        <sz val="12"/>
        <color rgb="FF9CDCFE"/>
        <rFont val="Menlo"/>
        <family val="2"/>
      </rPr>
      <t>"display_factor"</t>
    </r>
    <r>
      <rPr>
        <sz val="12"/>
        <color rgb="FFCCCCCC"/>
        <rFont val="Menlo"/>
        <family val="2"/>
      </rPr>
      <t xml:space="preserve">: </t>
    </r>
    <r>
      <rPr>
        <sz val="12"/>
        <color rgb="FFB5CEA8"/>
        <rFont val="Menlo"/>
        <family val="2"/>
      </rPr>
      <t>1.0</t>
    </r>
    <r>
      <rPr>
        <sz val="12"/>
        <color rgb="FFCCCCCC"/>
        <rFont val="Menlo"/>
        <family val="2"/>
      </rPr>
      <t>},</t>
    </r>
  </si>
  <si>
    <r>
      <t>"scale_padding"</t>
    </r>
    <r>
      <rPr>
        <sz val="12"/>
        <color rgb="FFCCCCCC"/>
        <rFont val="Menlo"/>
        <family val="2"/>
      </rPr>
      <t>: {</t>
    </r>
  </si>
  <si>
    <r>
      <t>"left"</t>
    </r>
    <r>
      <rPr>
        <sz val="12"/>
        <color rgb="FFCCCCCC"/>
        <rFont val="Menlo"/>
        <family val="2"/>
      </rPr>
      <t xml:space="preserve">: </t>
    </r>
    <r>
      <rPr>
        <sz val="12"/>
        <color rgb="FFB5CEA8"/>
        <rFont val="Menlo"/>
        <family val="2"/>
      </rPr>
      <t>0.75</t>
    </r>
    <r>
      <rPr>
        <sz val="12"/>
        <color rgb="FFCCCCCC"/>
        <rFont val="Menlo"/>
        <family val="2"/>
      </rPr>
      <t xml:space="preserve">, </t>
    </r>
    <r>
      <rPr>
        <sz val="12"/>
        <color rgb="FF9CDCFE"/>
        <rFont val="Menlo"/>
        <family val="2"/>
      </rPr>
      <t>"right"</t>
    </r>
    <r>
      <rPr>
        <sz val="12"/>
        <color rgb="FFCCCCCC"/>
        <rFont val="Menlo"/>
        <family val="2"/>
      </rPr>
      <t xml:space="preserve">: </t>
    </r>
    <r>
      <rPr>
        <sz val="12"/>
        <color rgb="FFB5CEA8"/>
        <rFont val="Menlo"/>
        <family val="2"/>
      </rPr>
      <t>0.75</t>
    </r>
    <r>
      <rPr>
        <sz val="12"/>
        <color rgb="FFCCCCCC"/>
        <rFont val="Menlo"/>
        <family val="2"/>
      </rPr>
      <t>,</t>
    </r>
  </si>
  <si>
    <r>
      <t>"top"</t>
    </r>
    <r>
      <rPr>
        <sz val="12"/>
        <color rgb="FFCCCCCC"/>
        <rFont val="Menlo"/>
        <family val="2"/>
      </rPr>
      <t xml:space="preserve">: </t>
    </r>
    <r>
      <rPr>
        <sz val="12"/>
        <color rgb="FFB5CEA8"/>
        <rFont val="Menlo"/>
        <family val="2"/>
      </rPr>
      <t>0.75</t>
    </r>
    <r>
      <rPr>
        <sz val="12"/>
        <color rgb="FFCCCCCC"/>
        <rFont val="Menlo"/>
        <family val="2"/>
      </rPr>
      <t xml:space="preserve">, </t>
    </r>
    <r>
      <rPr>
        <sz val="12"/>
        <color rgb="FF9CDCFE"/>
        <rFont val="Menlo"/>
        <family val="2"/>
      </rPr>
      <t>"bottom"</t>
    </r>
    <r>
      <rPr>
        <sz val="12"/>
        <color rgb="FFCCCCCC"/>
        <rFont val="Menlo"/>
        <family val="2"/>
      </rPr>
      <t xml:space="preserve">: </t>
    </r>
    <r>
      <rPr>
        <sz val="12"/>
        <color rgb="FFB5CEA8"/>
        <rFont val="Menlo"/>
        <family val="2"/>
      </rPr>
      <t>0.75</t>
    </r>
  </si>
  <si>
    <r>
      <t>"panel_ratios"</t>
    </r>
    <r>
      <rPr>
        <sz val="12"/>
        <color rgb="FFCCCCCC"/>
        <rFont val="Menlo"/>
        <family val="2"/>
      </rPr>
      <t>: [</t>
    </r>
    <r>
      <rPr>
        <sz val="12"/>
        <color rgb="FFB5CEA8"/>
        <rFont val="Menlo"/>
        <family val="2"/>
      </rPr>
      <t>10</t>
    </r>
    <r>
      <rPr>
        <sz val="12"/>
        <color rgb="FFCCCCCC"/>
        <rFont val="Menlo"/>
        <family val="2"/>
      </rPr>
      <t xml:space="preserve">, </t>
    </r>
    <r>
      <rPr>
        <sz val="12"/>
        <color rgb="FFB5CEA8"/>
        <rFont val="Menlo"/>
        <family val="2"/>
      </rPr>
      <t>2</t>
    </r>
    <r>
      <rPr>
        <sz val="12"/>
        <color rgb="FFCCCCCC"/>
        <rFont val="Menlo"/>
        <family val="2"/>
      </rPr>
      <t xml:space="preserve">, </t>
    </r>
    <r>
      <rPr>
        <sz val="12"/>
        <color rgb="FFB5CEA8"/>
        <rFont val="Menlo"/>
        <family val="2"/>
      </rPr>
      <t>2</t>
    </r>
    <r>
      <rPr>
        <sz val="12"/>
        <color rgb="FFCCCCCC"/>
        <rFont val="Menlo"/>
        <family val="2"/>
      </rPr>
      <t xml:space="preserve">, </t>
    </r>
    <r>
      <rPr>
        <sz val="12"/>
        <color rgb="FFB5CEA8"/>
        <rFont val="Menlo"/>
        <family val="2"/>
      </rPr>
      <t>1</t>
    </r>
    <r>
      <rPr>
        <sz val="12"/>
        <color rgb="FFCCCCCC"/>
        <rFont val="Menlo"/>
        <family val="2"/>
      </rPr>
      <t>],</t>
    </r>
  </si>
  <si>
    <r>
      <t>"indicator_sequence"</t>
    </r>
    <r>
      <rPr>
        <sz val="12"/>
        <color rgb="FFCCCCCC"/>
        <rFont val="Menlo"/>
        <family val="2"/>
      </rPr>
      <t>: [</t>
    </r>
    <r>
      <rPr>
        <sz val="12"/>
        <color rgb="FFCE9178"/>
        <rFont val="Menlo"/>
        <family val="2"/>
      </rPr>
      <t>"macd"</t>
    </r>
    <r>
      <rPr>
        <sz val="12"/>
        <color rgb="FFCCCCCC"/>
        <rFont val="Menlo"/>
        <family val="2"/>
      </rPr>
      <t xml:space="preserve">, </t>
    </r>
    <r>
      <rPr>
        <sz val="12"/>
        <color rgb="FFCE9178"/>
        <rFont val="Menlo"/>
        <family val="2"/>
      </rPr>
      <t>"cci"</t>
    </r>
    <r>
      <rPr>
        <sz val="12"/>
        <color rgb="FFCCCCCC"/>
        <rFont val="Menlo"/>
        <family val="2"/>
      </rPr>
      <t xml:space="preserve">, </t>
    </r>
    <r>
      <rPr>
        <sz val="12"/>
        <color rgb="FFCE9178"/>
        <rFont val="Menlo"/>
        <family val="2"/>
      </rPr>
      <t>"rsi"</t>
    </r>
    <r>
      <rPr>
        <sz val="12"/>
        <color rgb="FFCCCCCC"/>
        <rFont val="Menlo"/>
        <family val="2"/>
      </rPr>
      <t xml:space="preserve">, </t>
    </r>
    <r>
      <rPr>
        <sz val="12"/>
        <color rgb="FFCE9178"/>
        <rFont val="Menlo"/>
        <family val="2"/>
      </rPr>
      <t>"atr"</t>
    </r>
    <r>
      <rPr>
        <sz val="12"/>
        <color rgb="FFCCCCCC"/>
        <rFont val="Menlo"/>
        <family val="2"/>
      </rPr>
      <t xml:space="preserve">, </t>
    </r>
    <r>
      <rPr>
        <sz val="12"/>
        <color rgb="FFCE9178"/>
        <rFont val="Menlo"/>
        <family val="2"/>
      </rPr>
      <t>"stoch"</t>
    </r>
    <r>
      <rPr>
        <sz val="12"/>
        <color rgb="FFCCCCCC"/>
        <rFont val="Menlo"/>
        <family val="2"/>
      </rPr>
      <t xml:space="preserve">, </t>
    </r>
    <r>
      <rPr>
        <sz val="12"/>
        <color rgb="FFCE9178"/>
        <rFont val="Menlo"/>
        <family val="2"/>
      </rPr>
      <t>"adx"</t>
    </r>
    <r>
      <rPr>
        <sz val="12"/>
        <color rgb="FFCCCCCC"/>
        <rFont val="Menlo"/>
        <family val="2"/>
      </rPr>
      <t>],</t>
    </r>
  </si>
  <si>
    <r>
      <t>"figsize"</t>
    </r>
    <r>
      <rPr>
        <sz val="12"/>
        <color rgb="FFCCCCCC"/>
        <rFont val="Menlo"/>
        <family val="2"/>
      </rPr>
      <t>: [</t>
    </r>
    <r>
      <rPr>
        <sz val="12"/>
        <color rgb="FFB5CEA8"/>
        <rFont val="Menlo"/>
        <family val="2"/>
      </rPr>
      <t>12.8</t>
    </r>
    <r>
      <rPr>
        <sz val="12"/>
        <color rgb="FFCCCCCC"/>
        <rFont val="Menlo"/>
        <family val="2"/>
      </rPr>
      <t xml:space="preserve">, </t>
    </r>
    <r>
      <rPr>
        <sz val="12"/>
        <color rgb="FFB5CEA8"/>
        <rFont val="Menlo"/>
        <family val="2"/>
      </rPr>
      <t>7.2</t>
    </r>
    <r>
      <rPr>
        <sz val="12"/>
        <color rgb="FFCCCCCC"/>
        <rFont val="Menlo"/>
        <family val="2"/>
      </rPr>
      <t>],</t>
    </r>
  </si>
  <si>
    <r>
      <t>"dpi"</t>
    </r>
    <r>
      <rPr>
        <sz val="12"/>
        <color rgb="FFCCCCCC"/>
        <rFont val="Menlo"/>
        <family val="2"/>
      </rPr>
      <t xml:space="preserve">: </t>
    </r>
    <r>
      <rPr>
        <sz val="12"/>
        <color rgb="FFB5CEA8"/>
        <rFont val="Menlo"/>
        <family val="2"/>
      </rPr>
      <t>100</t>
    </r>
    <r>
      <rPr>
        <sz val="12"/>
        <color rgb="FFCCCCCC"/>
        <rFont val="Menlo"/>
        <family val="2"/>
      </rPr>
      <t>,</t>
    </r>
  </si>
  <si>
    <r>
      <t>"figscale"</t>
    </r>
    <r>
      <rPr>
        <sz val="12"/>
        <color rgb="FFCCCCCC"/>
        <rFont val="Menlo"/>
        <family val="2"/>
      </rPr>
      <t xml:space="preserve">: </t>
    </r>
    <r>
      <rPr>
        <sz val="12"/>
        <color rgb="FFB5CEA8"/>
        <rFont val="Menlo"/>
        <family val="2"/>
      </rPr>
      <t>1.25</t>
    </r>
    <r>
      <rPr>
        <sz val="12"/>
        <color rgb="FFCCCCCC"/>
        <rFont val="Menlo"/>
        <family val="2"/>
      </rPr>
      <t>,</t>
    </r>
  </si>
  <si>
    <r>
      <t>"figratio"</t>
    </r>
    <r>
      <rPr>
        <sz val="12"/>
        <color rgb="FFCCCCCC"/>
        <rFont val="Menlo"/>
        <family val="2"/>
      </rPr>
      <t>: [</t>
    </r>
    <r>
      <rPr>
        <sz val="12"/>
        <color rgb="FFB5CEA8"/>
        <rFont val="Menlo"/>
        <family val="2"/>
      </rPr>
      <t>16</t>
    </r>
    <r>
      <rPr>
        <sz val="12"/>
        <color rgb="FFCCCCCC"/>
        <rFont val="Menlo"/>
        <family val="2"/>
      </rPr>
      <t xml:space="preserve">, </t>
    </r>
    <r>
      <rPr>
        <sz val="12"/>
        <color rgb="FFB5CEA8"/>
        <rFont val="Menlo"/>
        <family val="2"/>
      </rPr>
      <t>9</t>
    </r>
    <r>
      <rPr>
        <sz val="12"/>
        <color rgb="FFCCCCCC"/>
        <rFont val="Menlo"/>
        <family val="2"/>
      </rPr>
      <t>],</t>
    </r>
  </si>
  <si>
    <r>
      <t>"style"</t>
    </r>
    <r>
      <rPr>
        <sz val="12"/>
        <color rgb="FFCCCCCC"/>
        <rFont val="Menlo"/>
        <family val="2"/>
      </rPr>
      <t xml:space="preserve">: </t>
    </r>
    <r>
      <rPr>
        <sz val="12"/>
        <color rgb="FFCE9178"/>
        <rFont val="Menlo"/>
        <family val="2"/>
      </rPr>
      <t>"charles"</t>
    </r>
    <r>
      <rPr>
        <sz val="12"/>
        <color rgb="FFCCCCCC"/>
        <rFont val="Menlo"/>
        <family val="2"/>
      </rPr>
      <t>,</t>
    </r>
  </si>
  <si>
    <r>
      <t>"background_color"</t>
    </r>
    <r>
      <rPr>
        <sz val="12"/>
        <color rgb="FFCCCCCC"/>
        <rFont val="Menlo"/>
        <family val="2"/>
      </rPr>
      <t xml:space="preserve">: </t>
    </r>
    <r>
      <rPr>
        <sz val="12"/>
        <color rgb="FFCE9178"/>
        <rFont val="Menlo"/>
        <family val="2"/>
      </rPr>
      <t>"black"</t>
    </r>
    <r>
      <rPr>
        <sz val="12"/>
        <color rgb="FFCCCCCC"/>
        <rFont val="Menlo"/>
        <family val="2"/>
      </rPr>
      <t>,</t>
    </r>
  </si>
  <si>
    <r>
      <t>"font_size"</t>
    </r>
    <r>
      <rPr>
        <sz val="12"/>
        <color rgb="FFCCCCCC"/>
        <rFont val="Menlo"/>
        <family val="2"/>
      </rPr>
      <t xml:space="preserve">: </t>
    </r>
    <r>
      <rPr>
        <sz val="12"/>
        <color rgb="FFB5CEA8"/>
        <rFont val="Menlo"/>
        <family val="2"/>
      </rPr>
      <t>12</t>
    </r>
    <r>
      <rPr>
        <sz val="12"/>
        <color rgb="FFCCCCCC"/>
        <rFont val="Menlo"/>
        <family val="2"/>
      </rPr>
      <t xml:space="preserve">, </t>
    </r>
  </si>
  <si>
    <r>
      <t>"candlestick"</t>
    </r>
    <r>
      <rPr>
        <sz val="12"/>
        <color rgb="FFCCCCCC"/>
        <rFont val="Menlo"/>
        <family val="2"/>
      </rPr>
      <t>: {</t>
    </r>
  </si>
  <si>
    <r>
      <t>"up_color"</t>
    </r>
    <r>
      <rPr>
        <sz val="12"/>
        <color rgb="FFCCCCCC"/>
        <rFont val="Menlo"/>
        <family val="2"/>
      </rPr>
      <t xml:space="preserve">: </t>
    </r>
    <r>
      <rPr>
        <sz val="12"/>
        <color rgb="FFCE9178"/>
        <rFont val="Menlo"/>
        <family val="2"/>
      </rPr>
      <t>"white"</t>
    </r>
    <r>
      <rPr>
        <sz val="12"/>
        <color rgb="FFCCCCCC"/>
        <rFont val="Menlo"/>
        <family val="2"/>
      </rPr>
      <t>,</t>
    </r>
  </si>
  <si>
    <r>
      <t>"down_color"</t>
    </r>
    <r>
      <rPr>
        <sz val="12"/>
        <color rgb="FFCCCCCC"/>
        <rFont val="Menlo"/>
        <family val="2"/>
      </rPr>
      <t xml:space="preserve">: </t>
    </r>
    <r>
      <rPr>
        <sz val="12"/>
        <color rgb="FFCE9178"/>
        <rFont val="Menlo"/>
        <family val="2"/>
      </rPr>
      <t>"gray"</t>
    </r>
    <r>
      <rPr>
        <sz val="12"/>
        <color rgb="FFCCCCCC"/>
        <rFont val="Menlo"/>
        <family val="2"/>
      </rPr>
      <t>,</t>
    </r>
  </si>
  <si>
    <r>
      <t>"wick_color_up"</t>
    </r>
    <r>
      <rPr>
        <sz val="12"/>
        <color rgb="FFCCCCCC"/>
        <rFont val="Menlo"/>
        <family val="2"/>
      </rPr>
      <t xml:space="preserve">: </t>
    </r>
    <r>
      <rPr>
        <sz val="12"/>
        <color rgb="FFCE9178"/>
        <rFont val="Menlo"/>
        <family val="2"/>
      </rPr>
      <t>"white"</t>
    </r>
    <r>
      <rPr>
        <sz val="12"/>
        <color rgb="FFCCCCCC"/>
        <rFont val="Menlo"/>
        <family val="2"/>
      </rPr>
      <t>,</t>
    </r>
  </si>
  <si>
    <r>
      <t>"wick_color_down"</t>
    </r>
    <r>
      <rPr>
        <sz val="12"/>
        <color rgb="FFCCCCCC"/>
        <rFont val="Menlo"/>
        <family val="2"/>
      </rPr>
      <t xml:space="preserve">: </t>
    </r>
    <r>
      <rPr>
        <sz val="12"/>
        <color rgb="FFCE9178"/>
        <rFont val="Menlo"/>
        <family val="2"/>
      </rPr>
      <t>"gray"</t>
    </r>
    <r>
      <rPr>
        <sz val="12"/>
        <color rgb="FFCCCCCC"/>
        <rFont val="Menlo"/>
        <family val="2"/>
      </rPr>
      <t>,</t>
    </r>
  </si>
  <si>
    <r>
      <t>"edge_color_up"</t>
    </r>
    <r>
      <rPr>
        <sz val="12"/>
        <color rgb="FFCCCCCC"/>
        <rFont val="Menlo"/>
        <family val="2"/>
      </rPr>
      <t xml:space="preserve">: </t>
    </r>
    <r>
      <rPr>
        <sz val="12"/>
        <color rgb="FFCE9178"/>
        <rFont val="Menlo"/>
        <family val="2"/>
      </rPr>
      <t>"white"</t>
    </r>
    <r>
      <rPr>
        <sz val="12"/>
        <color rgb="FFCCCCCC"/>
        <rFont val="Menlo"/>
        <family val="2"/>
      </rPr>
      <t>,</t>
    </r>
  </si>
  <si>
    <r>
      <t>"edge_color_down"</t>
    </r>
    <r>
      <rPr>
        <sz val="12"/>
        <color rgb="FFCCCCCC"/>
        <rFont val="Menlo"/>
        <family val="2"/>
      </rPr>
      <t xml:space="preserve">: </t>
    </r>
    <r>
      <rPr>
        <sz val="12"/>
        <color rgb="FFCE9178"/>
        <rFont val="Menlo"/>
        <family val="2"/>
      </rPr>
      <t>"gray"</t>
    </r>
  </si>
  <si>
    <r>
      <t>"volume"</t>
    </r>
    <r>
      <rPr>
        <sz val="12"/>
        <color rgb="FFCCCCCC"/>
        <rFont val="Menlo"/>
        <family val="2"/>
      </rPr>
      <t>: {</t>
    </r>
  </si>
  <si>
    <r>
      <t>"enabled"</t>
    </r>
    <r>
      <rPr>
        <sz val="12"/>
        <color rgb="FFCCCCCC"/>
        <rFont val="Menlo"/>
        <family val="2"/>
      </rPr>
      <t xml:space="preserve">: </t>
    </r>
    <r>
      <rPr>
        <sz val="12"/>
        <color rgb="FF569CD6"/>
        <rFont val="Menlo"/>
        <family val="2"/>
      </rPr>
      <t>false</t>
    </r>
    <r>
      <rPr>
        <sz val="12"/>
        <color rgb="FFCCCCCC"/>
        <rFont val="Menlo"/>
        <family val="2"/>
      </rPr>
      <t>,</t>
    </r>
  </si>
  <si>
    <r>
      <t>"column"</t>
    </r>
    <r>
      <rPr>
        <sz val="12"/>
        <color rgb="FFCCCCCC"/>
        <rFont val="Menlo"/>
        <family val="2"/>
      </rPr>
      <t xml:space="preserve">: </t>
    </r>
    <r>
      <rPr>
        <sz val="12"/>
        <color rgb="FFCE9178"/>
        <rFont val="Menlo"/>
        <family val="2"/>
      </rPr>
      <t>"volume"</t>
    </r>
    <r>
      <rPr>
        <sz val="12"/>
        <color rgb="FFCCCCCC"/>
        <rFont val="Menlo"/>
        <family val="2"/>
      </rPr>
      <t>,</t>
    </r>
  </si>
  <si>
    <r>
      <t>"ylabel"</t>
    </r>
    <r>
      <rPr>
        <sz val="12"/>
        <color rgb="FFCCCCCC"/>
        <rFont val="Menlo"/>
        <family val="2"/>
      </rPr>
      <t xml:space="preserve">: </t>
    </r>
    <r>
      <rPr>
        <sz val="12"/>
        <color rgb="FFCE9178"/>
        <rFont val="Menlo"/>
        <family val="2"/>
      </rPr>
      <t>"Volume"</t>
    </r>
    <r>
      <rPr>
        <sz val="12"/>
        <color rgb="FFCCCCCC"/>
        <rFont val="Menlo"/>
        <family val="2"/>
      </rPr>
      <t>,</t>
    </r>
  </si>
  <si>
    <r>
      <t>"alpha"</t>
    </r>
    <r>
      <rPr>
        <sz val="12"/>
        <color rgb="FFCCCCCC"/>
        <rFont val="Menlo"/>
        <family val="2"/>
      </rPr>
      <t xml:space="preserve">: </t>
    </r>
    <r>
      <rPr>
        <sz val="12"/>
        <color rgb="FFB5CEA8"/>
        <rFont val="Menlo"/>
        <family val="2"/>
      </rPr>
      <t>0.5</t>
    </r>
  </si>
  <si>
    <t xml:space="preserve">}, </t>
  </si>
  <si>
    <r>
      <t>"major_grid"</t>
    </r>
    <r>
      <rPr>
        <sz val="12"/>
        <color rgb="FFCCCCCC"/>
        <rFont val="Menlo"/>
        <family val="2"/>
      </rPr>
      <t>: {</t>
    </r>
  </si>
  <si>
    <r>
      <t>"which"</t>
    </r>
    <r>
      <rPr>
        <sz val="12"/>
        <color rgb="FFCCCCCC"/>
        <rFont val="Menlo"/>
        <family val="2"/>
      </rPr>
      <t xml:space="preserve">: </t>
    </r>
    <r>
      <rPr>
        <sz val="12"/>
        <color rgb="FFCE9178"/>
        <rFont val="Menlo"/>
        <family val="2"/>
      </rPr>
      <t>"major"</t>
    </r>
    <r>
      <rPr>
        <sz val="12"/>
        <color rgb="FFCCCCCC"/>
        <rFont val="Menlo"/>
        <family val="2"/>
      </rPr>
      <t>,</t>
    </r>
  </si>
  <si>
    <r>
      <t>"axis"</t>
    </r>
    <r>
      <rPr>
        <sz val="12"/>
        <color rgb="FFCCCCCC"/>
        <rFont val="Menlo"/>
        <family val="2"/>
      </rPr>
      <t xml:space="preserve">: </t>
    </r>
    <r>
      <rPr>
        <sz val="12"/>
        <color rgb="FFCE9178"/>
        <rFont val="Menlo"/>
        <family val="2"/>
      </rPr>
      <t>"both"</t>
    </r>
    <r>
      <rPr>
        <sz val="12"/>
        <color rgb="FFCCCCCC"/>
        <rFont val="Menlo"/>
        <family val="2"/>
      </rPr>
      <t>,</t>
    </r>
  </si>
  <si>
    <r>
      <t>"color"</t>
    </r>
    <r>
      <rPr>
        <sz val="12"/>
        <color rgb="FFCCCCCC"/>
        <rFont val="Menlo"/>
        <family val="2"/>
      </rPr>
      <t xml:space="preserve">: </t>
    </r>
    <r>
      <rPr>
        <sz val="12"/>
        <color rgb="FFCE9178"/>
        <rFont val="Menlo"/>
        <family val="2"/>
      </rPr>
      <t>"grey"</t>
    </r>
    <r>
      <rPr>
        <sz val="12"/>
        <color rgb="FFCCCCCC"/>
        <rFont val="Menlo"/>
        <family val="2"/>
      </rPr>
      <t>,</t>
    </r>
  </si>
  <si>
    <r>
      <t>"linestyle"</t>
    </r>
    <r>
      <rPr>
        <sz val="12"/>
        <color rgb="FFCCCCCC"/>
        <rFont val="Menlo"/>
        <family val="2"/>
      </rPr>
      <t xml:space="preserve">: </t>
    </r>
    <r>
      <rPr>
        <sz val="12"/>
        <color rgb="FFCE9178"/>
        <rFont val="Menlo"/>
        <family val="2"/>
      </rPr>
      <t>"--"</t>
    </r>
    <r>
      <rPr>
        <sz val="12"/>
        <color rgb="FFCCCCCC"/>
        <rFont val="Menlo"/>
        <family val="2"/>
      </rPr>
      <t>,</t>
    </r>
  </si>
  <si>
    <r>
      <t>"linewidth"</t>
    </r>
    <r>
      <rPr>
        <sz val="12"/>
        <color rgb="FFCCCCCC"/>
        <rFont val="Menlo"/>
        <family val="2"/>
      </rPr>
      <t xml:space="preserve">: </t>
    </r>
    <r>
      <rPr>
        <sz val="12"/>
        <color rgb="FFB5CEA8"/>
        <rFont val="Menlo"/>
        <family val="2"/>
      </rPr>
      <t>0.75</t>
    </r>
    <r>
      <rPr>
        <sz val="12"/>
        <color rgb="FFCCCCCC"/>
        <rFont val="Menlo"/>
        <family val="2"/>
      </rPr>
      <t>,</t>
    </r>
  </si>
  <si>
    <r>
      <t>"alpha"</t>
    </r>
    <r>
      <rPr>
        <sz val="12"/>
        <color rgb="FFCCCCCC"/>
        <rFont val="Menlo"/>
        <family val="2"/>
      </rPr>
      <t xml:space="preserve">: </t>
    </r>
    <r>
      <rPr>
        <sz val="12"/>
        <color rgb="FFB5CEA8"/>
        <rFont val="Menlo"/>
        <family val="2"/>
      </rPr>
      <t>0.8</t>
    </r>
  </si>
  <si>
    <r>
      <t>"minor_grid"</t>
    </r>
    <r>
      <rPr>
        <sz val="12"/>
        <color rgb="FFCCCCCC"/>
        <rFont val="Menlo"/>
        <family val="2"/>
      </rPr>
      <t>: {</t>
    </r>
  </si>
  <si>
    <r>
      <t>"which"</t>
    </r>
    <r>
      <rPr>
        <sz val="12"/>
        <color rgb="FFCCCCCC"/>
        <rFont val="Menlo"/>
        <family val="2"/>
      </rPr>
      <t xml:space="preserve">: </t>
    </r>
    <r>
      <rPr>
        <sz val="12"/>
        <color rgb="FFCE9178"/>
        <rFont val="Menlo"/>
        <family val="2"/>
      </rPr>
      <t>"minor"</t>
    </r>
    <r>
      <rPr>
        <sz val="12"/>
        <color rgb="FFCCCCCC"/>
        <rFont val="Menlo"/>
        <family val="2"/>
      </rPr>
      <t>,</t>
    </r>
  </si>
  <si>
    <r>
      <t>"color"</t>
    </r>
    <r>
      <rPr>
        <sz val="12"/>
        <color rgb="FFCCCCCC"/>
        <rFont val="Menlo"/>
        <family val="2"/>
      </rPr>
      <t xml:space="preserve">: </t>
    </r>
    <r>
      <rPr>
        <sz val="12"/>
        <color rgb="FFCE9178"/>
        <rFont val="Menlo"/>
        <family val="2"/>
      </rPr>
      <t>"gray"</t>
    </r>
    <r>
      <rPr>
        <sz val="12"/>
        <color rgb="FFCCCCCC"/>
        <rFont val="Menlo"/>
        <family val="2"/>
      </rPr>
      <t>,</t>
    </r>
  </si>
  <si>
    <r>
      <t>"linestyle"</t>
    </r>
    <r>
      <rPr>
        <sz val="12"/>
        <color rgb="FFCCCCCC"/>
        <rFont val="Menlo"/>
        <family val="2"/>
      </rPr>
      <t xml:space="preserve">: </t>
    </r>
    <r>
      <rPr>
        <sz val="12"/>
        <color rgb="FFCE9178"/>
        <rFont val="Menlo"/>
        <family val="2"/>
      </rPr>
      <t>":"</t>
    </r>
    <r>
      <rPr>
        <sz val="12"/>
        <color rgb="FFCCCCCC"/>
        <rFont val="Menlo"/>
        <family val="2"/>
      </rPr>
      <t>,</t>
    </r>
  </si>
  <si>
    <r>
      <t>"linewidth"</t>
    </r>
    <r>
      <rPr>
        <sz val="12"/>
        <color rgb="FFCCCCCC"/>
        <rFont val="Menlo"/>
        <family val="2"/>
      </rPr>
      <t xml:space="preserve">: </t>
    </r>
    <r>
      <rPr>
        <sz val="12"/>
        <color rgb="FFB5CEA8"/>
        <rFont val="Menlo"/>
        <family val="2"/>
      </rPr>
      <t>0.5</t>
    </r>
    <r>
      <rPr>
        <sz val="12"/>
        <color rgb="FFCCCCCC"/>
        <rFont val="Menlo"/>
        <family val="2"/>
      </rPr>
      <t>,</t>
    </r>
  </si>
  <si>
    <r>
      <t>"alpha"</t>
    </r>
    <r>
      <rPr>
        <sz val="12"/>
        <color rgb="FFCCCCCC"/>
        <rFont val="Menlo"/>
        <family val="2"/>
      </rPr>
      <t xml:space="preserve">: </t>
    </r>
    <r>
      <rPr>
        <sz val="12"/>
        <color rgb="FFB5CEA8"/>
        <rFont val="Menlo"/>
        <family val="2"/>
      </rPr>
      <t>0.7</t>
    </r>
  </si>
  <si>
    <r>
      <t>"tick_color"</t>
    </r>
    <r>
      <rPr>
        <sz val="12"/>
        <color rgb="FFCCCCCC"/>
        <rFont val="Menlo"/>
        <family val="2"/>
      </rPr>
      <t xml:space="preserve">: </t>
    </r>
    <r>
      <rPr>
        <sz val="12"/>
        <color rgb="FFCE9178"/>
        <rFont val="Menlo"/>
        <family val="2"/>
      </rPr>
      <t>"white"</t>
    </r>
    <r>
      <rPr>
        <sz val="12"/>
        <color rgb="FFCCCCCC"/>
        <rFont val="Menlo"/>
        <family val="2"/>
      </rPr>
      <t>,</t>
    </r>
  </si>
  <si>
    <r>
      <t>"xtick_labelsize"</t>
    </r>
    <r>
      <rPr>
        <sz val="12"/>
        <color rgb="FFCCCCCC"/>
        <rFont val="Menlo"/>
        <family val="2"/>
      </rPr>
      <t xml:space="preserve">: </t>
    </r>
    <r>
      <rPr>
        <sz val="12"/>
        <color rgb="FFB5CEA8"/>
        <rFont val="Menlo"/>
        <family val="2"/>
      </rPr>
      <t>12</t>
    </r>
    <r>
      <rPr>
        <sz val="12"/>
        <color rgb="FFCCCCCC"/>
        <rFont val="Menlo"/>
        <family val="2"/>
      </rPr>
      <t>,</t>
    </r>
  </si>
  <si>
    <r>
      <t>"ytick_labelsize"</t>
    </r>
    <r>
      <rPr>
        <sz val="12"/>
        <color rgb="FFCCCCCC"/>
        <rFont val="Menlo"/>
        <family val="2"/>
      </rPr>
      <t xml:space="preserve">: </t>
    </r>
    <r>
      <rPr>
        <sz val="12"/>
        <color rgb="FFB5CEA8"/>
        <rFont val="Menlo"/>
        <family val="2"/>
      </rPr>
      <t>12</t>
    </r>
    <r>
      <rPr>
        <sz val="12"/>
        <color rgb="FFCCCCCC"/>
        <rFont val="Menlo"/>
        <family val="2"/>
      </rPr>
      <t>,</t>
    </r>
  </si>
  <si>
    <r>
      <t>"xrotation"</t>
    </r>
    <r>
      <rPr>
        <sz val="12"/>
        <color rgb="FFCCCCCC"/>
        <rFont val="Menlo"/>
        <family val="2"/>
      </rPr>
      <t xml:space="preserve">: </t>
    </r>
    <r>
      <rPr>
        <sz val="12"/>
        <color rgb="FFB5CEA8"/>
        <rFont val="Menlo"/>
        <family val="2"/>
      </rPr>
      <t>0</t>
    </r>
    <r>
      <rPr>
        <sz val="12"/>
        <color rgb="FFCCCCCC"/>
        <rFont val="Menlo"/>
        <family val="2"/>
      </rPr>
      <t>,</t>
    </r>
  </si>
  <si>
    <r>
      <t>"title"</t>
    </r>
    <r>
      <rPr>
        <sz val="12"/>
        <color rgb="FFCCCCCC"/>
        <rFont val="Menlo"/>
        <family val="2"/>
      </rPr>
      <t xml:space="preserve">: </t>
    </r>
    <r>
      <rPr>
        <sz val="12"/>
        <color rgb="FFCE9178"/>
        <rFont val="Menlo"/>
        <family val="2"/>
      </rPr>
      <t>"RRM"</t>
    </r>
    <r>
      <rPr>
        <sz val="12"/>
        <color rgb="FFCCCCCC"/>
        <rFont val="Menlo"/>
        <family val="2"/>
      </rPr>
      <t>,</t>
    </r>
  </si>
  <si>
    <r>
      <t>"title_fontsize"</t>
    </r>
    <r>
      <rPr>
        <sz val="12"/>
        <color rgb="FFCCCCCC"/>
        <rFont val="Menlo"/>
        <family val="2"/>
      </rPr>
      <t xml:space="preserve">: </t>
    </r>
    <r>
      <rPr>
        <sz val="12"/>
        <color rgb="FFB5CEA8"/>
        <rFont val="Menlo"/>
        <family val="2"/>
      </rPr>
      <t>20</t>
    </r>
    <r>
      <rPr>
        <sz val="12"/>
        <color rgb="FFCCCCCC"/>
        <rFont val="Menlo"/>
        <family val="2"/>
      </rPr>
      <t>,</t>
    </r>
  </si>
  <si>
    <r>
      <t>"title_color"</t>
    </r>
    <r>
      <rPr>
        <sz val="12"/>
        <color rgb="FFCCCCCC"/>
        <rFont val="Menlo"/>
        <family val="2"/>
      </rPr>
      <t xml:space="preserve">: </t>
    </r>
    <r>
      <rPr>
        <sz val="12"/>
        <color rgb="FFCE9178"/>
        <rFont val="Menlo"/>
        <family val="2"/>
      </rPr>
      <t>"white"</t>
    </r>
    <r>
      <rPr>
        <sz val="12"/>
        <color rgb="FFCCCCCC"/>
        <rFont val="Menlo"/>
        <family val="2"/>
      </rPr>
      <t>,</t>
    </r>
  </si>
  <si>
    <r>
      <t>"subtitle"</t>
    </r>
    <r>
      <rPr>
        <sz val="12"/>
        <color rgb="FFCCCCCC"/>
        <rFont val="Menlo"/>
        <family val="2"/>
      </rPr>
      <t xml:space="preserve">: </t>
    </r>
    <r>
      <rPr>
        <sz val="12"/>
        <color rgb="FFCE9178"/>
        <rFont val="Menlo"/>
        <family val="2"/>
      </rPr>
      <t>"Chart"</t>
    </r>
    <r>
      <rPr>
        <sz val="12"/>
        <color rgb="FFCCCCCC"/>
        <rFont val="Menlo"/>
        <family val="2"/>
      </rPr>
      <t>,</t>
    </r>
  </si>
  <si>
    <r>
      <t>"subtitle_fontsize"</t>
    </r>
    <r>
      <rPr>
        <sz val="12"/>
        <color rgb="FFCCCCCC"/>
        <rFont val="Menlo"/>
        <family val="2"/>
      </rPr>
      <t xml:space="preserve">: </t>
    </r>
    <r>
      <rPr>
        <sz val="12"/>
        <color rgb="FFB5CEA8"/>
        <rFont val="Menlo"/>
        <family val="2"/>
      </rPr>
      <t>16</t>
    </r>
    <r>
      <rPr>
        <sz val="12"/>
        <color rgb="FFCCCCCC"/>
        <rFont val="Menlo"/>
        <family val="2"/>
      </rPr>
      <t>,</t>
    </r>
  </si>
  <si>
    <r>
      <t>"subtitle_color"</t>
    </r>
    <r>
      <rPr>
        <sz val="12"/>
        <color rgb="FFCCCCCC"/>
        <rFont val="Menlo"/>
        <family val="2"/>
      </rPr>
      <t xml:space="preserve">: </t>
    </r>
    <r>
      <rPr>
        <sz val="12"/>
        <color rgb="FFCE9178"/>
        <rFont val="Menlo"/>
        <family val="2"/>
      </rPr>
      <t>"white"</t>
    </r>
    <r>
      <rPr>
        <sz val="12"/>
        <color rgb="FFCCCCCC"/>
        <rFont val="Menlo"/>
        <family val="2"/>
      </rPr>
      <t>,</t>
    </r>
  </si>
  <si>
    <r>
      <t>"rc_override"</t>
    </r>
    <r>
      <rPr>
        <sz val="12"/>
        <color rgb="FFCCCCCC"/>
        <rFont val="Menlo"/>
        <family val="2"/>
      </rPr>
      <t>: {</t>
    </r>
  </si>
  <si>
    <r>
      <t>"axes.edgecolor"</t>
    </r>
    <r>
      <rPr>
        <sz val="12"/>
        <color rgb="FFCCCCCC"/>
        <rFont val="Menlo"/>
        <family val="2"/>
      </rPr>
      <t xml:space="preserve">: </t>
    </r>
    <r>
      <rPr>
        <sz val="12"/>
        <color rgb="FFCE9178"/>
        <rFont val="Menlo"/>
        <family val="2"/>
      </rPr>
      <t>"white"</t>
    </r>
    <r>
      <rPr>
        <sz val="12"/>
        <color rgb="FFCCCCCC"/>
        <rFont val="Menlo"/>
        <family val="2"/>
      </rPr>
      <t>,</t>
    </r>
  </si>
  <si>
    <r>
      <t>"axes.linewidth"</t>
    </r>
    <r>
      <rPr>
        <sz val="12"/>
        <color rgb="FFCCCCCC"/>
        <rFont val="Menlo"/>
        <family val="2"/>
      </rPr>
      <t xml:space="preserve">: </t>
    </r>
    <r>
      <rPr>
        <sz val="12"/>
        <color rgb="FFB5CEA8"/>
        <rFont val="Menlo"/>
        <family val="2"/>
      </rPr>
      <t>1.0</t>
    </r>
    <r>
      <rPr>
        <sz val="12"/>
        <color rgb="FFCCCCCC"/>
        <rFont val="Menlo"/>
        <family val="2"/>
      </rPr>
      <t>,</t>
    </r>
  </si>
  <si>
    <r>
      <t>"axes.facecolor"</t>
    </r>
    <r>
      <rPr>
        <sz val="12"/>
        <color rgb="FFCCCCCC"/>
        <rFont val="Menlo"/>
        <family val="2"/>
      </rPr>
      <t xml:space="preserve">: </t>
    </r>
    <r>
      <rPr>
        <sz val="12"/>
        <color rgb="FFCE9178"/>
        <rFont val="Menlo"/>
        <family val="2"/>
      </rPr>
      <t>"#0e0e0e"</t>
    </r>
    <r>
      <rPr>
        <sz val="12"/>
        <color rgb="FFCCCCCC"/>
        <rFont val="Menlo"/>
        <family val="2"/>
      </rPr>
      <t>,</t>
    </r>
  </si>
  <si>
    <r>
      <t>"figure.facecolor"</t>
    </r>
    <r>
      <rPr>
        <sz val="12"/>
        <color rgb="FFCCCCCC"/>
        <rFont val="Menlo"/>
        <family val="2"/>
      </rPr>
      <t xml:space="preserve">: </t>
    </r>
    <r>
      <rPr>
        <sz val="12"/>
        <color rgb="FFCE9178"/>
        <rFont val="Menlo"/>
        <family val="2"/>
      </rPr>
      <t>"#0e0e0e"</t>
    </r>
    <r>
      <rPr>
        <sz val="12"/>
        <color rgb="FFCCCCCC"/>
        <rFont val="Menlo"/>
        <family val="2"/>
      </rPr>
      <t>,</t>
    </r>
  </si>
  <si>
    <r>
      <t>"savefig.facecolor"</t>
    </r>
    <r>
      <rPr>
        <sz val="12"/>
        <color rgb="FFCCCCCC"/>
        <rFont val="Menlo"/>
        <family val="2"/>
      </rPr>
      <t xml:space="preserve">: </t>
    </r>
    <r>
      <rPr>
        <sz val="12"/>
        <color rgb="FFCE9178"/>
        <rFont val="Menlo"/>
        <family val="2"/>
      </rPr>
      <t>"#0e0e0e"</t>
    </r>
  </si>
  <si>
    <r>
      <t>"indicators"</t>
    </r>
    <r>
      <rPr>
        <sz val="12"/>
        <color rgb="FFCCCCCC"/>
        <rFont val="Menlo"/>
        <family val="2"/>
      </rPr>
      <t>: {</t>
    </r>
  </si>
  <si>
    <r>
      <t>"hhll_distance"</t>
    </r>
    <r>
      <rPr>
        <sz val="12"/>
        <color rgb="FFCCCCCC"/>
        <rFont val="Menlo"/>
        <family val="2"/>
      </rPr>
      <t>: {</t>
    </r>
  </si>
  <si>
    <r>
      <t>"lookback"</t>
    </r>
    <r>
      <rPr>
        <sz val="12"/>
        <color rgb="FFCCCCCC"/>
        <rFont val="Menlo"/>
        <family val="2"/>
      </rPr>
      <t xml:space="preserve">: </t>
    </r>
    <r>
      <rPr>
        <sz val="12"/>
        <color rgb="FFB5CEA8"/>
        <rFont val="Menlo"/>
        <family val="2"/>
      </rPr>
      <t>20</t>
    </r>
  </si>
  <si>
    <r>
      <t>"near_extreme_zone"</t>
    </r>
    <r>
      <rPr>
        <sz val="12"/>
        <color rgb="FFCCCCCC"/>
        <rFont val="Menlo"/>
        <family val="2"/>
      </rPr>
      <t>: {</t>
    </r>
  </si>
  <si>
    <r>
      <t>"threshold"</t>
    </r>
    <r>
      <rPr>
        <sz val="12"/>
        <color rgb="FFCCCCCC"/>
        <rFont val="Menlo"/>
        <family val="2"/>
      </rPr>
      <t xml:space="preserve">: </t>
    </r>
    <r>
      <rPr>
        <sz val="12"/>
        <color rgb="FFB5CEA8"/>
        <rFont val="Menlo"/>
        <family val="2"/>
      </rPr>
      <t>0.0005</t>
    </r>
  </si>
  <si>
    <r>
      <t>"ema"</t>
    </r>
    <r>
      <rPr>
        <sz val="12"/>
        <color rgb="FFCCCCCC"/>
        <rFont val="Menlo"/>
        <family val="2"/>
      </rPr>
      <t>: {</t>
    </r>
  </si>
  <si>
    <r>
      <t>"panel"</t>
    </r>
    <r>
      <rPr>
        <sz val="12"/>
        <color rgb="FFCCCCCC"/>
        <rFont val="Menlo"/>
        <family val="2"/>
      </rPr>
      <t xml:space="preserve">: </t>
    </r>
    <r>
      <rPr>
        <sz val="12"/>
        <color rgb="FFB5CEA8"/>
        <rFont val="Menlo"/>
        <family val="2"/>
      </rPr>
      <t>0</t>
    </r>
    <r>
      <rPr>
        <sz val="12"/>
        <color rgb="FFCCCCCC"/>
        <rFont val="Menlo"/>
        <family val="2"/>
      </rPr>
      <t>,</t>
    </r>
  </si>
  <si>
    <r>
      <t>"settings"</t>
    </r>
    <r>
      <rPr>
        <sz val="12"/>
        <color rgb="FFCCCCCC"/>
        <rFont val="Menlo"/>
        <family val="2"/>
      </rPr>
      <t>: [</t>
    </r>
  </si>
  <si>
    <r>
      <t xml:space="preserve">{ </t>
    </r>
    <r>
      <rPr>
        <sz val="12"/>
        <color rgb="FF9CDCFE"/>
        <rFont val="Menlo"/>
        <family val="2"/>
      </rPr>
      <t>"period"</t>
    </r>
    <r>
      <rPr>
        <sz val="12"/>
        <color rgb="FFCCCCCC"/>
        <rFont val="Menlo"/>
        <family val="2"/>
      </rPr>
      <t xml:space="preserve">: </t>
    </r>
    <r>
      <rPr>
        <sz val="12"/>
        <color rgb="FFB5CEA8"/>
        <rFont val="Menlo"/>
        <family val="2"/>
      </rPr>
      <t>5</t>
    </r>
    <r>
      <rPr>
        <sz val="12"/>
        <color rgb="FFCCCCCC"/>
        <rFont val="Menlo"/>
        <family val="2"/>
      </rPr>
      <t xml:space="preserve">, </t>
    </r>
    <r>
      <rPr>
        <sz val="12"/>
        <color rgb="FF9CDCFE"/>
        <rFont val="Menlo"/>
        <family val="2"/>
      </rPr>
      <t>"color"</t>
    </r>
    <r>
      <rPr>
        <sz val="12"/>
        <color rgb="FFCCCCCC"/>
        <rFont val="Menlo"/>
        <family val="2"/>
      </rPr>
      <t xml:space="preserve">: </t>
    </r>
    <r>
      <rPr>
        <sz val="12"/>
        <color rgb="FFCE9178"/>
        <rFont val="Menlo"/>
        <family val="2"/>
      </rPr>
      <t>"yellow"</t>
    </r>
    <r>
      <rPr>
        <sz val="12"/>
        <color rgb="FFCCCCCC"/>
        <rFont val="Menlo"/>
        <family val="2"/>
      </rPr>
      <t xml:space="preserve">, </t>
    </r>
    <r>
      <rPr>
        <sz val="12"/>
        <color rgb="FF9CDCFE"/>
        <rFont val="Menlo"/>
        <family val="2"/>
      </rPr>
      <t>"line_style"</t>
    </r>
    <r>
      <rPr>
        <sz val="12"/>
        <color rgb="FFCCCCCC"/>
        <rFont val="Menlo"/>
        <family val="2"/>
      </rPr>
      <t xml:space="preserve">: </t>
    </r>
    <r>
      <rPr>
        <sz val="12"/>
        <color rgb="FFCE9178"/>
        <rFont val="Menlo"/>
        <family val="2"/>
      </rPr>
      <t>"solid"</t>
    </r>
    <r>
      <rPr>
        <sz val="12"/>
        <color rgb="FFCCCCCC"/>
        <rFont val="Menlo"/>
        <family val="2"/>
      </rPr>
      <t xml:space="preserve">, </t>
    </r>
    <r>
      <rPr>
        <sz val="12"/>
        <color rgb="FF9CDCFE"/>
        <rFont val="Menlo"/>
        <family val="2"/>
      </rPr>
      <t>"width"</t>
    </r>
    <r>
      <rPr>
        <sz val="12"/>
        <color rgb="FFCCCCCC"/>
        <rFont val="Menlo"/>
        <family val="2"/>
      </rPr>
      <t xml:space="preserve">: </t>
    </r>
    <r>
      <rPr>
        <sz val="12"/>
        <color rgb="FFB5CEA8"/>
        <rFont val="Menlo"/>
        <family val="2"/>
      </rPr>
      <t>1.2</t>
    </r>
    <r>
      <rPr>
        <sz val="12"/>
        <color rgb="FFCCCCCC"/>
        <rFont val="Menlo"/>
        <family val="2"/>
      </rPr>
      <t xml:space="preserve"> },</t>
    </r>
  </si>
  <si>
    <r>
      <t xml:space="preserve">{ </t>
    </r>
    <r>
      <rPr>
        <sz val="12"/>
        <color rgb="FF9CDCFE"/>
        <rFont val="Menlo"/>
        <family val="2"/>
      </rPr>
      <t>"period"</t>
    </r>
    <r>
      <rPr>
        <sz val="12"/>
        <color rgb="FFCCCCCC"/>
        <rFont val="Menlo"/>
        <family val="2"/>
      </rPr>
      <t xml:space="preserve">: </t>
    </r>
    <r>
      <rPr>
        <sz val="12"/>
        <color rgb="FFB5CEA8"/>
        <rFont val="Menlo"/>
        <family val="2"/>
      </rPr>
      <t>13</t>
    </r>
    <r>
      <rPr>
        <sz val="12"/>
        <color rgb="FFCCCCCC"/>
        <rFont val="Menlo"/>
        <family val="2"/>
      </rPr>
      <t xml:space="preserve">, </t>
    </r>
    <r>
      <rPr>
        <sz val="12"/>
        <color rgb="FF9CDCFE"/>
        <rFont val="Menlo"/>
        <family val="2"/>
      </rPr>
      <t>"color"</t>
    </r>
    <r>
      <rPr>
        <sz val="12"/>
        <color rgb="FFCCCCCC"/>
        <rFont val="Menlo"/>
        <family val="2"/>
      </rPr>
      <t xml:space="preserve">: </t>
    </r>
    <r>
      <rPr>
        <sz val="12"/>
        <color rgb="FFCE9178"/>
        <rFont val="Menlo"/>
        <family val="2"/>
      </rPr>
      <t>"lightcoral"</t>
    </r>
    <r>
      <rPr>
        <sz val="12"/>
        <color rgb="FFCCCCCC"/>
        <rFont val="Menlo"/>
        <family val="2"/>
      </rPr>
      <t xml:space="preserve">, </t>
    </r>
    <r>
      <rPr>
        <sz val="12"/>
        <color rgb="FF9CDCFE"/>
        <rFont val="Menlo"/>
        <family val="2"/>
      </rPr>
      <t>"line_style"</t>
    </r>
    <r>
      <rPr>
        <sz val="12"/>
        <color rgb="FFCCCCCC"/>
        <rFont val="Menlo"/>
        <family val="2"/>
      </rPr>
      <t xml:space="preserve">: </t>
    </r>
    <r>
      <rPr>
        <sz val="12"/>
        <color rgb="FFCE9178"/>
        <rFont val="Menlo"/>
        <family val="2"/>
      </rPr>
      <t>"solid"</t>
    </r>
    <r>
      <rPr>
        <sz val="12"/>
        <color rgb="FFCCCCCC"/>
        <rFont val="Menlo"/>
        <family val="2"/>
      </rPr>
      <t xml:space="preserve">, </t>
    </r>
    <r>
      <rPr>
        <sz val="12"/>
        <color rgb="FF9CDCFE"/>
        <rFont val="Menlo"/>
        <family val="2"/>
      </rPr>
      <t>"width"</t>
    </r>
    <r>
      <rPr>
        <sz val="12"/>
        <color rgb="FFCCCCCC"/>
        <rFont val="Menlo"/>
        <family val="2"/>
      </rPr>
      <t xml:space="preserve">: </t>
    </r>
    <r>
      <rPr>
        <sz val="12"/>
        <color rgb="FFB5CEA8"/>
        <rFont val="Menlo"/>
        <family val="2"/>
      </rPr>
      <t>1.2</t>
    </r>
    <r>
      <rPr>
        <sz val="12"/>
        <color rgb="FFCCCCCC"/>
        <rFont val="Menlo"/>
        <family val="2"/>
      </rPr>
      <t xml:space="preserve"> },</t>
    </r>
  </si>
  <si>
    <r>
      <t xml:space="preserve">{ </t>
    </r>
    <r>
      <rPr>
        <sz val="12"/>
        <color rgb="FF9CDCFE"/>
        <rFont val="Menlo"/>
        <family val="2"/>
      </rPr>
      <t>"period"</t>
    </r>
    <r>
      <rPr>
        <sz val="12"/>
        <color rgb="FFCCCCCC"/>
        <rFont val="Menlo"/>
        <family val="2"/>
      </rPr>
      <t xml:space="preserve">: </t>
    </r>
    <r>
      <rPr>
        <sz val="12"/>
        <color rgb="FFB5CEA8"/>
        <rFont val="Menlo"/>
        <family val="2"/>
      </rPr>
      <t>34</t>
    </r>
    <r>
      <rPr>
        <sz val="12"/>
        <color rgb="FFCCCCCC"/>
        <rFont val="Menlo"/>
        <family val="2"/>
      </rPr>
      <t xml:space="preserve">, </t>
    </r>
    <r>
      <rPr>
        <sz val="12"/>
        <color rgb="FF9CDCFE"/>
        <rFont val="Menlo"/>
        <family val="2"/>
      </rPr>
      <t>"color"</t>
    </r>
    <r>
      <rPr>
        <sz val="12"/>
        <color rgb="FFCCCCCC"/>
        <rFont val="Menlo"/>
        <family val="2"/>
      </rPr>
      <t xml:space="preserve">: </t>
    </r>
    <r>
      <rPr>
        <sz val="12"/>
        <color rgb="FFCE9178"/>
        <rFont val="Menlo"/>
        <family val="2"/>
      </rPr>
      <t>"lightblue"</t>
    </r>
    <r>
      <rPr>
        <sz val="12"/>
        <color rgb="FFCCCCCC"/>
        <rFont val="Menlo"/>
        <family val="2"/>
      </rPr>
      <t xml:space="preserve">, </t>
    </r>
    <r>
      <rPr>
        <sz val="12"/>
        <color rgb="FF9CDCFE"/>
        <rFont val="Menlo"/>
        <family val="2"/>
      </rPr>
      <t>"line_style"</t>
    </r>
    <r>
      <rPr>
        <sz val="12"/>
        <color rgb="FFCCCCCC"/>
        <rFont val="Menlo"/>
        <family val="2"/>
      </rPr>
      <t xml:space="preserve">: </t>
    </r>
    <r>
      <rPr>
        <sz val="12"/>
        <color rgb="FFCE9178"/>
        <rFont val="Menlo"/>
        <family val="2"/>
      </rPr>
      <t>"dashed"</t>
    </r>
    <r>
      <rPr>
        <sz val="12"/>
        <color rgb="FFCCCCCC"/>
        <rFont val="Menlo"/>
        <family val="2"/>
      </rPr>
      <t xml:space="preserve">, </t>
    </r>
    <r>
      <rPr>
        <sz val="12"/>
        <color rgb="FF9CDCFE"/>
        <rFont val="Menlo"/>
        <family val="2"/>
      </rPr>
      <t>"width"</t>
    </r>
    <r>
      <rPr>
        <sz val="12"/>
        <color rgb="FFCCCCCC"/>
        <rFont val="Menlo"/>
        <family val="2"/>
      </rPr>
      <t xml:space="preserve">: </t>
    </r>
    <r>
      <rPr>
        <sz val="12"/>
        <color rgb="FFB5CEA8"/>
        <rFont val="Menlo"/>
        <family val="2"/>
      </rPr>
      <t>1.2</t>
    </r>
    <r>
      <rPr>
        <sz val="12"/>
        <color rgb="FFCCCCCC"/>
        <rFont val="Menlo"/>
        <family val="2"/>
      </rPr>
      <t xml:space="preserve"> },</t>
    </r>
  </si>
  <si>
    <r>
      <t xml:space="preserve">{ </t>
    </r>
    <r>
      <rPr>
        <sz val="12"/>
        <color rgb="FF9CDCFE"/>
        <rFont val="Menlo"/>
        <family val="2"/>
      </rPr>
      <t>"period"</t>
    </r>
    <r>
      <rPr>
        <sz val="12"/>
        <color rgb="FFCCCCCC"/>
        <rFont val="Menlo"/>
        <family val="2"/>
      </rPr>
      <t xml:space="preserve">: </t>
    </r>
    <r>
      <rPr>
        <sz val="12"/>
        <color rgb="FFB5CEA8"/>
        <rFont val="Menlo"/>
        <family val="2"/>
      </rPr>
      <t>89</t>
    </r>
    <r>
      <rPr>
        <sz val="12"/>
        <color rgb="FFCCCCCC"/>
        <rFont val="Menlo"/>
        <family val="2"/>
      </rPr>
      <t xml:space="preserve">, </t>
    </r>
    <r>
      <rPr>
        <sz val="12"/>
        <color rgb="FF9CDCFE"/>
        <rFont val="Menlo"/>
        <family val="2"/>
      </rPr>
      <t>"color"</t>
    </r>
    <r>
      <rPr>
        <sz val="12"/>
        <color rgb="FFCCCCCC"/>
        <rFont val="Menlo"/>
        <family val="2"/>
      </rPr>
      <t xml:space="preserve">: </t>
    </r>
    <r>
      <rPr>
        <sz val="12"/>
        <color rgb="FFCE9178"/>
        <rFont val="Menlo"/>
        <family val="2"/>
      </rPr>
      <t>"grey"</t>
    </r>
    <r>
      <rPr>
        <sz val="12"/>
        <color rgb="FFCCCCCC"/>
        <rFont val="Menlo"/>
        <family val="2"/>
      </rPr>
      <t xml:space="preserve">, </t>
    </r>
    <r>
      <rPr>
        <sz val="12"/>
        <color rgb="FF9CDCFE"/>
        <rFont val="Menlo"/>
        <family val="2"/>
      </rPr>
      <t>"line_style"</t>
    </r>
    <r>
      <rPr>
        <sz val="12"/>
        <color rgb="FFCCCCCC"/>
        <rFont val="Menlo"/>
        <family val="2"/>
      </rPr>
      <t xml:space="preserve">: </t>
    </r>
    <r>
      <rPr>
        <sz val="12"/>
        <color rgb="FFCE9178"/>
        <rFont val="Menlo"/>
        <family val="2"/>
      </rPr>
      <t>"dashed"</t>
    </r>
    <r>
      <rPr>
        <sz val="12"/>
        <color rgb="FFCCCCCC"/>
        <rFont val="Menlo"/>
        <family val="2"/>
      </rPr>
      <t xml:space="preserve">, </t>
    </r>
    <r>
      <rPr>
        <sz val="12"/>
        <color rgb="FF9CDCFE"/>
        <rFont val="Menlo"/>
        <family val="2"/>
      </rPr>
      <t>"width"</t>
    </r>
    <r>
      <rPr>
        <sz val="12"/>
        <color rgb="FFCCCCCC"/>
        <rFont val="Menlo"/>
        <family val="2"/>
      </rPr>
      <t xml:space="preserve">: </t>
    </r>
    <r>
      <rPr>
        <sz val="12"/>
        <color rgb="FFB5CEA8"/>
        <rFont val="Menlo"/>
        <family val="2"/>
      </rPr>
      <t>1.2</t>
    </r>
    <r>
      <rPr>
        <sz val="12"/>
        <color rgb="FFCCCCCC"/>
        <rFont val="Menlo"/>
        <family val="2"/>
      </rPr>
      <t xml:space="preserve"> } </t>
    </r>
  </si>
  <si>
    <r>
      <t>"column_prefix"</t>
    </r>
    <r>
      <rPr>
        <sz val="12"/>
        <color rgb="FFCCCCCC"/>
        <rFont val="Menlo"/>
        <family val="2"/>
      </rPr>
      <t xml:space="preserve">: </t>
    </r>
    <r>
      <rPr>
        <sz val="12"/>
        <color rgb="FFCE9178"/>
        <rFont val="Menlo"/>
        <family val="2"/>
      </rPr>
      <t>"ema"</t>
    </r>
    <r>
      <rPr>
        <sz val="12"/>
        <color rgb="FFCCCCCC"/>
        <rFont val="Menlo"/>
        <family val="2"/>
      </rPr>
      <t>,</t>
    </r>
  </si>
  <si>
    <r>
      <t>"debug_label_all"</t>
    </r>
    <r>
      <rPr>
        <sz val="12"/>
        <color rgb="FFCCCCCC"/>
        <rFont val="Menlo"/>
        <family val="2"/>
      </rPr>
      <t xml:space="preserve">: </t>
    </r>
    <r>
      <rPr>
        <sz val="12"/>
        <color rgb="FF569CD6"/>
        <rFont val="Menlo"/>
        <family val="2"/>
      </rPr>
      <t>false</t>
    </r>
    <r>
      <rPr>
        <sz val="12"/>
        <color rgb="FFCCCCCC"/>
        <rFont val="Menlo"/>
        <family val="2"/>
      </rPr>
      <t>,</t>
    </r>
  </si>
  <si>
    <r>
      <t>"legend_format"</t>
    </r>
    <r>
      <rPr>
        <sz val="12"/>
        <color rgb="FFCCCCCC"/>
        <rFont val="Menlo"/>
        <family val="2"/>
      </rPr>
      <t xml:space="preserve">: </t>
    </r>
    <r>
      <rPr>
        <sz val="12"/>
        <color rgb="FFCE9178"/>
        <rFont val="Menlo"/>
        <family val="2"/>
      </rPr>
      <t>"EMA({period})"</t>
    </r>
  </si>
  <si>
    <r>
      <t>"psar"</t>
    </r>
    <r>
      <rPr>
        <sz val="12"/>
        <color rgb="FFCCCCCC"/>
        <rFont val="Menlo"/>
        <family val="2"/>
      </rPr>
      <t>: {</t>
    </r>
  </si>
  <si>
    <r>
      <t>"step"</t>
    </r>
    <r>
      <rPr>
        <sz val="12"/>
        <color rgb="FFCCCCCC"/>
        <rFont val="Menlo"/>
        <family val="2"/>
      </rPr>
      <t xml:space="preserve">: </t>
    </r>
    <r>
      <rPr>
        <sz val="12"/>
        <color rgb="FFB5CEA8"/>
        <rFont val="Menlo"/>
        <family val="2"/>
      </rPr>
      <t>0.05</t>
    </r>
    <r>
      <rPr>
        <sz val="12"/>
        <color rgb="FFCCCCCC"/>
        <rFont val="Menlo"/>
        <family val="2"/>
      </rPr>
      <t>,</t>
    </r>
  </si>
  <si>
    <r>
      <t>"max_step"</t>
    </r>
    <r>
      <rPr>
        <sz val="12"/>
        <color rgb="FFCCCCCC"/>
        <rFont val="Menlo"/>
        <family val="2"/>
      </rPr>
      <t xml:space="preserve">: </t>
    </r>
    <r>
      <rPr>
        <sz val="12"/>
        <color rgb="FFB5CEA8"/>
        <rFont val="Menlo"/>
        <family val="2"/>
      </rPr>
      <t>0.5</t>
    </r>
    <r>
      <rPr>
        <sz val="12"/>
        <color rgb="FFCCCCCC"/>
        <rFont val="Menlo"/>
        <family val="2"/>
      </rPr>
      <t>,</t>
    </r>
  </si>
  <si>
    <r>
      <t>"markersize"</t>
    </r>
    <r>
      <rPr>
        <sz val="12"/>
        <color rgb="FFCCCCCC"/>
        <rFont val="Menlo"/>
        <family val="2"/>
      </rPr>
      <t xml:space="preserve">: </t>
    </r>
    <r>
      <rPr>
        <sz val="12"/>
        <color rgb="FFB5CEA8"/>
        <rFont val="Menlo"/>
        <family val="2"/>
      </rPr>
      <t>2</t>
    </r>
    <r>
      <rPr>
        <sz val="12"/>
        <color rgb="FFCCCCCC"/>
        <rFont val="Menlo"/>
        <family val="2"/>
      </rPr>
      <t>,</t>
    </r>
  </si>
  <si>
    <r>
      <t>"marker"</t>
    </r>
    <r>
      <rPr>
        <sz val="12"/>
        <color rgb="FFCCCCCC"/>
        <rFont val="Menlo"/>
        <family val="2"/>
      </rPr>
      <t xml:space="preserve">: </t>
    </r>
    <r>
      <rPr>
        <sz val="12"/>
        <color rgb="FFCE9178"/>
        <rFont val="Menlo"/>
        <family val="2"/>
      </rPr>
      <t>"o"</t>
    </r>
    <r>
      <rPr>
        <sz val="12"/>
        <color rgb="FFCCCCCC"/>
        <rFont val="Menlo"/>
        <family val="2"/>
      </rPr>
      <t>,</t>
    </r>
  </si>
  <si>
    <r>
      <t>"color"</t>
    </r>
    <r>
      <rPr>
        <sz val="12"/>
        <color rgb="FFCCCCCC"/>
        <rFont val="Menlo"/>
        <family val="2"/>
      </rPr>
      <t xml:space="preserve">: </t>
    </r>
    <r>
      <rPr>
        <sz val="12"/>
        <color rgb="FFCE9178"/>
        <rFont val="Menlo"/>
        <family val="2"/>
      </rPr>
      <t>"green"</t>
    </r>
    <r>
      <rPr>
        <sz val="12"/>
        <color rgb="FFCCCCCC"/>
        <rFont val="Menlo"/>
        <family val="2"/>
      </rPr>
      <t xml:space="preserve">, </t>
    </r>
  </si>
  <si>
    <r>
      <t>"legend_format"</t>
    </r>
    <r>
      <rPr>
        <sz val="12"/>
        <color rgb="FFCCCCCC"/>
        <rFont val="Menlo"/>
        <family val="2"/>
      </rPr>
      <t xml:space="preserve">: </t>
    </r>
    <r>
      <rPr>
        <sz val="12"/>
        <color rgb="FFCE9178"/>
        <rFont val="Menlo"/>
        <family val="2"/>
      </rPr>
      <t>"PSAR({step}, {max_step})"</t>
    </r>
  </si>
  <si>
    <r>
      <t>"macd"</t>
    </r>
    <r>
      <rPr>
        <sz val="12"/>
        <color rgb="FFCCCCCC"/>
        <rFont val="Menlo"/>
        <family val="2"/>
      </rPr>
      <t>: {</t>
    </r>
  </si>
  <si>
    <r>
      <t>"panel"</t>
    </r>
    <r>
      <rPr>
        <sz val="12"/>
        <color rgb="FFCCCCCC"/>
        <rFont val="Menlo"/>
        <family val="2"/>
      </rPr>
      <t xml:space="preserve">: </t>
    </r>
    <r>
      <rPr>
        <sz val="12"/>
        <color rgb="FFB5CEA8"/>
        <rFont val="Menlo"/>
        <family val="2"/>
      </rPr>
      <t>1</t>
    </r>
    <r>
      <rPr>
        <sz val="12"/>
        <color rgb="FFCCCCCC"/>
        <rFont val="Menlo"/>
        <family val="2"/>
      </rPr>
      <t>,</t>
    </r>
  </si>
  <si>
    <r>
      <t>"fast"</t>
    </r>
    <r>
      <rPr>
        <sz val="12"/>
        <color rgb="FFCCCCCC"/>
        <rFont val="Menlo"/>
        <family val="2"/>
      </rPr>
      <t xml:space="preserve">: </t>
    </r>
    <r>
      <rPr>
        <sz val="12"/>
        <color rgb="FFB5CEA8"/>
        <rFont val="Menlo"/>
        <family val="2"/>
      </rPr>
      <t>5</t>
    </r>
    <r>
      <rPr>
        <sz val="12"/>
        <color rgb="FFCCCCCC"/>
        <rFont val="Menlo"/>
        <family val="2"/>
      </rPr>
      <t>,</t>
    </r>
  </si>
  <si>
    <r>
      <t>"slow"</t>
    </r>
    <r>
      <rPr>
        <sz val="12"/>
        <color rgb="FFCCCCCC"/>
        <rFont val="Menlo"/>
        <family val="2"/>
      </rPr>
      <t xml:space="preserve">: </t>
    </r>
    <r>
      <rPr>
        <sz val="12"/>
        <color rgb="FFB5CEA8"/>
        <rFont val="Menlo"/>
        <family val="2"/>
      </rPr>
      <t>8</t>
    </r>
    <r>
      <rPr>
        <sz val="12"/>
        <color rgb="FFCCCCCC"/>
        <rFont val="Menlo"/>
        <family val="2"/>
      </rPr>
      <t>,</t>
    </r>
  </si>
  <si>
    <r>
      <t>"signal"</t>
    </r>
    <r>
      <rPr>
        <sz val="12"/>
        <color rgb="FFCCCCCC"/>
        <rFont val="Menlo"/>
        <family val="2"/>
      </rPr>
      <t xml:space="preserve">: </t>
    </r>
    <r>
      <rPr>
        <sz val="12"/>
        <color rgb="FFB5CEA8"/>
        <rFont val="Menlo"/>
        <family val="2"/>
      </rPr>
      <t>5</t>
    </r>
    <r>
      <rPr>
        <sz val="12"/>
        <color rgb="FFCCCCCC"/>
        <rFont val="Menlo"/>
        <family val="2"/>
      </rPr>
      <t>,</t>
    </r>
  </si>
  <si>
    <r>
      <t>"show_macd_line"</t>
    </r>
    <r>
      <rPr>
        <sz val="12"/>
        <color rgb="FFCCCCCC"/>
        <rFont val="Menlo"/>
        <family val="2"/>
      </rPr>
      <t xml:space="preserve">: </t>
    </r>
    <r>
      <rPr>
        <sz val="12"/>
        <color rgb="FF569CD6"/>
        <rFont val="Menlo"/>
        <family val="2"/>
      </rPr>
      <t>true</t>
    </r>
    <r>
      <rPr>
        <sz val="12"/>
        <color rgb="FFCCCCCC"/>
        <rFont val="Menlo"/>
        <family val="2"/>
      </rPr>
      <t>,</t>
    </r>
  </si>
  <si>
    <r>
      <t>"show_signal_line"</t>
    </r>
    <r>
      <rPr>
        <sz val="12"/>
        <color rgb="FFCCCCCC"/>
        <rFont val="Menlo"/>
        <family val="2"/>
      </rPr>
      <t xml:space="preserve">: </t>
    </r>
    <r>
      <rPr>
        <sz val="12"/>
        <color rgb="FF569CD6"/>
        <rFont val="Menlo"/>
        <family val="2"/>
      </rPr>
      <t>true</t>
    </r>
    <r>
      <rPr>
        <sz val="12"/>
        <color rgb="FFCCCCCC"/>
        <rFont val="Menlo"/>
        <family val="2"/>
      </rPr>
      <t>,</t>
    </r>
  </si>
  <si>
    <r>
      <t>"show_histogram"</t>
    </r>
    <r>
      <rPr>
        <sz val="12"/>
        <color rgb="FFCCCCCC"/>
        <rFont val="Menlo"/>
        <family val="2"/>
      </rPr>
      <t xml:space="preserve">: </t>
    </r>
    <r>
      <rPr>
        <sz val="12"/>
        <color rgb="FF569CD6"/>
        <rFont val="Menlo"/>
        <family val="2"/>
      </rPr>
      <t>true</t>
    </r>
    <r>
      <rPr>
        <sz val="12"/>
        <color rgb="FFCCCCCC"/>
        <rFont val="Menlo"/>
        <family val="2"/>
      </rPr>
      <t>,</t>
    </r>
  </si>
  <si>
    <r>
      <t>"legend_format"</t>
    </r>
    <r>
      <rPr>
        <sz val="12"/>
        <color rgb="FFCCCCCC"/>
        <rFont val="Menlo"/>
        <family val="2"/>
      </rPr>
      <t xml:space="preserve">: </t>
    </r>
    <r>
      <rPr>
        <sz val="12"/>
        <color rgb="FFCE9178"/>
        <rFont val="Menlo"/>
        <family val="2"/>
      </rPr>
      <t>"MACD({fast}, {slow}, {signal})"</t>
    </r>
    <r>
      <rPr>
        <sz val="12"/>
        <color rgb="FFCCCCCC"/>
        <rFont val="Menlo"/>
        <family val="2"/>
      </rPr>
      <t>,</t>
    </r>
  </si>
  <si>
    <r>
      <t>"normalize"</t>
    </r>
    <r>
      <rPr>
        <sz val="12"/>
        <color rgb="FFCCCCCC"/>
        <rFont val="Menlo"/>
        <family val="2"/>
      </rPr>
      <t xml:space="preserve">: </t>
    </r>
    <r>
      <rPr>
        <sz val="12"/>
        <color rgb="FF569CD6"/>
        <rFont val="Menlo"/>
        <family val="2"/>
      </rPr>
      <t>true</t>
    </r>
    <r>
      <rPr>
        <sz val="12"/>
        <color rgb="FFCCCCCC"/>
        <rFont val="Menlo"/>
        <family val="2"/>
      </rPr>
      <t>,</t>
    </r>
  </si>
  <si>
    <r>
      <t>"normalization_method"</t>
    </r>
    <r>
      <rPr>
        <sz val="12"/>
        <color rgb="FFCCCCCC"/>
        <rFont val="Menlo"/>
        <family val="2"/>
      </rPr>
      <t xml:space="preserve">: </t>
    </r>
    <r>
      <rPr>
        <sz val="12"/>
        <color rgb="FFCE9178"/>
        <rFont val="Menlo"/>
        <family val="2"/>
      </rPr>
      <t>"max-abs"</t>
    </r>
    <r>
      <rPr>
        <sz val="12"/>
        <color rgb="FFCCCCCC"/>
        <rFont val="Menlo"/>
        <family val="2"/>
      </rPr>
      <t>,</t>
    </r>
  </si>
  <si>
    <r>
      <t>"panel_range"</t>
    </r>
    <r>
      <rPr>
        <sz val="12"/>
        <color rgb="FFCCCCCC"/>
        <rFont val="Menlo"/>
        <family val="2"/>
      </rPr>
      <t xml:space="preserve">: </t>
    </r>
    <r>
      <rPr>
        <sz val="12"/>
        <color rgb="FFB5CEA8"/>
        <rFont val="Menlo"/>
        <family val="2"/>
      </rPr>
      <t>0.001</t>
    </r>
    <r>
      <rPr>
        <sz val="12"/>
        <color rgb="FFCCCCCC"/>
        <rFont val="Menlo"/>
        <family val="2"/>
      </rPr>
      <t>,</t>
    </r>
  </si>
  <si>
    <r>
      <t>"columns"</t>
    </r>
    <r>
      <rPr>
        <sz val="12"/>
        <color rgb="FFCCCCCC"/>
        <rFont val="Menlo"/>
        <family val="2"/>
      </rPr>
      <t>: {</t>
    </r>
  </si>
  <si>
    <r>
      <t>"macd"</t>
    </r>
    <r>
      <rPr>
        <sz val="12"/>
        <color rgb="FFCCCCCC"/>
        <rFont val="Menlo"/>
        <family val="2"/>
      </rPr>
      <t xml:space="preserve">: </t>
    </r>
    <r>
      <rPr>
        <sz val="12"/>
        <color rgb="FFCE9178"/>
        <rFont val="Menlo"/>
        <family val="2"/>
      </rPr>
      <t>"macd"</t>
    </r>
    <r>
      <rPr>
        <sz val="12"/>
        <color rgb="FFCCCCCC"/>
        <rFont val="Menlo"/>
        <family val="2"/>
      </rPr>
      <t>,</t>
    </r>
  </si>
  <si>
    <r>
      <t>"line"</t>
    </r>
    <r>
      <rPr>
        <sz val="12"/>
        <color rgb="FFCCCCCC"/>
        <rFont val="Menlo"/>
        <family val="2"/>
      </rPr>
      <t xml:space="preserve">: </t>
    </r>
    <r>
      <rPr>
        <sz val="12"/>
        <color rgb="FFCE9178"/>
        <rFont val="Menlo"/>
        <family val="2"/>
      </rPr>
      <t>"macd_line"</t>
    </r>
    <r>
      <rPr>
        <sz val="12"/>
        <color rgb="FFCCCCCC"/>
        <rFont val="Menlo"/>
        <family val="2"/>
      </rPr>
      <t>,</t>
    </r>
  </si>
  <si>
    <r>
      <t>"signal"</t>
    </r>
    <r>
      <rPr>
        <sz val="12"/>
        <color rgb="FFCCCCCC"/>
        <rFont val="Menlo"/>
        <family val="2"/>
      </rPr>
      <t xml:space="preserve">: </t>
    </r>
    <r>
      <rPr>
        <sz val="12"/>
        <color rgb="FFCE9178"/>
        <rFont val="Menlo"/>
        <family val="2"/>
      </rPr>
      <t>"macd_signal"</t>
    </r>
    <r>
      <rPr>
        <sz val="12"/>
        <color rgb="FFCCCCCC"/>
        <rFont val="Menlo"/>
        <family val="2"/>
      </rPr>
      <t>,</t>
    </r>
  </si>
  <si>
    <r>
      <t>"histogram"</t>
    </r>
    <r>
      <rPr>
        <sz val="12"/>
        <color rgb="FFCCCCCC"/>
        <rFont val="Menlo"/>
        <family val="2"/>
      </rPr>
      <t xml:space="preserve">: </t>
    </r>
    <r>
      <rPr>
        <sz val="12"/>
        <color rgb="FFCE9178"/>
        <rFont val="Menlo"/>
        <family val="2"/>
      </rPr>
      <t>"macd_histogram"</t>
    </r>
  </si>
  <si>
    <r>
      <t>"colors"</t>
    </r>
    <r>
      <rPr>
        <sz val="12"/>
        <color rgb="FFCCCCCC"/>
        <rFont val="Menlo"/>
        <family val="2"/>
      </rPr>
      <t>: {</t>
    </r>
  </si>
  <si>
    <r>
      <t>"histogram_up"</t>
    </r>
    <r>
      <rPr>
        <sz val="12"/>
        <color rgb="FFCCCCCC"/>
        <rFont val="Menlo"/>
        <family val="2"/>
      </rPr>
      <t xml:space="preserve">: </t>
    </r>
    <r>
      <rPr>
        <sz val="12"/>
        <color rgb="FFCE9178"/>
        <rFont val="Menlo"/>
        <family val="2"/>
      </rPr>
      <t>"yellow"</t>
    </r>
    <r>
      <rPr>
        <sz val="12"/>
        <color rgb="FFCCCCCC"/>
        <rFont val="Menlo"/>
        <family val="2"/>
      </rPr>
      <t>,</t>
    </r>
  </si>
  <si>
    <r>
      <t>"histogram_down"</t>
    </r>
    <r>
      <rPr>
        <sz val="12"/>
        <color rgb="FFCCCCCC"/>
        <rFont val="Menlo"/>
        <family val="2"/>
      </rPr>
      <t xml:space="preserve">: </t>
    </r>
    <r>
      <rPr>
        <sz val="12"/>
        <color rgb="FFCE9178"/>
        <rFont val="Menlo"/>
        <family val="2"/>
      </rPr>
      <t>"red"</t>
    </r>
    <r>
      <rPr>
        <sz val="12"/>
        <color rgb="FFCCCCCC"/>
        <rFont val="Menlo"/>
        <family val="2"/>
      </rPr>
      <t>,</t>
    </r>
  </si>
  <si>
    <r>
      <t>"macd_line"</t>
    </r>
    <r>
      <rPr>
        <sz val="12"/>
        <color rgb="FFCCCCCC"/>
        <rFont val="Menlo"/>
        <family val="2"/>
      </rPr>
      <t xml:space="preserve">: </t>
    </r>
    <r>
      <rPr>
        <sz val="12"/>
        <color rgb="FFCE9178"/>
        <rFont val="Menlo"/>
        <family val="2"/>
      </rPr>
      <t>"blue"</t>
    </r>
    <r>
      <rPr>
        <sz val="12"/>
        <color rgb="FFCCCCCC"/>
        <rFont val="Menlo"/>
        <family val="2"/>
      </rPr>
      <t>,</t>
    </r>
  </si>
  <si>
    <r>
      <t>"signal_line"</t>
    </r>
    <r>
      <rPr>
        <sz val="12"/>
        <color rgb="FFCCCCCC"/>
        <rFont val="Menlo"/>
        <family val="2"/>
      </rPr>
      <t xml:space="preserve">: </t>
    </r>
    <r>
      <rPr>
        <sz val="12"/>
        <color rgb="FFCE9178"/>
        <rFont val="Menlo"/>
        <family val="2"/>
      </rPr>
      <t>"red"</t>
    </r>
  </si>
  <si>
    <r>
      <t>"line_styles"</t>
    </r>
    <r>
      <rPr>
        <sz val="12"/>
        <color rgb="FFCCCCCC"/>
        <rFont val="Menlo"/>
        <family val="2"/>
      </rPr>
      <t>: {</t>
    </r>
  </si>
  <si>
    <r>
      <t>"macd_line"</t>
    </r>
    <r>
      <rPr>
        <sz val="12"/>
        <color rgb="FFCCCCCC"/>
        <rFont val="Menlo"/>
        <family val="2"/>
      </rPr>
      <t>: {</t>
    </r>
  </si>
  <si>
    <r>
      <t>"style"</t>
    </r>
    <r>
      <rPr>
        <sz val="12"/>
        <color rgb="FFCCCCCC"/>
        <rFont val="Menlo"/>
        <family val="2"/>
      </rPr>
      <t xml:space="preserve">: </t>
    </r>
    <r>
      <rPr>
        <sz val="12"/>
        <color rgb="FFCE9178"/>
        <rFont val="Menlo"/>
        <family val="2"/>
      </rPr>
      <t>"dashed"</t>
    </r>
    <r>
      <rPr>
        <sz val="12"/>
        <color rgb="FFCCCCCC"/>
        <rFont val="Menlo"/>
        <family val="2"/>
      </rPr>
      <t>,</t>
    </r>
  </si>
  <si>
    <r>
      <t>"width"</t>
    </r>
    <r>
      <rPr>
        <sz val="12"/>
        <color rgb="FFCCCCCC"/>
        <rFont val="Menlo"/>
        <family val="2"/>
      </rPr>
      <t xml:space="preserve">: </t>
    </r>
    <r>
      <rPr>
        <sz val="12"/>
        <color rgb="FFB5CEA8"/>
        <rFont val="Menlo"/>
        <family val="2"/>
      </rPr>
      <t>1.0</t>
    </r>
  </si>
  <si>
    <r>
      <t>"signal_line"</t>
    </r>
    <r>
      <rPr>
        <sz val="12"/>
        <color rgb="FFCCCCCC"/>
        <rFont val="Menlo"/>
        <family val="2"/>
      </rPr>
      <t>: {</t>
    </r>
  </si>
  <si>
    <r>
      <t>"style"</t>
    </r>
    <r>
      <rPr>
        <sz val="12"/>
        <color rgb="FFCCCCCC"/>
        <rFont val="Menlo"/>
        <family val="2"/>
      </rPr>
      <t xml:space="preserve">: </t>
    </r>
    <r>
      <rPr>
        <sz val="12"/>
        <color rgb="FFCE9178"/>
        <rFont val="Menlo"/>
        <family val="2"/>
      </rPr>
      <t>"dotted"</t>
    </r>
    <r>
      <rPr>
        <sz val="12"/>
        <color rgb="FFCCCCCC"/>
        <rFont val="Menlo"/>
        <family val="2"/>
      </rPr>
      <t>,</t>
    </r>
  </si>
  <si>
    <r>
      <t>"plot"</t>
    </r>
    <r>
      <rPr>
        <sz val="12"/>
        <color rgb="FFCCCCCC"/>
        <rFont val="Menlo"/>
        <family val="2"/>
      </rPr>
      <t>: {</t>
    </r>
  </si>
  <si>
    <r>
      <t>"show_zero_line"</t>
    </r>
    <r>
      <rPr>
        <sz val="12"/>
        <color rgb="FFCCCCCC"/>
        <rFont val="Menlo"/>
        <family val="2"/>
      </rPr>
      <t xml:space="preserve">: </t>
    </r>
    <r>
      <rPr>
        <sz val="12"/>
        <color rgb="FF569CD6"/>
        <rFont val="Menlo"/>
        <family val="2"/>
      </rPr>
      <t>false</t>
    </r>
    <r>
      <rPr>
        <sz val="12"/>
        <color rgb="FFCCCCCC"/>
        <rFont val="Menlo"/>
        <family val="2"/>
      </rPr>
      <t>,</t>
    </r>
  </si>
  <si>
    <r>
      <t>"zero_line_color"</t>
    </r>
    <r>
      <rPr>
        <sz val="12"/>
        <color rgb="FFCCCCCC"/>
        <rFont val="Menlo"/>
        <family val="2"/>
      </rPr>
      <t xml:space="preserve">: </t>
    </r>
    <r>
      <rPr>
        <sz val="12"/>
        <color rgb="FFCE9178"/>
        <rFont val="Menlo"/>
        <family val="2"/>
      </rPr>
      <t>"gray"</t>
    </r>
    <r>
      <rPr>
        <sz val="12"/>
        <color rgb="FFCCCCCC"/>
        <rFont val="Menlo"/>
        <family val="2"/>
      </rPr>
      <t>,</t>
    </r>
  </si>
  <si>
    <r>
      <t>"zero_line_style"</t>
    </r>
    <r>
      <rPr>
        <sz val="12"/>
        <color rgb="FFCCCCCC"/>
        <rFont val="Menlo"/>
        <family val="2"/>
      </rPr>
      <t xml:space="preserve">: </t>
    </r>
    <r>
      <rPr>
        <sz val="12"/>
        <color rgb="FFCE9178"/>
        <rFont val="Menlo"/>
        <family val="2"/>
      </rPr>
      <t>"dashed"</t>
    </r>
    <r>
      <rPr>
        <sz val="12"/>
        <color rgb="FFCCCCCC"/>
        <rFont val="Menlo"/>
        <family val="2"/>
      </rPr>
      <t>,</t>
    </r>
  </si>
  <si>
    <r>
      <t>"histogram_width"</t>
    </r>
    <r>
      <rPr>
        <sz val="12"/>
        <color rgb="FFCCCCCC"/>
        <rFont val="Menlo"/>
        <family val="2"/>
      </rPr>
      <t xml:space="preserve">: </t>
    </r>
    <r>
      <rPr>
        <sz val="12"/>
        <color rgb="FFB5CEA8"/>
        <rFont val="Menlo"/>
        <family val="2"/>
      </rPr>
      <t>0.5</t>
    </r>
  </si>
  <si>
    <r>
      <t>"cci"</t>
    </r>
    <r>
      <rPr>
        <sz val="12"/>
        <color rgb="FFCCCCCC"/>
        <rFont val="Menlo"/>
        <family val="2"/>
      </rPr>
      <t>: {</t>
    </r>
  </si>
  <si>
    <r>
      <t>"panel"</t>
    </r>
    <r>
      <rPr>
        <sz val="12"/>
        <color rgb="FFCCCCCC"/>
        <rFont val="Menlo"/>
        <family val="2"/>
      </rPr>
      <t xml:space="preserve">: </t>
    </r>
    <r>
      <rPr>
        <sz val="12"/>
        <color rgb="FFB5CEA8"/>
        <rFont val="Menlo"/>
        <family val="2"/>
      </rPr>
      <t>2</t>
    </r>
    <r>
      <rPr>
        <sz val="12"/>
        <color rgb="FFCCCCCC"/>
        <rFont val="Menlo"/>
        <family val="2"/>
      </rPr>
      <t>,</t>
    </r>
  </si>
  <si>
    <r>
      <t>"method"</t>
    </r>
    <r>
      <rPr>
        <sz val="12"/>
        <color rgb="FFCCCCCC"/>
        <rFont val="Menlo"/>
        <family val="2"/>
      </rPr>
      <t xml:space="preserve">: </t>
    </r>
    <r>
      <rPr>
        <sz val="12"/>
        <color rgb="FFCE9178"/>
        <rFont val="Menlo"/>
        <family val="2"/>
      </rPr>
      <t>"classic"</t>
    </r>
    <r>
      <rPr>
        <sz val="12"/>
        <color rgb="FFCCCCCC"/>
        <rFont val="Menlo"/>
        <family val="2"/>
      </rPr>
      <t>,</t>
    </r>
  </si>
  <si>
    <r>
      <t>"period"</t>
    </r>
    <r>
      <rPr>
        <sz val="12"/>
        <color rgb="FFCCCCCC"/>
        <rFont val="Menlo"/>
        <family val="2"/>
      </rPr>
      <t xml:space="preserve">: </t>
    </r>
    <r>
      <rPr>
        <sz val="12"/>
        <color rgb="FFB5CEA8"/>
        <rFont val="Menlo"/>
        <family val="2"/>
      </rPr>
      <t>13</t>
    </r>
    <r>
      <rPr>
        <sz val="12"/>
        <color rgb="FFCCCCCC"/>
        <rFont val="Menlo"/>
        <family val="2"/>
      </rPr>
      <t>,</t>
    </r>
  </si>
  <si>
    <r>
      <t>"constant"</t>
    </r>
    <r>
      <rPr>
        <sz val="12"/>
        <color rgb="FFCCCCCC"/>
        <rFont val="Menlo"/>
        <family val="2"/>
      </rPr>
      <t xml:space="preserve">: </t>
    </r>
    <r>
      <rPr>
        <sz val="12"/>
        <color rgb="FFB5CEA8"/>
        <rFont val="Menlo"/>
        <family val="2"/>
      </rPr>
      <t>0.015</t>
    </r>
    <r>
      <rPr>
        <sz val="12"/>
        <color rgb="FFCCCCCC"/>
        <rFont val="Menlo"/>
        <family val="2"/>
      </rPr>
      <t>,</t>
    </r>
  </si>
  <si>
    <r>
      <t>"thresholds"</t>
    </r>
    <r>
      <rPr>
        <sz val="12"/>
        <color rgb="FFCCCCCC"/>
        <rFont val="Menlo"/>
        <family val="2"/>
      </rPr>
      <t>: {</t>
    </r>
  </si>
  <si>
    <r>
      <t>"upper"</t>
    </r>
    <r>
      <rPr>
        <sz val="12"/>
        <color rgb="FFCCCCCC"/>
        <rFont val="Menlo"/>
        <family val="2"/>
      </rPr>
      <t xml:space="preserve">: </t>
    </r>
    <r>
      <rPr>
        <sz val="12"/>
        <color rgb="FFB5CEA8"/>
        <rFont val="Menlo"/>
        <family val="2"/>
      </rPr>
      <t>75</t>
    </r>
    <r>
      <rPr>
        <sz val="12"/>
        <color rgb="FFCCCCCC"/>
        <rFont val="Menlo"/>
        <family val="2"/>
      </rPr>
      <t>,</t>
    </r>
  </si>
  <si>
    <r>
      <t>"lower"</t>
    </r>
    <r>
      <rPr>
        <sz val="12"/>
        <color rgb="FFCCCCCC"/>
        <rFont val="Menlo"/>
        <family val="2"/>
      </rPr>
      <t xml:space="preserve">: </t>
    </r>
    <r>
      <rPr>
        <sz val="12"/>
        <color rgb="FFB5CEA8"/>
        <rFont val="Menlo"/>
        <family val="2"/>
      </rPr>
      <t>-75</t>
    </r>
  </si>
  <si>
    <r>
      <t>"normalization_method"</t>
    </r>
    <r>
      <rPr>
        <sz val="12"/>
        <color rgb="FFCCCCCC"/>
        <rFont val="Menlo"/>
        <family val="2"/>
      </rPr>
      <t xml:space="preserve">: </t>
    </r>
    <r>
      <rPr>
        <sz val="12"/>
        <color rgb="FFCE9178"/>
        <rFont val="Menlo"/>
        <family val="2"/>
      </rPr>
      <t>"cci-fixed"</t>
    </r>
    <r>
      <rPr>
        <sz val="12"/>
        <color rgb="FFCCCCCC"/>
        <rFont val="Menlo"/>
        <family val="2"/>
      </rPr>
      <t>,</t>
    </r>
  </si>
  <si>
    <r>
      <t>"legend_format"</t>
    </r>
    <r>
      <rPr>
        <sz val="12"/>
        <color rgb="FFCCCCCC"/>
        <rFont val="Menlo"/>
        <family val="2"/>
      </rPr>
      <t xml:space="preserve">: </t>
    </r>
    <r>
      <rPr>
        <sz val="12"/>
        <color rgb="FFCE9178"/>
        <rFont val="Menlo"/>
        <family val="2"/>
      </rPr>
      <t>"CCI({period}, {upper},{lower})"</t>
    </r>
    <r>
      <rPr>
        <sz val="12"/>
        <color rgb="FFCCCCCC"/>
        <rFont val="Menlo"/>
        <family val="2"/>
      </rPr>
      <t>,</t>
    </r>
  </si>
  <si>
    <r>
      <t>"line"</t>
    </r>
    <r>
      <rPr>
        <sz val="12"/>
        <color rgb="FFCCCCCC"/>
        <rFont val="Menlo"/>
        <family val="2"/>
      </rPr>
      <t xml:space="preserve">: </t>
    </r>
    <r>
      <rPr>
        <sz val="12"/>
        <color rgb="FFCE9178"/>
        <rFont val="Menlo"/>
        <family val="2"/>
      </rPr>
      <t>"cyan"</t>
    </r>
    <r>
      <rPr>
        <sz val="12"/>
        <color rgb="FFCCCCCC"/>
        <rFont val="Menlo"/>
        <family val="2"/>
      </rPr>
      <t>,</t>
    </r>
  </si>
  <si>
    <r>
      <t>"overbought"</t>
    </r>
    <r>
      <rPr>
        <sz val="12"/>
        <color rgb="FFCCCCCC"/>
        <rFont val="Menlo"/>
        <family val="2"/>
      </rPr>
      <t xml:space="preserve">: </t>
    </r>
    <r>
      <rPr>
        <sz val="12"/>
        <color rgb="FFCE9178"/>
        <rFont val="Menlo"/>
        <family val="2"/>
      </rPr>
      <t>"red"</t>
    </r>
    <r>
      <rPr>
        <sz val="12"/>
        <color rgb="FFCCCCCC"/>
        <rFont val="Menlo"/>
        <family val="2"/>
      </rPr>
      <t>,</t>
    </r>
  </si>
  <si>
    <r>
      <t>"oversold"</t>
    </r>
    <r>
      <rPr>
        <sz val="12"/>
        <color rgb="FFCCCCCC"/>
        <rFont val="Menlo"/>
        <family val="2"/>
      </rPr>
      <t xml:space="preserve">: </t>
    </r>
    <r>
      <rPr>
        <sz val="12"/>
        <color rgb="FFCE9178"/>
        <rFont val="Menlo"/>
        <family val="2"/>
      </rPr>
      <t>"blue"</t>
    </r>
  </si>
  <si>
    <r>
      <t>"line_style"</t>
    </r>
    <r>
      <rPr>
        <sz val="12"/>
        <color rgb="FFCCCCCC"/>
        <rFont val="Menlo"/>
        <family val="2"/>
      </rPr>
      <t xml:space="preserve">: </t>
    </r>
    <r>
      <rPr>
        <sz val="12"/>
        <color rgb="FFCE9178"/>
        <rFont val="Menlo"/>
        <family val="2"/>
      </rPr>
      <t>"dashed"</t>
    </r>
    <r>
      <rPr>
        <sz val="12"/>
        <color rgb="FFCCCCCC"/>
        <rFont val="Menlo"/>
        <family val="2"/>
      </rPr>
      <t>,</t>
    </r>
  </si>
  <si>
    <r>
      <t>"show_bands"</t>
    </r>
    <r>
      <rPr>
        <sz val="12"/>
        <color rgb="FFCCCCCC"/>
        <rFont val="Menlo"/>
        <family val="2"/>
      </rPr>
      <t xml:space="preserve">: </t>
    </r>
    <r>
      <rPr>
        <sz val="12"/>
        <color rgb="FF569CD6"/>
        <rFont val="Menlo"/>
        <family val="2"/>
      </rPr>
      <t>false</t>
    </r>
    <r>
      <rPr>
        <sz val="12"/>
        <color rgb="FFCCCCCC"/>
        <rFont val="Menlo"/>
        <family val="2"/>
      </rPr>
      <t>,</t>
    </r>
  </si>
  <si>
    <r>
      <t>"show_cross_lines"</t>
    </r>
    <r>
      <rPr>
        <sz val="12"/>
        <color rgb="FFCCCCCC"/>
        <rFont val="Menlo"/>
        <family val="2"/>
      </rPr>
      <t xml:space="preserve">: </t>
    </r>
    <r>
      <rPr>
        <sz val="12"/>
        <color rgb="FF569CD6"/>
        <rFont val="Menlo"/>
        <family val="2"/>
      </rPr>
      <t>false</t>
    </r>
    <r>
      <rPr>
        <sz val="12"/>
        <color rgb="FFCCCCCC"/>
        <rFont val="Menlo"/>
        <family val="2"/>
      </rPr>
      <t>,</t>
    </r>
  </si>
  <si>
    <r>
      <t>"band_color"</t>
    </r>
    <r>
      <rPr>
        <sz val="12"/>
        <color rgb="FFCCCCCC"/>
        <rFont val="Menlo"/>
        <family val="2"/>
      </rPr>
      <t xml:space="preserve">: </t>
    </r>
    <r>
      <rPr>
        <sz val="12"/>
        <color rgb="FFCE9178"/>
        <rFont val="Menlo"/>
        <family val="2"/>
      </rPr>
      <t>"gray"</t>
    </r>
    <r>
      <rPr>
        <sz val="12"/>
        <color rgb="FFCCCCCC"/>
        <rFont val="Menlo"/>
        <family val="2"/>
      </rPr>
      <t>,</t>
    </r>
  </si>
  <si>
    <r>
      <t>"band_style"</t>
    </r>
    <r>
      <rPr>
        <sz val="12"/>
        <color rgb="FFCCCCCC"/>
        <rFont val="Menlo"/>
        <family val="2"/>
      </rPr>
      <t xml:space="preserve">: </t>
    </r>
    <r>
      <rPr>
        <sz val="12"/>
        <color rgb="FFCE9178"/>
        <rFont val="Menlo"/>
        <family val="2"/>
      </rPr>
      <t>"dashed"</t>
    </r>
  </si>
  <si>
    <r>
      <t>"rsi"</t>
    </r>
    <r>
      <rPr>
        <sz val="12"/>
        <color rgb="FFCCCCCC"/>
        <rFont val="Menlo"/>
        <family val="2"/>
      </rPr>
      <t>: {</t>
    </r>
  </si>
  <si>
    <r>
      <t>"panel"</t>
    </r>
    <r>
      <rPr>
        <sz val="12"/>
        <color rgb="FFCCCCCC"/>
        <rFont val="Menlo"/>
        <family val="2"/>
      </rPr>
      <t xml:space="preserve">: </t>
    </r>
    <r>
      <rPr>
        <sz val="12"/>
        <color rgb="FFB5CEA8"/>
        <rFont val="Menlo"/>
        <family val="2"/>
      </rPr>
      <t>3</t>
    </r>
    <r>
      <rPr>
        <sz val="12"/>
        <color rgb="FFCCCCCC"/>
        <rFont val="Menlo"/>
        <family val="2"/>
      </rPr>
      <t>,</t>
    </r>
  </si>
  <si>
    <r>
      <t>"upper"</t>
    </r>
    <r>
      <rPr>
        <sz val="12"/>
        <color rgb="FFCCCCCC"/>
        <rFont val="Menlo"/>
        <family val="2"/>
      </rPr>
      <t xml:space="preserve">: </t>
    </r>
    <r>
      <rPr>
        <sz val="12"/>
        <color rgb="FFB5CEA8"/>
        <rFont val="Menlo"/>
        <family val="2"/>
      </rPr>
      <t>70</t>
    </r>
    <r>
      <rPr>
        <sz val="12"/>
        <color rgb="FFCCCCCC"/>
        <rFont val="Menlo"/>
        <family val="2"/>
      </rPr>
      <t>,</t>
    </r>
  </si>
  <si>
    <r>
      <t>"lower"</t>
    </r>
    <r>
      <rPr>
        <sz val="12"/>
        <color rgb="FFCCCCCC"/>
        <rFont val="Menlo"/>
        <family val="2"/>
      </rPr>
      <t xml:space="preserve">: </t>
    </r>
    <r>
      <rPr>
        <sz val="12"/>
        <color rgb="FFB5CEA8"/>
        <rFont val="Menlo"/>
        <family val="2"/>
      </rPr>
      <t>30</t>
    </r>
  </si>
  <si>
    <r>
      <t>"legend_format"</t>
    </r>
    <r>
      <rPr>
        <sz val="12"/>
        <color rgb="FFCCCCCC"/>
        <rFont val="Menlo"/>
        <family val="2"/>
      </rPr>
      <t xml:space="preserve">: </t>
    </r>
    <r>
      <rPr>
        <sz val="12"/>
        <color rgb="FFCE9178"/>
        <rFont val="Menlo"/>
        <family val="2"/>
      </rPr>
      <t>"RSI({period}, {upper}/{lower})"</t>
    </r>
    <r>
      <rPr>
        <sz val="12"/>
        <color rgb="FFCCCCCC"/>
        <rFont val="Menlo"/>
        <family val="2"/>
      </rPr>
      <t>,</t>
    </r>
  </si>
  <si>
    <r>
      <t>"normalization_method"</t>
    </r>
    <r>
      <rPr>
        <sz val="12"/>
        <color rgb="FFCCCCCC"/>
        <rFont val="Menlo"/>
        <family val="2"/>
      </rPr>
      <t xml:space="preserve">: </t>
    </r>
    <r>
      <rPr>
        <sz val="12"/>
        <color rgb="FFCE9178"/>
        <rFont val="Menlo"/>
        <family val="2"/>
      </rPr>
      <t>"centered-50"</t>
    </r>
    <r>
      <rPr>
        <sz val="12"/>
        <color rgb="FFCCCCCC"/>
        <rFont val="Menlo"/>
        <family val="2"/>
      </rPr>
      <t>,</t>
    </r>
  </si>
  <si>
    <r>
      <t>"show_bands"</t>
    </r>
    <r>
      <rPr>
        <sz val="12"/>
        <color rgb="FFCCCCCC"/>
        <rFont val="Menlo"/>
        <family val="2"/>
      </rPr>
      <t xml:space="preserve">: </t>
    </r>
    <r>
      <rPr>
        <sz val="12"/>
        <color rgb="FF569CD6"/>
        <rFont val="Menlo"/>
        <family val="2"/>
      </rPr>
      <t>true</t>
    </r>
    <r>
      <rPr>
        <sz val="12"/>
        <color rgb="FFCCCCCC"/>
        <rFont val="Menlo"/>
        <family val="2"/>
      </rPr>
      <t>,</t>
    </r>
  </si>
  <si>
    <r>
      <t>"band_color"</t>
    </r>
    <r>
      <rPr>
        <sz val="12"/>
        <color rgb="FFCCCCCC"/>
        <rFont val="Menlo"/>
        <family val="2"/>
      </rPr>
      <t xml:space="preserve">: </t>
    </r>
    <r>
      <rPr>
        <sz val="12"/>
        <color rgb="FFCE9178"/>
        <rFont val="Menlo"/>
        <family val="2"/>
      </rPr>
      <t>"orange"</t>
    </r>
    <r>
      <rPr>
        <sz val="12"/>
        <color rgb="FFCCCCCC"/>
        <rFont val="Menlo"/>
        <family val="2"/>
      </rPr>
      <t>,</t>
    </r>
  </si>
  <si>
    <r>
      <t>"color"</t>
    </r>
    <r>
      <rPr>
        <sz val="12"/>
        <color rgb="FFCCCCCC"/>
        <rFont val="Menlo"/>
        <family val="2"/>
      </rPr>
      <t xml:space="preserve">: </t>
    </r>
    <r>
      <rPr>
        <sz val="12"/>
        <color rgb="FFCE9178"/>
        <rFont val="Menlo"/>
        <family val="2"/>
      </rPr>
      <t>"orange"</t>
    </r>
    <r>
      <rPr>
        <sz val="12"/>
        <color rgb="FFCCCCCC"/>
        <rFont val="Menlo"/>
        <family val="2"/>
      </rPr>
      <t>,</t>
    </r>
  </si>
  <si>
    <r>
      <t>"linewidth"</t>
    </r>
    <r>
      <rPr>
        <sz val="12"/>
        <color rgb="FFCCCCCC"/>
        <rFont val="Menlo"/>
        <family val="2"/>
      </rPr>
      <t xml:space="preserve">: </t>
    </r>
    <r>
      <rPr>
        <sz val="12"/>
        <color rgb="FFB5CEA8"/>
        <rFont val="Menlo"/>
        <family val="2"/>
      </rPr>
      <t>0.5</t>
    </r>
  </si>
  <si>
    <r>
      <t>"atr"</t>
    </r>
    <r>
      <rPr>
        <sz val="12"/>
        <color rgb="FFCCCCCC"/>
        <rFont val="Menlo"/>
        <family val="2"/>
      </rPr>
      <t>: {</t>
    </r>
  </si>
  <si>
    <r>
      <t>"period"</t>
    </r>
    <r>
      <rPr>
        <sz val="12"/>
        <color rgb="FFCCCCCC"/>
        <rFont val="Menlo"/>
        <family val="2"/>
      </rPr>
      <t xml:space="preserve">: </t>
    </r>
    <r>
      <rPr>
        <sz val="12"/>
        <color rgb="FFB5CEA8"/>
        <rFont val="Menlo"/>
        <family val="2"/>
      </rPr>
      <t>21</t>
    </r>
    <r>
      <rPr>
        <sz val="12"/>
        <color rgb="FFCCCCCC"/>
        <rFont val="Menlo"/>
        <family val="2"/>
      </rPr>
      <t>,</t>
    </r>
  </si>
  <si>
    <r>
      <t>"normalization_method"</t>
    </r>
    <r>
      <rPr>
        <sz val="12"/>
        <color rgb="FFCCCCCC"/>
        <rFont val="Menlo"/>
        <family val="2"/>
      </rPr>
      <t xml:space="preserve">: </t>
    </r>
    <r>
      <rPr>
        <sz val="12"/>
        <color rgb="FFCE9178"/>
        <rFont val="Menlo"/>
        <family val="2"/>
      </rPr>
      <t>"volatility-normalized"</t>
    </r>
    <r>
      <rPr>
        <sz val="12"/>
        <color rgb="FFCCCCCC"/>
        <rFont val="Menlo"/>
        <family val="2"/>
      </rPr>
      <t>,</t>
    </r>
  </si>
  <si>
    <r>
      <t>"panel_range"</t>
    </r>
    <r>
      <rPr>
        <sz val="12"/>
        <color rgb="FFCCCCCC"/>
        <rFont val="Menlo"/>
        <family val="2"/>
      </rPr>
      <t xml:space="preserve">: </t>
    </r>
    <r>
      <rPr>
        <sz val="12"/>
        <color rgb="FFB5CEA8"/>
        <rFont val="Menlo"/>
        <family val="2"/>
      </rPr>
      <t>0.005</t>
    </r>
    <r>
      <rPr>
        <sz val="12"/>
        <color rgb="FFCCCCCC"/>
        <rFont val="Menlo"/>
        <family val="2"/>
      </rPr>
      <t>,</t>
    </r>
  </si>
  <si>
    <r>
      <t>"panel_clip_range"</t>
    </r>
    <r>
      <rPr>
        <sz val="12"/>
        <color rgb="FFCCCCCC"/>
        <rFont val="Menlo"/>
        <family val="2"/>
      </rPr>
      <t xml:space="preserve">: </t>
    </r>
    <r>
      <rPr>
        <sz val="12"/>
        <color rgb="FFB5CEA8"/>
        <rFont val="Menlo"/>
        <family val="2"/>
      </rPr>
      <t>1.0</t>
    </r>
    <r>
      <rPr>
        <sz val="12"/>
        <color rgb="FFCCCCCC"/>
        <rFont val="Menlo"/>
        <family val="2"/>
      </rPr>
      <t>,</t>
    </r>
  </si>
  <si>
    <r>
      <t>"legend_format"</t>
    </r>
    <r>
      <rPr>
        <sz val="12"/>
        <color rgb="FFCCCCCC"/>
        <rFont val="Menlo"/>
        <family val="2"/>
      </rPr>
      <t xml:space="preserve">: </t>
    </r>
    <r>
      <rPr>
        <sz val="12"/>
        <color rgb="FFCE9178"/>
        <rFont val="Menlo"/>
        <family val="2"/>
      </rPr>
      <t>"ATR({period})"</t>
    </r>
    <r>
      <rPr>
        <sz val="12"/>
        <color rgb="FFCCCCCC"/>
        <rFont val="Menlo"/>
        <family val="2"/>
      </rPr>
      <t>,</t>
    </r>
  </si>
  <si>
    <r>
      <t>"color"</t>
    </r>
    <r>
      <rPr>
        <sz val="12"/>
        <color rgb="FFCCCCCC"/>
        <rFont val="Menlo"/>
        <family val="2"/>
      </rPr>
      <t xml:space="preserve">: </t>
    </r>
    <r>
      <rPr>
        <sz val="12"/>
        <color rgb="FFCE9178"/>
        <rFont val="Menlo"/>
        <family val="2"/>
      </rPr>
      <t>"lightgray"</t>
    </r>
    <r>
      <rPr>
        <sz val="12"/>
        <color rgb="FFCCCCCC"/>
        <rFont val="Menlo"/>
        <family val="2"/>
      </rPr>
      <t>,</t>
    </r>
  </si>
  <si>
    <r>
      <t>"line_style"</t>
    </r>
    <r>
      <rPr>
        <sz val="12"/>
        <color rgb="FFCCCCCC"/>
        <rFont val="Menlo"/>
        <family val="2"/>
      </rPr>
      <t xml:space="preserve">: </t>
    </r>
    <r>
      <rPr>
        <sz val="12"/>
        <color rgb="FFCE9178"/>
        <rFont val="Menlo"/>
        <family val="2"/>
      </rPr>
      <t>"dotted"</t>
    </r>
    <r>
      <rPr>
        <sz val="12"/>
        <color rgb="FFCCCCCC"/>
        <rFont val="Menlo"/>
        <family val="2"/>
      </rPr>
      <t>,</t>
    </r>
  </si>
  <si>
    <r>
      <t>"zero_line_style"</t>
    </r>
    <r>
      <rPr>
        <sz val="12"/>
        <color rgb="FFCCCCCC"/>
        <rFont val="Menlo"/>
        <family val="2"/>
      </rPr>
      <t xml:space="preserve">: </t>
    </r>
    <r>
      <rPr>
        <sz val="12"/>
        <color rgb="FFCE9178"/>
        <rFont val="Menlo"/>
        <family val="2"/>
      </rPr>
      <t>"dashed"</t>
    </r>
  </si>
  <si>
    <r>
      <t>"market_identification"</t>
    </r>
    <r>
      <rPr>
        <sz val="12"/>
        <color rgb="FFCCCCCC"/>
        <rFont val="Menlo"/>
        <family val="2"/>
      </rPr>
      <t>: {</t>
    </r>
  </si>
  <si>
    <r>
      <t>"unordered_market"</t>
    </r>
    <r>
      <rPr>
        <sz val="12"/>
        <color rgb="FFCCCCCC"/>
        <rFont val="Menlo"/>
        <family val="2"/>
      </rPr>
      <t>: {</t>
    </r>
  </si>
  <si>
    <r>
      <t>"unordered_trending_long"</t>
    </r>
    <r>
      <rPr>
        <sz val="12"/>
        <color rgb="FFCCCCCC"/>
        <rFont val="Menlo"/>
        <family val="2"/>
      </rPr>
      <t>: {</t>
    </r>
  </si>
  <si>
    <r>
      <t>"logic"</t>
    </r>
    <r>
      <rPr>
        <sz val="12"/>
        <color rgb="FFCCCCCC"/>
        <rFont val="Menlo"/>
        <family val="2"/>
      </rPr>
      <t xml:space="preserve">: </t>
    </r>
    <r>
      <rPr>
        <sz val="12"/>
        <color rgb="FFCE9178"/>
        <rFont val="Menlo"/>
        <family val="2"/>
      </rPr>
      <t>"AND"</t>
    </r>
    <r>
      <rPr>
        <sz val="12"/>
        <color rgb="FFCCCCCC"/>
        <rFont val="Menlo"/>
        <family val="2"/>
      </rPr>
      <t>,</t>
    </r>
  </si>
  <si>
    <r>
      <t>"ema_34_vs_ema_13"</t>
    </r>
    <r>
      <rPr>
        <sz val="12"/>
        <color rgb="FFCCCCCC"/>
        <rFont val="Menlo"/>
        <family val="2"/>
      </rPr>
      <t xml:space="preserve">: </t>
    </r>
    <r>
      <rPr>
        <sz val="12"/>
        <color rgb="FFCE9178"/>
        <rFont val="Menlo"/>
        <family val="2"/>
      </rPr>
      <t>"&gt;"</t>
    </r>
    <r>
      <rPr>
        <sz val="12"/>
        <color rgb="FFCCCCCC"/>
        <rFont val="Menlo"/>
        <family val="2"/>
      </rPr>
      <t>,</t>
    </r>
  </si>
  <si>
    <r>
      <t>"ema_13_vs_ema_89"</t>
    </r>
    <r>
      <rPr>
        <sz val="12"/>
        <color rgb="FFCCCCCC"/>
        <rFont val="Menlo"/>
        <family val="2"/>
      </rPr>
      <t xml:space="preserve">: </t>
    </r>
    <r>
      <rPr>
        <sz val="12"/>
        <color rgb="FFCE9178"/>
        <rFont val="Menlo"/>
        <family val="2"/>
      </rPr>
      <t>"&gt;"</t>
    </r>
  </si>
  <si>
    <r>
      <t>"unordered_trending_short"</t>
    </r>
    <r>
      <rPr>
        <sz val="12"/>
        <color rgb="FFCCCCCC"/>
        <rFont val="Menlo"/>
        <family val="2"/>
      </rPr>
      <t>: {</t>
    </r>
  </si>
  <si>
    <r>
      <t>"ema_34_vs_ema_13"</t>
    </r>
    <r>
      <rPr>
        <sz val="12"/>
        <color rgb="FFCCCCCC"/>
        <rFont val="Menlo"/>
        <family val="2"/>
      </rPr>
      <t xml:space="preserve">: </t>
    </r>
    <r>
      <rPr>
        <sz val="12"/>
        <color rgb="FFCE9178"/>
        <rFont val="Menlo"/>
        <family val="2"/>
      </rPr>
      <t>"&lt;"</t>
    </r>
    <r>
      <rPr>
        <sz val="12"/>
        <color rgb="FFCCCCCC"/>
        <rFont val="Menlo"/>
        <family val="2"/>
      </rPr>
      <t>,</t>
    </r>
  </si>
  <si>
    <r>
      <t>"ema_13_vs_ema_89"</t>
    </r>
    <r>
      <rPr>
        <sz val="12"/>
        <color rgb="FFCCCCCC"/>
        <rFont val="Menlo"/>
        <family val="2"/>
      </rPr>
      <t xml:space="preserve">: </t>
    </r>
    <r>
      <rPr>
        <sz val="12"/>
        <color rgb="FFCE9178"/>
        <rFont val="Menlo"/>
        <family val="2"/>
      </rPr>
      <t>"&lt;"</t>
    </r>
  </si>
  <si>
    <r>
      <t>"emerging_market"</t>
    </r>
    <r>
      <rPr>
        <sz val="12"/>
        <color rgb="FFCCCCCC"/>
        <rFont val="Menlo"/>
        <family val="2"/>
      </rPr>
      <t>: {</t>
    </r>
  </si>
  <si>
    <r>
      <t>"emerging_long_market"</t>
    </r>
    <r>
      <rPr>
        <sz val="12"/>
        <color rgb="FFCCCCCC"/>
        <rFont val="Menlo"/>
        <family val="2"/>
      </rPr>
      <t>: {</t>
    </r>
  </si>
  <si>
    <r>
      <t>"ema_13_vs_ema_34"</t>
    </r>
    <r>
      <rPr>
        <sz val="12"/>
        <color rgb="FFCCCCCC"/>
        <rFont val="Menlo"/>
        <family val="2"/>
      </rPr>
      <t xml:space="preserve">: </t>
    </r>
    <r>
      <rPr>
        <sz val="12"/>
        <color rgb="FFCE9178"/>
        <rFont val="Menlo"/>
        <family val="2"/>
      </rPr>
      <t>"&gt;"</t>
    </r>
    <r>
      <rPr>
        <sz val="12"/>
        <color rgb="FFCCCCCC"/>
        <rFont val="Menlo"/>
        <family val="2"/>
      </rPr>
      <t>,</t>
    </r>
  </si>
  <si>
    <r>
      <t>"ema_34_vs_ema_89"</t>
    </r>
    <r>
      <rPr>
        <sz val="12"/>
        <color rgb="FFCCCCCC"/>
        <rFont val="Menlo"/>
        <family val="2"/>
      </rPr>
      <t xml:space="preserve">: </t>
    </r>
    <r>
      <rPr>
        <sz val="12"/>
        <color rgb="FFCE9178"/>
        <rFont val="Menlo"/>
        <family val="2"/>
      </rPr>
      <t>"&lt;"</t>
    </r>
  </si>
  <si>
    <r>
      <t>"emerging_short_market"</t>
    </r>
    <r>
      <rPr>
        <sz val="12"/>
        <color rgb="FFCCCCCC"/>
        <rFont val="Menlo"/>
        <family val="2"/>
      </rPr>
      <t>: {</t>
    </r>
  </si>
  <si>
    <r>
      <t>"ema_13_vs_ema_34"</t>
    </r>
    <r>
      <rPr>
        <sz val="12"/>
        <color rgb="FFCCCCCC"/>
        <rFont val="Menlo"/>
        <family val="2"/>
      </rPr>
      <t xml:space="preserve">: </t>
    </r>
    <r>
      <rPr>
        <sz val="12"/>
        <color rgb="FFCE9178"/>
        <rFont val="Menlo"/>
        <family val="2"/>
      </rPr>
      <t>"&lt;"</t>
    </r>
    <r>
      <rPr>
        <sz val="12"/>
        <color rgb="FFCCCCCC"/>
        <rFont val="Menlo"/>
        <family val="2"/>
      </rPr>
      <t>,</t>
    </r>
  </si>
  <si>
    <r>
      <t>"ema_34_vs_ema_89"</t>
    </r>
    <r>
      <rPr>
        <sz val="12"/>
        <color rgb="FFCCCCCC"/>
        <rFont val="Menlo"/>
        <family val="2"/>
      </rPr>
      <t xml:space="preserve">: </t>
    </r>
    <r>
      <rPr>
        <sz val="12"/>
        <color rgb="FFCE9178"/>
        <rFont val="Menlo"/>
        <family val="2"/>
      </rPr>
      <t>"&gt;"</t>
    </r>
  </si>
  <si>
    <r>
      <t>"trending_market"</t>
    </r>
    <r>
      <rPr>
        <sz val="12"/>
        <color rgb="FFCCCCCC"/>
        <rFont val="Menlo"/>
        <family val="2"/>
      </rPr>
      <t>: {</t>
    </r>
  </si>
  <si>
    <r>
      <t>"strong_trend_market"</t>
    </r>
    <r>
      <rPr>
        <sz val="12"/>
        <color rgb="FFCCCCCC"/>
        <rFont val="Menlo"/>
        <family val="2"/>
      </rPr>
      <t>: {</t>
    </r>
  </si>
  <si>
    <r>
      <t>"strong_trend_long_market"</t>
    </r>
    <r>
      <rPr>
        <sz val="12"/>
        <color rgb="FFCCCCCC"/>
        <rFont val="Menlo"/>
        <family val="2"/>
      </rPr>
      <t>: {</t>
    </r>
  </si>
  <si>
    <r>
      <t>"strong_trend_short_market"</t>
    </r>
    <r>
      <rPr>
        <sz val="12"/>
        <color rgb="FFCCCCCC"/>
        <rFont val="Menlo"/>
        <family val="2"/>
      </rPr>
      <t>: {</t>
    </r>
  </si>
  <si>
    <r>
      <t>"medium_trend_market"</t>
    </r>
    <r>
      <rPr>
        <sz val="12"/>
        <color rgb="FFCCCCCC"/>
        <rFont val="Menlo"/>
        <family val="2"/>
      </rPr>
      <t>: {</t>
    </r>
  </si>
  <si>
    <r>
      <t>"medium_trend_long_market"</t>
    </r>
    <r>
      <rPr>
        <sz val="12"/>
        <color rgb="FFCCCCCC"/>
        <rFont val="Menlo"/>
        <family val="2"/>
      </rPr>
      <t>: {</t>
    </r>
  </si>
  <si>
    <r>
      <t>"ema_13_vs_ema_34"</t>
    </r>
    <r>
      <rPr>
        <sz val="12"/>
        <color rgb="FFCCCCCC"/>
        <rFont val="Menlo"/>
        <family val="2"/>
      </rPr>
      <t xml:space="preserve">: </t>
    </r>
    <r>
      <rPr>
        <sz val="12"/>
        <color rgb="FFCE9178"/>
        <rFont val="Menlo"/>
        <family val="2"/>
      </rPr>
      <t>"&gt;"</t>
    </r>
  </si>
  <si>
    <r>
      <t>"medium_trend_short_market"</t>
    </r>
    <r>
      <rPr>
        <sz val="12"/>
        <color rgb="FFCCCCCC"/>
        <rFont val="Menlo"/>
        <family val="2"/>
      </rPr>
      <t>: {</t>
    </r>
  </si>
  <si>
    <r>
      <t>"ema_13_vs_ema_34"</t>
    </r>
    <r>
      <rPr>
        <sz val="12"/>
        <color rgb="FFCCCCCC"/>
        <rFont val="Menlo"/>
        <family val="2"/>
      </rPr>
      <t xml:space="preserve">: </t>
    </r>
    <r>
      <rPr>
        <sz val="12"/>
        <color rgb="FFCE9178"/>
        <rFont val="Menlo"/>
        <family val="2"/>
      </rPr>
      <t>"&lt;"</t>
    </r>
  </si>
  <si>
    <r>
      <t>"weak_trend_market"</t>
    </r>
    <r>
      <rPr>
        <sz val="12"/>
        <color rgb="FFCCCCCC"/>
        <rFont val="Menlo"/>
        <family val="2"/>
      </rPr>
      <t>: {</t>
    </r>
  </si>
  <si>
    <r>
      <t>"weak_trend_long_market"</t>
    </r>
    <r>
      <rPr>
        <sz val="12"/>
        <color rgb="FFCCCCCC"/>
        <rFont val="Menlo"/>
        <family val="2"/>
      </rPr>
      <t>: {</t>
    </r>
  </si>
  <si>
    <r>
      <t>"ema_5_vs_ema_13"</t>
    </r>
    <r>
      <rPr>
        <sz val="12"/>
        <color rgb="FFCCCCCC"/>
        <rFont val="Menlo"/>
        <family val="2"/>
      </rPr>
      <t xml:space="preserve">: </t>
    </r>
    <r>
      <rPr>
        <sz val="12"/>
        <color rgb="FFCE9178"/>
        <rFont val="Menlo"/>
        <family val="2"/>
      </rPr>
      <t>"&gt;"</t>
    </r>
  </si>
  <si>
    <r>
      <t>"weak_trend_short_market"</t>
    </r>
    <r>
      <rPr>
        <sz val="12"/>
        <color rgb="FFCCCCCC"/>
        <rFont val="Menlo"/>
        <family val="2"/>
      </rPr>
      <t>: {</t>
    </r>
  </si>
  <si>
    <r>
      <t>"ema_5_vs_ema_13"</t>
    </r>
    <r>
      <rPr>
        <sz val="12"/>
        <color rgb="FFCCCCCC"/>
        <rFont val="Menlo"/>
        <family val="2"/>
      </rPr>
      <t xml:space="preserve">: </t>
    </r>
    <r>
      <rPr>
        <sz val="12"/>
        <color rgb="FFCE9178"/>
        <rFont val="Menlo"/>
        <family val="2"/>
      </rPr>
      <t>"&lt;"</t>
    </r>
  </si>
  <si>
    <r>
      <t>"undefined_market"</t>
    </r>
    <r>
      <rPr>
        <sz val="12"/>
        <color rgb="FFCCCCCC"/>
        <rFont val="Menlo"/>
        <family val="2"/>
      </rPr>
      <t>: {</t>
    </r>
  </si>
  <si>
    <r>
      <t>"default_condition"</t>
    </r>
    <r>
      <rPr>
        <sz val="12"/>
        <color rgb="FFCCCCCC"/>
        <rFont val="Menlo"/>
        <family val="2"/>
      </rPr>
      <t>: {</t>
    </r>
  </si>
  <si>
    <r>
      <t>"exclude_markets"</t>
    </r>
    <r>
      <rPr>
        <sz val="12"/>
        <color rgb="FFCCCCCC"/>
        <rFont val="Menlo"/>
        <family val="2"/>
      </rPr>
      <t>: [</t>
    </r>
    <r>
      <rPr>
        <sz val="12"/>
        <color rgb="FFCE9178"/>
        <rFont val="Menlo"/>
        <family val="2"/>
      </rPr>
      <t>"unordered_market"</t>
    </r>
    <r>
      <rPr>
        <sz val="12"/>
        <color rgb="FFCCCCCC"/>
        <rFont val="Menlo"/>
        <family val="2"/>
      </rPr>
      <t xml:space="preserve">, </t>
    </r>
    <r>
      <rPr>
        <sz val="12"/>
        <color rgb="FFCE9178"/>
        <rFont val="Menlo"/>
        <family val="2"/>
      </rPr>
      <t>"emerging_market"</t>
    </r>
    <r>
      <rPr>
        <sz val="12"/>
        <color rgb="FFCCCCCC"/>
        <rFont val="Menlo"/>
        <family val="2"/>
      </rPr>
      <t xml:space="preserve">, </t>
    </r>
    <r>
      <rPr>
        <sz val="12"/>
        <color rgb="FFCE9178"/>
        <rFont val="Menlo"/>
        <family val="2"/>
      </rPr>
      <t>"trending_market"</t>
    </r>
    <r>
      <rPr>
        <sz val="12"/>
        <color rgb="FFCCCCCC"/>
        <rFont val="Menlo"/>
        <family val="2"/>
      </rPr>
      <t>],</t>
    </r>
  </si>
  <si>
    <r>
      <t>"fallback_rule"</t>
    </r>
    <r>
      <rPr>
        <sz val="12"/>
        <color rgb="FFCCCCCC"/>
        <rFont val="Menlo"/>
        <family val="2"/>
      </rPr>
      <t xml:space="preserve">: </t>
    </r>
    <r>
      <rPr>
        <sz val="12"/>
        <color rgb="FF569CD6"/>
        <rFont val="Menlo"/>
        <family val="2"/>
      </rPr>
      <t>true</t>
    </r>
  </si>
  <si>
    <r>
      <t>"find_signal"</t>
    </r>
    <r>
      <rPr>
        <sz val="12"/>
        <color rgb="FFCCCCCC"/>
        <rFont val="Menlo"/>
        <family val="2"/>
      </rPr>
      <t>: {</t>
    </r>
  </si>
  <si>
    <r>
      <t>"market_type_filter"</t>
    </r>
    <r>
      <rPr>
        <sz val="12"/>
        <color rgb="FFCCCCCC"/>
        <rFont val="Menlo"/>
        <family val="2"/>
      </rPr>
      <t>: {</t>
    </r>
  </si>
  <si>
    <r>
      <t>"no_trade"</t>
    </r>
    <r>
      <rPr>
        <sz val="12"/>
        <color rgb="FFCCCCCC"/>
        <rFont val="Menlo"/>
        <family val="2"/>
      </rPr>
      <t>: [</t>
    </r>
    <r>
      <rPr>
        <sz val="12"/>
        <color rgb="FFCE9178"/>
        <rFont val="Menlo"/>
        <family val="2"/>
      </rPr>
      <t>"undefined_market"</t>
    </r>
    <r>
      <rPr>
        <sz val="12"/>
        <color rgb="FFCCCCCC"/>
        <rFont val="Menlo"/>
        <family val="2"/>
      </rPr>
      <t xml:space="preserve">, </t>
    </r>
    <r>
      <rPr>
        <sz val="12"/>
        <color rgb="FFCE9178"/>
        <rFont val="Menlo"/>
        <family val="2"/>
      </rPr>
      <t>"unordered_market"</t>
    </r>
    <r>
      <rPr>
        <sz val="12"/>
        <color rgb="FFCCCCCC"/>
        <rFont val="Menlo"/>
        <family val="2"/>
      </rPr>
      <t>],</t>
    </r>
  </si>
  <si>
    <r>
      <t>"search_signal"</t>
    </r>
    <r>
      <rPr>
        <sz val="12"/>
        <color rgb="FFCCCCCC"/>
        <rFont val="Menlo"/>
        <family val="2"/>
      </rPr>
      <t>: [</t>
    </r>
    <r>
      <rPr>
        <sz val="12"/>
        <color rgb="FFCE9178"/>
        <rFont val="Menlo"/>
        <family val="2"/>
      </rPr>
      <t>"emerging_market"</t>
    </r>
    <r>
      <rPr>
        <sz val="12"/>
        <color rgb="FFCCCCCC"/>
        <rFont val="Menlo"/>
        <family val="2"/>
      </rPr>
      <t xml:space="preserve">, </t>
    </r>
    <r>
      <rPr>
        <sz val="12"/>
        <color rgb="FFCE9178"/>
        <rFont val="Menlo"/>
        <family val="2"/>
      </rPr>
      <t>"trending_market"</t>
    </r>
    <r>
      <rPr>
        <sz val="12"/>
        <color rgb="FFCCCCCC"/>
        <rFont val="Menlo"/>
        <family val="2"/>
      </rPr>
      <t>]</t>
    </r>
  </si>
  <si>
    <r>
      <t>"confirmation_steps"</t>
    </r>
    <r>
      <rPr>
        <sz val="12"/>
        <color rgb="FFCCCCCC"/>
        <rFont val="Menlo"/>
        <family val="2"/>
      </rPr>
      <t>: {</t>
    </r>
  </si>
  <si>
    <r>
      <t>"MACD_confirmation"</t>
    </r>
    <r>
      <rPr>
        <sz val="12"/>
        <color rgb="FFCCCCCC"/>
        <rFont val="Menlo"/>
        <family val="2"/>
      </rPr>
      <t xml:space="preserve">: </t>
    </r>
    <r>
      <rPr>
        <sz val="12"/>
        <color rgb="FFCE9178"/>
        <rFont val="Menlo"/>
        <family val="2"/>
      </rPr>
      <t>"required"</t>
    </r>
    <r>
      <rPr>
        <sz val="12"/>
        <color rgb="FFCCCCCC"/>
        <rFont val="Menlo"/>
        <family val="2"/>
      </rPr>
      <t>,</t>
    </r>
  </si>
  <si>
    <r>
      <t>"PSAR_confirmation"</t>
    </r>
    <r>
      <rPr>
        <sz val="12"/>
        <color rgb="FFCCCCCC"/>
        <rFont val="Menlo"/>
        <family val="2"/>
      </rPr>
      <t xml:space="preserve">: </t>
    </r>
    <r>
      <rPr>
        <sz val="12"/>
        <color rgb="FFCE9178"/>
        <rFont val="Menlo"/>
        <family val="2"/>
      </rPr>
      <t>"required"</t>
    </r>
    <r>
      <rPr>
        <sz val="12"/>
        <color rgb="FFCCCCCC"/>
        <rFont val="Menlo"/>
        <family val="2"/>
      </rPr>
      <t>,</t>
    </r>
  </si>
  <si>
    <r>
      <t>"ATR_confirmation"</t>
    </r>
    <r>
      <rPr>
        <sz val="12"/>
        <color rgb="FFCCCCCC"/>
        <rFont val="Menlo"/>
        <family val="2"/>
      </rPr>
      <t xml:space="preserve">: </t>
    </r>
    <r>
      <rPr>
        <sz val="12"/>
        <color rgb="FFCE9178"/>
        <rFont val="Menlo"/>
        <family val="2"/>
      </rPr>
      <t>"optional"</t>
    </r>
  </si>
  <si>
    <r>
      <t>"trade_signals"</t>
    </r>
    <r>
      <rPr>
        <sz val="12"/>
        <color rgb="FFCCCCCC"/>
        <rFont val="Menlo"/>
        <family val="2"/>
      </rPr>
      <t>: {</t>
    </r>
  </si>
  <si>
    <r>
      <t>"buy"</t>
    </r>
    <r>
      <rPr>
        <sz val="12"/>
        <color rgb="FFCCCCCC"/>
        <rFont val="Menlo"/>
        <family val="2"/>
      </rPr>
      <t>: {</t>
    </r>
  </si>
  <si>
    <r>
      <t>"ribbon_trade"</t>
    </r>
    <r>
      <rPr>
        <sz val="12"/>
        <color rgb="FFCCCCCC"/>
        <rFont val="Menlo"/>
        <family val="2"/>
      </rPr>
      <t>: {</t>
    </r>
  </si>
  <si>
    <r>
      <t>"condition"</t>
    </r>
    <r>
      <rPr>
        <sz val="12"/>
        <color rgb="FFCCCCCC"/>
        <rFont val="Menlo"/>
        <family val="2"/>
      </rPr>
      <t>: [</t>
    </r>
  </si>
  <si>
    <r>
      <t>"candle_touches_or_below ema_5"</t>
    </r>
    <r>
      <rPr>
        <sz val="12"/>
        <color rgb="FFCCCCCC"/>
        <rFont val="Menlo"/>
        <family val="2"/>
      </rPr>
      <t>,</t>
    </r>
  </si>
  <si>
    <r>
      <t>"close_above ema_13"</t>
    </r>
    <r>
      <rPr>
        <sz val="12"/>
        <color rgb="FFCCCCCC"/>
        <rFont val="Menlo"/>
        <family val="2"/>
      </rPr>
      <t>,</t>
    </r>
  </si>
  <si>
    <r>
      <t>"MACD_color confirms"</t>
    </r>
    <r>
      <rPr>
        <sz val="12"/>
        <color rgb="FFCCCCCC"/>
        <rFont val="Menlo"/>
        <family val="2"/>
      </rPr>
      <t>,</t>
    </r>
  </si>
  <si>
    <t>"PSAR_position confirms"</t>
  </si>
  <si>
    <r>
      <t>"trade_name"</t>
    </r>
    <r>
      <rPr>
        <sz val="12"/>
        <color rgb="FFCCCCCC"/>
        <rFont val="Menlo"/>
        <family val="2"/>
      </rPr>
      <t xml:space="preserve">: </t>
    </r>
    <r>
      <rPr>
        <sz val="12"/>
        <color rgb="FFCE9178"/>
        <rFont val="Menlo"/>
        <family val="2"/>
      </rPr>
      <t>"Ribbon_Buy"</t>
    </r>
  </si>
  <si>
    <r>
      <t>"ghost_trade"</t>
    </r>
    <r>
      <rPr>
        <sz val="12"/>
        <color rgb="FFCCCCCC"/>
        <rFont val="Menlo"/>
        <family val="2"/>
      </rPr>
      <t>: {</t>
    </r>
  </si>
  <si>
    <r>
      <t>"candle_touches_or_below ema_13"</t>
    </r>
    <r>
      <rPr>
        <sz val="12"/>
        <color rgb="FFCCCCCC"/>
        <rFont val="Menlo"/>
        <family val="2"/>
      </rPr>
      <t>,</t>
    </r>
  </si>
  <si>
    <r>
      <t>"close_above ema_34"</t>
    </r>
    <r>
      <rPr>
        <sz val="12"/>
        <color rgb="FFCCCCCC"/>
        <rFont val="Menlo"/>
        <family val="2"/>
      </rPr>
      <t>,</t>
    </r>
  </si>
  <si>
    <r>
      <t>"trade_name"</t>
    </r>
    <r>
      <rPr>
        <sz val="12"/>
        <color rgb="FFCCCCCC"/>
        <rFont val="Menlo"/>
        <family val="2"/>
      </rPr>
      <t xml:space="preserve">: </t>
    </r>
    <r>
      <rPr>
        <sz val="12"/>
        <color rgb="FFCE9178"/>
        <rFont val="Menlo"/>
        <family val="2"/>
      </rPr>
      <t>"Ghost_Buy"</t>
    </r>
  </si>
  <si>
    <r>
      <t>"sell"</t>
    </r>
    <r>
      <rPr>
        <sz val="12"/>
        <color rgb="FFCCCCCC"/>
        <rFont val="Menlo"/>
        <family val="2"/>
      </rPr>
      <t>: {</t>
    </r>
  </si>
  <si>
    <r>
      <t>"candle_touches_or_above ema_5"</t>
    </r>
    <r>
      <rPr>
        <sz val="12"/>
        <color rgb="FFCCCCCC"/>
        <rFont val="Menlo"/>
        <family val="2"/>
      </rPr>
      <t>,</t>
    </r>
  </si>
  <si>
    <r>
      <t>"close_below ema_13"</t>
    </r>
    <r>
      <rPr>
        <sz val="12"/>
        <color rgb="FFCCCCCC"/>
        <rFont val="Menlo"/>
        <family val="2"/>
      </rPr>
      <t>,</t>
    </r>
  </si>
  <si>
    <r>
      <t>"trade_name"</t>
    </r>
    <r>
      <rPr>
        <sz val="12"/>
        <color rgb="FFCCCCCC"/>
        <rFont val="Menlo"/>
        <family val="2"/>
      </rPr>
      <t xml:space="preserve">: </t>
    </r>
    <r>
      <rPr>
        <sz val="12"/>
        <color rgb="FFCE9178"/>
        <rFont val="Menlo"/>
        <family val="2"/>
      </rPr>
      <t>"Ribbon_Sell"</t>
    </r>
  </si>
  <si>
    <r>
      <t>"candle_touches_or_above ema_13"</t>
    </r>
    <r>
      <rPr>
        <sz val="12"/>
        <color rgb="FFCCCCCC"/>
        <rFont val="Menlo"/>
        <family val="2"/>
      </rPr>
      <t>,</t>
    </r>
  </si>
  <si>
    <r>
      <t>"close_below ema_34"</t>
    </r>
    <r>
      <rPr>
        <sz val="12"/>
        <color rgb="FFCCCCCC"/>
        <rFont val="Menlo"/>
        <family val="2"/>
      </rPr>
      <t>,</t>
    </r>
  </si>
  <si>
    <r>
      <t>"trade_name"</t>
    </r>
    <r>
      <rPr>
        <sz val="12"/>
        <color rgb="FFCCCCCC"/>
        <rFont val="Menlo"/>
        <family val="2"/>
      </rPr>
      <t xml:space="preserve">: </t>
    </r>
    <r>
      <rPr>
        <sz val="12"/>
        <color rgb="FFCE9178"/>
        <rFont val="Menlo"/>
        <family val="2"/>
      </rPr>
      <t>"Ghost_Sell"</t>
    </r>
  </si>
  <si>
    <r>
      <t>"strength_filter"</t>
    </r>
    <r>
      <rPr>
        <sz val="12"/>
        <color rgb="FFCCCCCC"/>
        <rFont val="Menlo"/>
        <family val="2"/>
      </rPr>
      <t>: [</t>
    </r>
    <r>
      <rPr>
        <sz val="12"/>
        <color rgb="FFCE9178"/>
        <rFont val="Menlo"/>
        <family val="2"/>
      </rPr>
      <t>"strong"</t>
    </r>
    <r>
      <rPr>
        <sz val="12"/>
        <color rgb="FFCCCCCC"/>
        <rFont val="Menlo"/>
        <family val="2"/>
      </rPr>
      <t xml:space="preserve">, </t>
    </r>
    <r>
      <rPr>
        <sz val="12"/>
        <color rgb="FFCE9178"/>
        <rFont val="Menlo"/>
        <family val="2"/>
      </rPr>
      <t>"medium"</t>
    </r>
    <r>
      <rPr>
        <sz val="12"/>
        <color rgb="FFCCCCCC"/>
        <rFont val="Menlo"/>
        <family val="2"/>
      </rPr>
      <t xml:space="preserve">, </t>
    </r>
    <r>
      <rPr>
        <sz val="12"/>
        <color rgb="FFCE9178"/>
        <rFont val="Menlo"/>
        <family val="2"/>
      </rPr>
      <t>"weak"</t>
    </r>
    <r>
      <rPr>
        <sz val="12"/>
        <color rgb="FFCCCCCC"/>
        <rFont val="Menlo"/>
        <family val="2"/>
      </rPr>
      <t>],</t>
    </r>
  </si>
  <si>
    <r>
      <t>"shark_trade"</t>
    </r>
    <r>
      <rPr>
        <sz val="12"/>
        <color rgb="FFCCCCCC"/>
        <rFont val="Menlo"/>
        <family val="2"/>
      </rPr>
      <t>: {</t>
    </r>
  </si>
  <si>
    <r>
      <t>"candle_touches_or_below ema_34"</t>
    </r>
    <r>
      <rPr>
        <sz val="12"/>
        <color rgb="FFCCCCCC"/>
        <rFont val="Menlo"/>
        <family val="2"/>
      </rPr>
      <t>,</t>
    </r>
  </si>
  <si>
    <r>
      <t>"close_above ema_89"</t>
    </r>
    <r>
      <rPr>
        <sz val="12"/>
        <color rgb="FFCCCCCC"/>
        <rFont val="Menlo"/>
        <family val="2"/>
      </rPr>
      <t>,</t>
    </r>
  </si>
  <si>
    <r>
      <t>"trade_name"</t>
    </r>
    <r>
      <rPr>
        <sz val="12"/>
        <color rgb="FFCCCCCC"/>
        <rFont val="Menlo"/>
        <family val="2"/>
      </rPr>
      <t xml:space="preserve">: </t>
    </r>
    <r>
      <rPr>
        <sz val="12"/>
        <color rgb="FFCE9178"/>
        <rFont val="Menlo"/>
        <family val="2"/>
      </rPr>
      <t>"Shark_Buy"</t>
    </r>
  </si>
  <si>
    <r>
      <t>"candle_touches_or_above ema_34"</t>
    </r>
    <r>
      <rPr>
        <sz val="12"/>
        <color rgb="FFCCCCCC"/>
        <rFont val="Menlo"/>
        <family val="2"/>
      </rPr>
      <t>,</t>
    </r>
  </si>
  <si>
    <r>
      <t>"close_below ema_89"</t>
    </r>
    <r>
      <rPr>
        <sz val="12"/>
        <color rgb="FFCCCCCC"/>
        <rFont val="Menlo"/>
        <family val="2"/>
      </rPr>
      <t>,</t>
    </r>
  </si>
  <si>
    <r>
      <t>"trade_name"</t>
    </r>
    <r>
      <rPr>
        <sz val="12"/>
        <color rgb="FFCCCCCC"/>
        <rFont val="Menlo"/>
        <family val="2"/>
      </rPr>
      <t xml:space="preserve">: </t>
    </r>
    <r>
      <rPr>
        <sz val="12"/>
        <color rgb="FFCE9178"/>
        <rFont val="Menlo"/>
        <family val="2"/>
      </rPr>
      <t>"Shark_Sell"</t>
    </r>
  </si>
  <si>
    <r>
      <t>"trade_execution"</t>
    </r>
    <r>
      <rPr>
        <sz val="12"/>
        <color rgb="FFCCCCCC"/>
        <rFont val="Menlo"/>
        <family val="2"/>
      </rPr>
      <t>: {</t>
    </r>
  </si>
  <si>
    <r>
      <t>"stop_loss_priority"</t>
    </r>
    <r>
      <rPr>
        <sz val="12"/>
        <color rgb="FFCCCCCC"/>
        <rFont val="Menlo"/>
        <family val="2"/>
      </rPr>
      <t>: [</t>
    </r>
    <r>
      <rPr>
        <sz val="12"/>
        <color rgb="FFCE9178"/>
        <rFont val="Menlo"/>
        <family val="2"/>
      </rPr>
      <t>"psar"</t>
    </r>
    <r>
      <rPr>
        <sz val="12"/>
        <color rgb="FFCCCCCC"/>
        <rFont val="Menlo"/>
        <family val="2"/>
      </rPr>
      <t xml:space="preserve">, </t>
    </r>
    <r>
      <rPr>
        <sz val="12"/>
        <color rgb="FFCE9178"/>
        <rFont val="Menlo"/>
        <family val="2"/>
      </rPr>
      <t>"atr"</t>
    </r>
    <r>
      <rPr>
        <sz val="12"/>
        <color rgb="FFCCCCCC"/>
        <rFont val="Menlo"/>
        <family val="2"/>
      </rPr>
      <t>],</t>
    </r>
  </si>
  <si>
    <r>
      <t>"avoid_trade_if_no_sl"</t>
    </r>
    <r>
      <rPr>
        <sz val="12"/>
        <color rgb="FFCCCCCC"/>
        <rFont val="Menlo"/>
        <family val="2"/>
      </rPr>
      <t xml:space="preserve">: </t>
    </r>
    <r>
      <rPr>
        <sz val="12"/>
        <color rgb="FF569CD6"/>
        <rFont val="Menlo"/>
        <family val="2"/>
      </rPr>
      <t>true</t>
    </r>
    <r>
      <rPr>
        <sz val="12"/>
        <color rgb="FFCCCCCC"/>
        <rFont val="Menlo"/>
        <family val="2"/>
      </rPr>
      <t>,</t>
    </r>
  </si>
  <si>
    <r>
      <t>"pip_settings"</t>
    </r>
    <r>
      <rPr>
        <sz val="12"/>
        <color rgb="FFCCCCCC"/>
        <rFont val="Menlo"/>
        <family val="2"/>
      </rPr>
      <t>: {</t>
    </r>
  </si>
  <si>
    <r>
      <t>"sl_pip_tf_min"</t>
    </r>
    <r>
      <rPr>
        <sz val="12"/>
        <color rgb="FFCCCCCC"/>
        <rFont val="Menlo"/>
        <family val="2"/>
      </rPr>
      <t xml:space="preserve">: { </t>
    </r>
  </si>
  <si>
    <r>
      <t>"M1"</t>
    </r>
    <r>
      <rPr>
        <sz val="12"/>
        <color rgb="FFCCCCCC"/>
        <rFont val="Menlo"/>
        <family val="2"/>
      </rPr>
      <t xml:space="preserve">: </t>
    </r>
    <r>
      <rPr>
        <sz val="12"/>
        <color rgb="FFB5CEA8"/>
        <rFont val="Menlo"/>
        <family val="2"/>
      </rPr>
      <t>5</t>
    </r>
    <r>
      <rPr>
        <sz val="12"/>
        <color rgb="FFCCCCCC"/>
        <rFont val="Menlo"/>
        <family val="2"/>
      </rPr>
      <t xml:space="preserve">, </t>
    </r>
    <r>
      <rPr>
        <sz val="12"/>
        <color rgb="FF9CDCFE"/>
        <rFont val="Menlo"/>
        <family val="2"/>
      </rPr>
      <t>"M5"</t>
    </r>
    <r>
      <rPr>
        <sz val="12"/>
        <color rgb="FFCCCCCC"/>
        <rFont val="Menlo"/>
        <family val="2"/>
      </rPr>
      <t xml:space="preserve">: </t>
    </r>
    <r>
      <rPr>
        <sz val="12"/>
        <color rgb="FFB5CEA8"/>
        <rFont val="Menlo"/>
        <family val="2"/>
      </rPr>
      <t>7</t>
    </r>
    <r>
      <rPr>
        <sz val="12"/>
        <color rgb="FFCCCCCC"/>
        <rFont val="Menlo"/>
        <family val="2"/>
      </rPr>
      <t xml:space="preserve">, </t>
    </r>
    <r>
      <rPr>
        <sz val="12"/>
        <color rgb="FF9CDCFE"/>
        <rFont val="Menlo"/>
        <family val="2"/>
      </rPr>
      <t>"M15"</t>
    </r>
    <r>
      <rPr>
        <sz val="12"/>
        <color rgb="FFCCCCCC"/>
        <rFont val="Menlo"/>
        <family val="2"/>
      </rPr>
      <t xml:space="preserve">: </t>
    </r>
    <r>
      <rPr>
        <sz val="12"/>
        <color rgb="FFB5CEA8"/>
        <rFont val="Menlo"/>
        <family val="2"/>
      </rPr>
      <t>10</t>
    </r>
    <r>
      <rPr>
        <sz val="12"/>
        <color rgb="FFCCCCCC"/>
        <rFont val="Menlo"/>
        <family val="2"/>
      </rPr>
      <t xml:space="preserve">, </t>
    </r>
    <r>
      <rPr>
        <sz val="12"/>
        <color rgb="FF9CDCFE"/>
        <rFont val="Menlo"/>
        <family val="2"/>
      </rPr>
      <t>"M30"</t>
    </r>
    <r>
      <rPr>
        <sz val="12"/>
        <color rgb="FFCCCCCC"/>
        <rFont val="Menlo"/>
        <family val="2"/>
      </rPr>
      <t xml:space="preserve">: </t>
    </r>
    <r>
      <rPr>
        <sz val="12"/>
        <color rgb="FFB5CEA8"/>
        <rFont val="Menlo"/>
        <family val="2"/>
      </rPr>
      <t>12</t>
    </r>
    <r>
      <rPr>
        <sz val="12"/>
        <color rgb="FFCCCCCC"/>
        <rFont val="Menlo"/>
        <family val="2"/>
      </rPr>
      <t xml:space="preserve">, </t>
    </r>
    <r>
      <rPr>
        <sz val="12"/>
        <color rgb="FF9CDCFE"/>
        <rFont val="Menlo"/>
        <family val="2"/>
      </rPr>
      <t>"H1"</t>
    </r>
    <r>
      <rPr>
        <sz val="12"/>
        <color rgb="FFCCCCCC"/>
        <rFont val="Menlo"/>
        <family val="2"/>
      </rPr>
      <t xml:space="preserve">: </t>
    </r>
    <r>
      <rPr>
        <sz val="12"/>
        <color rgb="FFB5CEA8"/>
        <rFont val="Menlo"/>
        <family val="2"/>
      </rPr>
      <t>15</t>
    </r>
    <r>
      <rPr>
        <sz val="12"/>
        <color rgb="FFCCCCCC"/>
        <rFont val="Menlo"/>
        <family val="2"/>
      </rPr>
      <t xml:space="preserve">, </t>
    </r>
    <r>
      <rPr>
        <sz val="12"/>
        <color rgb="FF9CDCFE"/>
        <rFont val="Menlo"/>
        <family val="2"/>
      </rPr>
      <t>"H2"</t>
    </r>
    <r>
      <rPr>
        <sz val="12"/>
        <color rgb="FFCCCCCC"/>
        <rFont val="Menlo"/>
        <family val="2"/>
      </rPr>
      <t xml:space="preserve">: </t>
    </r>
    <r>
      <rPr>
        <sz val="12"/>
        <color rgb="FFB5CEA8"/>
        <rFont val="Menlo"/>
        <family val="2"/>
      </rPr>
      <t>18</t>
    </r>
    <r>
      <rPr>
        <sz val="12"/>
        <color rgb="FFCCCCCC"/>
        <rFont val="Menlo"/>
        <family val="2"/>
      </rPr>
      <t xml:space="preserve">, </t>
    </r>
    <r>
      <rPr>
        <sz val="12"/>
        <color rgb="FF9CDCFE"/>
        <rFont val="Menlo"/>
        <family val="2"/>
      </rPr>
      <t>"H4"</t>
    </r>
    <r>
      <rPr>
        <sz val="12"/>
        <color rgb="FFCCCCCC"/>
        <rFont val="Menlo"/>
        <family val="2"/>
      </rPr>
      <t xml:space="preserve">: </t>
    </r>
    <r>
      <rPr>
        <sz val="12"/>
        <color rgb="FFB5CEA8"/>
        <rFont val="Menlo"/>
        <family val="2"/>
      </rPr>
      <t>20</t>
    </r>
    <r>
      <rPr>
        <sz val="12"/>
        <color rgb="FFCCCCCC"/>
        <rFont val="Menlo"/>
        <family val="2"/>
      </rPr>
      <t xml:space="preserve">, </t>
    </r>
    <r>
      <rPr>
        <sz val="12"/>
        <color rgb="FF9CDCFE"/>
        <rFont val="Menlo"/>
        <family val="2"/>
      </rPr>
      <t>"D1"</t>
    </r>
    <r>
      <rPr>
        <sz val="12"/>
        <color rgb="FFCCCCCC"/>
        <rFont val="Menlo"/>
        <family val="2"/>
      </rPr>
      <t xml:space="preserve">: </t>
    </r>
    <r>
      <rPr>
        <sz val="12"/>
        <color rgb="FFB5CEA8"/>
        <rFont val="Menlo"/>
        <family val="2"/>
      </rPr>
      <t>25</t>
    </r>
    <r>
      <rPr>
        <sz val="12"/>
        <color rgb="FFCCCCCC"/>
        <rFont val="Menlo"/>
        <family val="2"/>
      </rPr>
      <t xml:space="preserve"> </t>
    </r>
  </si>
  <si>
    <r>
      <t>"pip_unit_by_category"</t>
    </r>
    <r>
      <rPr>
        <sz val="12"/>
        <color rgb="FFCCCCCC"/>
        <rFont val="Menlo"/>
        <family val="2"/>
      </rPr>
      <t>: {</t>
    </r>
  </si>
  <si>
    <r>
      <t>"fx"</t>
    </r>
    <r>
      <rPr>
        <sz val="12"/>
        <color rgb="FFCCCCCC"/>
        <rFont val="Menlo"/>
        <family val="2"/>
      </rPr>
      <t>: {</t>
    </r>
  </si>
  <si>
    <r>
      <t>"with_jpy"</t>
    </r>
    <r>
      <rPr>
        <sz val="12"/>
        <color rgb="FFCCCCCC"/>
        <rFont val="Menlo"/>
        <family val="2"/>
      </rPr>
      <t xml:space="preserve">: </t>
    </r>
    <r>
      <rPr>
        <sz val="12"/>
        <color rgb="FFB5CEA8"/>
        <rFont val="Menlo"/>
        <family val="2"/>
      </rPr>
      <t>0.01</t>
    </r>
    <r>
      <rPr>
        <sz val="12"/>
        <color rgb="FFCCCCCC"/>
        <rFont val="Menlo"/>
        <family val="2"/>
      </rPr>
      <t>,</t>
    </r>
  </si>
  <si>
    <r>
      <t>"non_jpy"</t>
    </r>
    <r>
      <rPr>
        <sz val="12"/>
        <color rgb="FFCCCCCC"/>
        <rFont val="Menlo"/>
        <family val="2"/>
      </rPr>
      <t xml:space="preserve">: </t>
    </r>
    <r>
      <rPr>
        <sz val="12"/>
        <color rgb="FFB5CEA8"/>
        <rFont val="Menlo"/>
        <family val="2"/>
      </rPr>
      <t>0.0001</t>
    </r>
  </si>
  <si>
    <r>
      <t>"crypto"</t>
    </r>
    <r>
      <rPr>
        <sz val="12"/>
        <color rgb="FFCCCCCC"/>
        <rFont val="Menlo"/>
        <family val="2"/>
      </rPr>
      <t>: {</t>
    </r>
  </si>
  <si>
    <r>
      <t>"btcusd"</t>
    </r>
    <r>
      <rPr>
        <sz val="12"/>
        <color rgb="FFCCCCCC"/>
        <rFont val="Menlo"/>
        <family val="2"/>
      </rPr>
      <t xml:space="preserve">: </t>
    </r>
    <r>
      <rPr>
        <sz val="12"/>
        <color rgb="FFB5CEA8"/>
        <rFont val="Menlo"/>
        <family val="2"/>
      </rPr>
      <t>1.0</t>
    </r>
    <r>
      <rPr>
        <sz val="12"/>
        <color rgb="FFCCCCCC"/>
        <rFont val="Menlo"/>
        <family val="2"/>
      </rPr>
      <t>,</t>
    </r>
  </si>
  <si>
    <r>
      <t>"ethusd"</t>
    </r>
    <r>
      <rPr>
        <sz val="12"/>
        <color rgb="FFCCCCCC"/>
        <rFont val="Menlo"/>
        <family val="2"/>
      </rPr>
      <t xml:space="preserve">: </t>
    </r>
    <r>
      <rPr>
        <sz val="12"/>
        <color rgb="FFB5CEA8"/>
        <rFont val="Menlo"/>
        <family val="2"/>
      </rPr>
      <t>0.1</t>
    </r>
    <r>
      <rPr>
        <sz val="12"/>
        <color rgb="FFCCCCCC"/>
        <rFont val="Menlo"/>
        <family val="2"/>
      </rPr>
      <t>,</t>
    </r>
  </si>
  <si>
    <r>
      <t>"ltcusd"</t>
    </r>
    <r>
      <rPr>
        <sz val="12"/>
        <color rgb="FFCCCCCC"/>
        <rFont val="Menlo"/>
        <family val="2"/>
      </rPr>
      <t xml:space="preserve">: </t>
    </r>
    <r>
      <rPr>
        <sz val="12"/>
        <color rgb="FFB5CEA8"/>
        <rFont val="Menlo"/>
        <family val="2"/>
      </rPr>
      <t>0.01</t>
    </r>
    <r>
      <rPr>
        <sz val="12"/>
        <color rgb="FFCCCCCC"/>
        <rFont val="Menlo"/>
        <family val="2"/>
      </rPr>
      <t>,</t>
    </r>
  </si>
  <si>
    <r>
      <t>"xrpusd"</t>
    </r>
    <r>
      <rPr>
        <sz val="12"/>
        <color rgb="FFCCCCCC"/>
        <rFont val="Menlo"/>
        <family val="2"/>
      </rPr>
      <t xml:space="preserve">: </t>
    </r>
    <r>
      <rPr>
        <sz val="12"/>
        <color rgb="FFB5CEA8"/>
        <rFont val="Menlo"/>
        <family val="2"/>
      </rPr>
      <t>0.0001</t>
    </r>
    <r>
      <rPr>
        <sz val="12"/>
        <color rgb="FFCCCCCC"/>
        <rFont val="Menlo"/>
        <family val="2"/>
      </rPr>
      <t>,</t>
    </r>
  </si>
  <si>
    <r>
      <t>"solusd"</t>
    </r>
    <r>
      <rPr>
        <sz val="12"/>
        <color rgb="FFCCCCCC"/>
        <rFont val="Menlo"/>
        <family val="2"/>
      </rPr>
      <t xml:space="preserve">: </t>
    </r>
    <r>
      <rPr>
        <sz val="12"/>
        <color rgb="FFB5CEA8"/>
        <rFont val="Menlo"/>
        <family val="2"/>
      </rPr>
      <t>0.01</t>
    </r>
    <r>
      <rPr>
        <sz val="12"/>
        <color rgb="FFCCCCCC"/>
        <rFont val="Menlo"/>
        <family val="2"/>
      </rPr>
      <t>,</t>
    </r>
  </si>
  <si>
    <r>
      <t>"default"</t>
    </r>
    <r>
      <rPr>
        <sz val="12"/>
        <color rgb="FFCCCCCC"/>
        <rFont val="Menlo"/>
        <family val="2"/>
      </rPr>
      <t xml:space="preserve">: </t>
    </r>
    <r>
      <rPr>
        <sz val="12"/>
        <color rgb="FFB5CEA8"/>
        <rFont val="Menlo"/>
        <family val="2"/>
      </rPr>
      <t>1.0</t>
    </r>
  </si>
  <si>
    <r>
      <t>"metals"</t>
    </r>
    <r>
      <rPr>
        <sz val="12"/>
        <color rgb="FFCCCCCC"/>
        <rFont val="Menlo"/>
        <family val="2"/>
      </rPr>
      <t>: {</t>
    </r>
  </si>
  <si>
    <r>
      <t>"xauusd"</t>
    </r>
    <r>
      <rPr>
        <sz val="12"/>
        <color rgb="FFCCCCCC"/>
        <rFont val="Menlo"/>
        <family val="2"/>
      </rPr>
      <t xml:space="preserve">: </t>
    </r>
    <r>
      <rPr>
        <sz val="12"/>
        <color rgb="FFB5CEA8"/>
        <rFont val="Menlo"/>
        <family val="2"/>
      </rPr>
      <t>0.10</t>
    </r>
    <r>
      <rPr>
        <sz val="12"/>
        <color rgb="FFCCCCCC"/>
        <rFont val="Menlo"/>
        <family val="2"/>
      </rPr>
      <t>,</t>
    </r>
  </si>
  <si>
    <r>
      <t>"xagusd"</t>
    </r>
    <r>
      <rPr>
        <sz val="12"/>
        <color rgb="FFCCCCCC"/>
        <rFont val="Menlo"/>
        <family val="2"/>
      </rPr>
      <t xml:space="preserve">: </t>
    </r>
    <r>
      <rPr>
        <sz val="12"/>
        <color rgb="FFB5CEA8"/>
        <rFont val="Menlo"/>
        <family val="2"/>
      </rPr>
      <t>0.01</t>
    </r>
  </si>
  <si>
    <r>
      <t>"indices"</t>
    </r>
    <r>
      <rPr>
        <sz val="12"/>
        <color rgb="FFCCCCCC"/>
        <rFont val="Menlo"/>
        <family val="2"/>
      </rPr>
      <t>: {</t>
    </r>
  </si>
  <si>
    <r>
      <t>"nas100"</t>
    </r>
    <r>
      <rPr>
        <sz val="12"/>
        <color rgb="FFCCCCCC"/>
        <rFont val="Menlo"/>
        <family val="2"/>
      </rPr>
      <t xml:space="preserve">: </t>
    </r>
    <r>
      <rPr>
        <sz val="12"/>
        <color rgb="FFB5CEA8"/>
        <rFont val="Menlo"/>
        <family val="2"/>
      </rPr>
      <t>1.0</t>
    </r>
  </si>
  <si>
    <r>
      <t>"pip_value_by_category"</t>
    </r>
    <r>
      <rPr>
        <sz val="12"/>
        <color rgb="FFCCCCCC"/>
        <rFont val="Menlo"/>
        <family val="2"/>
      </rPr>
      <t>: {</t>
    </r>
  </si>
  <si>
    <r>
      <t>"with_jpy"</t>
    </r>
    <r>
      <rPr>
        <sz val="12"/>
        <color rgb="FFCCCCCC"/>
        <rFont val="Menlo"/>
        <family val="2"/>
      </rPr>
      <t xml:space="preserve">: </t>
    </r>
    <r>
      <rPr>
        <sz val="12"/>
        <color rgb="FFB5CEA8"/>
        <rFont val="Menlo"/>
        <family val="2"/>
      </rPr>
      <t>10</t>
    </r>
    <r>
      <rPr>
        <sz val="12"/>
        <color rgb="FFCCCCCC"/>
        <rFont val="Menlo"/>
        <family val="2"/>
      </rPr>
      <t>,</t>
    </r>
  </si>
  <si>
    <r>
      <t>"non_jpy"</t>
    </r>
    <r>
      <rPr>
        <sz val="12"/>
        <color rgb="FFCCCCCC"/>
        <rFont val="Menlo"/>
        <family val="2"/>
      </rPr>
      <t xml:space="preserve">: </t>
    </r>
    <r>
      <rPr>
        <sz val="12"/>
        <color rgb="FFB5CEA8"/>
        <rFont val="Menlo"/>
        <family val="2"/>
      </rPr>
      <t>10</t>
    </r>
  </si>
  <si>
    <r>
      <t>"btcusd"</t>
    </r>
    <r>
      <rPr>
        <sz val="12"/>
        <color rgb="FFCCCCCC"/>
        <rFont val="Menlo"/>
        <family val="2"/>
      </rPr>
      <t xml:space="preserve">: </t>
    </r>
    <r>
      <rPr>
        <sz val="12"/>
        <color rgb="FFB5CEA8"/>
        <rFont val="Menlo"/>
        <family val="2"/>
      </rPr>
      <t>0.01</t>
    </r>
    <r>
      <rPr>
        <sz val="12"/>
        <color rgb="FFCCCCCC"/>
        <rFont val="Menlo"/>
        <family val="2"/>
      </rPr>
      <t>,</t>
    </r>
  </si>
  <si>
    <r>
      <t>"ethusd"</t>
    </r>
    <r>
      <rPr>
        <sz val="12"/>
        <color rgb="FFCCCCCC"/>
        <rFont val="Menlo"/>
        <family val="2"/>
      </rPr>
      <t xml:space="preserve">: </t>
    </r>
    <r>
      <rPr>
        <sz val="12"/>
        <color rgb="FFB5CEA8"/>
        <rFont val="Menlo"/>
        <family val="2"/>
      </rPr>
      <t>0.05</t>
    </r>
    <r>
      <rPr>
        <sz val="12"/>
        <color rgb="FFCCCCCC"/>
        <rFont val="Menlo"/>
        <family val="2"/>
      </rPr>
      <t>,</t>
    </r>
  </si>
  <si>
    <r>
      <t>"ltcusd"</t>
    </r>
    <r>
      <rPr>
        <sz val="12"/>
        <color rgb="FFCCCCCC"/>
        <rFont val="Menlo"/>
        <family val="2"/>
      </rPr>
      <t xml:space="preserve">: </t>
    </r>
    <r>
      <rPr>
        <sz val="12"/>
        <color rgb="FFB5CEA8"/>
        <rFont val="Menlo"/>
        <family val="2"/>
      </rPr>
      <t>0.10</t>
    </r>
    <r>
      <rPr>
        <sz val="12"/>
        <color rgb="FFCCCCCC"/>
        <rFont val="Menlo"/>
        <family val="2"/>
      </rPr>
      <t>,</t>
    </r>
  </si>
  <si>
    <r>
      <t>"xrpusd"</t>
    </r>
    <r>
      <rPr>
        <sz val="12"/>
        <color rgb="FFCCCCCC"/>
        <rFont val="Menlo"/>
        <family val="2"/>
      </rPr>
      <t xml:space="preserve">: </t>
    </r>
    <r>
      <rPr>
        <sz val="12"/>
        <color rgb="FFB5CEA8"/>
        <rFont val="Menlo"/>
        <family val="2"/>
      </rPr>
      <t>1.0</t>
    </r>
    <r>
      <rPr>
        <sz val="12"/>
        <color rgb="FFCCCCCC"/>
        <rFont val="Menlo"/>
        <family val="2"/>
      </rPr>
      <t>,</t>
    </r>
  </si>
  <si>
    <r>
      <t>"solusd"</t>
    </r>
    <r>
      <rPr>
        <sz val="12"/>
        <color rgb="FFCCCCCC"/>
        <rFont val="Menlo"/>
        <family val="2"/>
      </rPr>
      <t xml:space="preserve">: </t>
    </r>
    <r>
      <rPr>
        <sz val="12"/>
        <color rgb="FFB5CEA8"/>
        <rFont val="Menlo"/>
        <family val="2"/>
      </rPr>
      <t>0.20</t>
    </r>
    <r>
      <rPr>
        <sz val="12"/>
        <color rgb="FFCCCCCC"/>
        <rFont val="Menlo"/>
        <family val="2"/>
      </rPr>
      <t>,</t>
    </r>
  </si>
  <si>
    <r>
      <t>"default"</t>
    </r>
    <r>
      <rPr>
        <sz val="12"/>
        <color rgb="FFCCCCCC"/>
        <rFont val="Menlo"/>
        <family val="2"/>
      </rPr>
      <t xml:space="preserve">: </t>
    </r>
    <r>
      <rPr>
        <sz val="12"/>
        <color rgb="FFB5CEA8"/>
        <rFont val="Menlo"/>
        <family val="2"/>
      </rPr>
      <t>0.01</t>
    </r>
  </si>
  <si>
    <r>
      <t>"xauusd"</t>
    </r>
    <r>
      <rPr>
        <sz val="12"/>
        <color rgb="FFCCCCCC"/>
        <rFont val="Menlo"/>
        <family val="2"/>
      </rPr>
      <t xml:space="preserve">: </t>
    </r>
    <r>
      <rPr>
        <sz val="12"/>
        <color rgb="FFB5CEA8"/>
        <rFont val="Menlo"/>
        <family val="2"/>
      </rPr>
      <t>1</t>
    </r>
    <r>
      <rPr>
        <sz val="12"/>
        <color rgb="FFCCCCCC"/>
        <rFont val="Menlo"/>
        <family val="2"/>
      </rPr>
      <t>,</t>
    </r>
  </si>
  <si>
    <r>
      <t>"xagusd"</t>
    </r>
    <r>
      <rPr>
        <sz val="12"/>
        <color rgb="FFCCCCCC"/>
        <rFont val="Menlo"/>
        <family val="2"/>
      </rPr>
      <t xml:space="preserve">: </t>
    </r>
    <r>
      <rPr>
        <sz val="12"/>
        <color rgb="FFB5CEA8"/>
        <rFont val="Menlo"/>
        <family val="2"/>
      </rPr>
      <t>0.5</t>
    </r>
  </si>
  <si>
    <r>
      <t>"nas100"</t>
    </r>
    <r>
      <rPr>
        <sz val="12"/>
        <color rgb="FFCCCCCC"/>
        <rFont val="Menlo"/>
        <family val="2"/>
      </rPr>
      <t xml:space="preserve">: </t>
    </r>
    <r>
      <rPr>
        <sz val="12"/>
        <color rgb="FFB5CEA8"/>
        <rFont val="Menlo"/>
        <family val="2"/>
      </rPr>
      <t>1</t>
    </r>
  </si>
  <si>
    <r>
      <t>"psar_settings"</t>
    </r>
    <r>
      <rPr>
        <sz val="12"/>
        <color rgb="FFCCCCCC"/>
        <rFont val="Menlo"/>
        <family val="2"/>
      </rPr>
      <t>: {</t>
    </r>
  </si>
  <si>
    <r>
      <t>"sl_psar_pip_tf_init"</t>
    </r>
    <r>
      <rPr>
        <sz val="12"/>
        <color rgb="FFCCCCCC"/>
        <rFont val="Menlo"/>
        <family val="2"/>
      </rPr>
      <t xml:space="preserve">: { </t>
    </r>
    <r>
      <rPr>
        <sz val="12"/>
        <color rgb="FF9CDCFE"/>
        <rFont val="Menlo"/>
        <family val="2"/>
      </rPr>
      <t>"M1"</t>
    </r>
    <r>
      <rPr>
        <sz val="12"/>
        <color rgb="FFCCCCCC"/>
        <rFont val="Menlo"/>
        <family val="2"/>
      </rPr>
      <t xml:space="preserve">: </t>
    </r>
    <r>
      <rPr>
        <sz val="12"/>
        <color rgb="FFB5CEA8"/>
        <rFont val="Menlo"/>
        <family val="2"/>
      </rPr>
      <t>1</t>
    </r>
    <r>
      <rPr>
        <sz val="12"/>
        <color rgb="FFCCCCCC"/>
        <rFont val="Menlo"/>
        <family val="2"/>
      </rPr>
      <t xml:space="preserve">, </t>
    </r>
    <r>
      <rPr>
        <sz val="12"/>
        <color rgb="FF9CDCFE"/>
        <rFont val="Menlo"/>
        <family val="2"/>
      </rPr>
      <t>"M5"</t>
    </r>
    <r>
      <rPr>
        <sz val="12"/>
        <color rgb="FFCCCCCC"/>
        <rFont val="Menlo"/>
        <family val="2"/>
      </rPr>
      <t xml:space="preserve">: </t>
    </r>
    <r>
      <rPr>
        <sz val="12"/>
        <color rgb="FFB5CEA8"/>
        <rFont val="Menlo"/>
        <family val="2"/>
      </rPr>
      <t>2</t>
    </r>
    <r>
      <rPr>
        <sz val="12"/>
        <color rgb="FFCCCCCC"/>
        <rFont val="Menlo"/>
        <family val="2"/>
      </rPr>
      <t xml:space="preserve">, </t>
    </r>
    <r>
      <rPr>
        <sz val="12"/>
        <color rgb="FF9CDCFE"/>
        <rFont val="Menlo"/>
        <family val="2"/>
      </rPr>
      <t>"M15"</t>
    </r>
    <r>
      <rPr>
        <sz val="12"/>
        <color rgb="FFCCCCCC"/>
        <rFont val="Menlo"/>
        <family val="2"/>
      </rPr>
      <t xml:space="preserve">: </t>
    </r>
    <r>
      <rPr>
        <sz val="12"/>
        <color rgb="FFB5CEA8"/>
        <rFont val="Menlo"/>
        <family val="2"/>
      </rPr>
      <t>4</t>
    </r>
    <r>
      <rPr>
        <sz val="12"/>
        <color rgb="FFCCCCCC"/>
        <rFont val="Menlo"/>
        <family val="2"/>
      </rPr>
      <t xml:space="preserve">, </t>
    </r>
    <r>
      <rPr>
        <sz val="12"/>
        <color rgb="FF9CDCFE"/>
        <rFont val="Menlo"/>
        <family val="2"/>
      </rPr>
      <t>"M30"</t>
    </r>
    <r>
      <rPr>
        <sz val="12"/>
        <color rgb="FFCCCCCC"/>
        <rFont val="Menlo"/>
        <family val="2"/>
      </rPr>
      <t xml:space="preserve">: </t>
    </r>
    <r>
      <rPr>
        <sz val="12"/>
        <color rgb="FFB5CEA8"/>
        <rFont val="Menlo"/>
        <family val="2"/>
      </rPr>
      <t>6</t>
    </r>
    <r>
      <rPr>
        <sz val="12"/>
        <color rgb="FFCCCCCC"/>
        <rFont val="Menlo"/>
        <family val="2"/>
      </rPr>
      <t xml:space="preserve">, </t>
    </r>
    <r>
      <rPr>
        <sz val="12"/>
        <color rgb="FF9CDCFE"/>
        <rFont val="Menlo"/>
        <family val="2"/>
      </rPr>
      <t>"H1"</t>
    </r>
    <r>
      <rPr>
        <sz val="12"/>
        <color rgb="FFCCCCCC"/>
        <rFont val="Menlo"/>
        <family val="2"/>
      </rPr>
      <t xml:space="preserve">: </t>
    </r>
    <r>
      <rPr>
        <sz val="12"/>
        <color rgb="FFB5CEA8"/>
        <rFont val="Menlo"/>
        <family val="2"/>
      </rPr>
      <t>8</t>
    </r>
    <r>
      <rPr>
        <sz val="12"/>
        <color rgb="FFCCCCCC"/>
        <rFont val="Menlo"/>
        <family val="2"/>
      </rPr>
      <t xml:space="preserve">, </t>
    </r>
    <r>
      <rPr>
        <sz val="12"/>
        <color rgb="FF9CDCFE"/>
        <rFont val="Menlo"/>
        <family val="2"/>
      </rPr>
      <t>"H2"</t>
    </r>
    <r>
      <rPr>
        <sz val="12"/>
        <color rgb="FFCCCCCC"/>
        <rFont val="Menlo"/>
        <family val="2"/>
      </rPr>
      <t xml:space="preserve">: </t>
    </r>
    <r>
      <rPr>
        <sz val="12"/>
        <color rgb="FFB5CEA8"/>
        <rFont val="Menlo"/>
        <family val="2"/>
      </rPr>
      <t>10</t>
    </r>
    <r>
      <rPr>
        <sz val="12"/>
        <color rgb="FFCCCCCC"/>
        <rFont val="Menlo"/>
        <family val="2"/>
      </rPr>
      <t xml:space="preserve">, </t>
    </r>
    <r>
      <rPr>
        <sz val="12"/>
        <color rgb="FF9CDCFE"/>
        <rFont val="Menlo"/>
        <family val="2"/>
      </rPr>
      <t>"H4"</t>
    </r>
    <r>
      <rPr>
        <sz val="12"/>
        <color rgb="FFCCCCCC"/>
        <rFont val="Menlo"/>
        <family val="2"/>
      </rPr>
      <t xml:space="preserve">: </t>
    </r>
    <r>
      <rPr>
        <sz val="12"/>
        <color rgb="FFB5CEA8"/>
        <rFont val="Menlo"/>
        <family val="2"/>
      </rPr>
      <t>12</t>
    </r>
    <r>
      <rPr>
        <sz val="12"/>
        <color rgb="FFCCCCCC"/>
        <rFont val="Menlo"/>
        <family val="2"/>
      </rPr>
      <t xml:space="preserve">, </t>
    </r>
    <r>
      <rPr>
        <sz val="12"/>
        <color rgb="FF9CDCFE"/>
        <rFont val="Menlo"/>
        <family val="2"/>
      </rPr>
      <t>"D1"</t>
    </r>
    <r>
      <rPr>
        <sz val="12"/>
        <color rgb="FFCCCCCC"/>
        <rFont val="Menlo"/>
        <family val="2"/>
      </rPr>
      <t xml:space="preserve">: </t>
    </r>
    <r>
      <rPr>
        <sz val="12"/>
        <color rgb="FFB5CEA8"/>
        <rFont val="Menlo"/>
        <family val="2"/>
      </rPr>
      <t>16</t>
    </r>
    <r>
      <rPr>
        <sz val="12"/>
        <color rgb="FFCCCCCC"/>
        <rFont val="Menlo"/>
        <family val="2"/>
      </rPr>
      <t xml:space="preserve"> },</t>
    </r>
  </si>
  <si>
    <r>
      <t>"sl_psar_pip_tf_buffer"</t>
    </r>
    <r>
      <rPr>
        <sz val="12"/>
        <color rgb="FFCCCCCC"/>
        <rFont val="Menlo"/>
        <family val="2"/>
      </rPr>
      <t xml:space="preserve">: { </t>
    </r>
    <r>
      <rPr>
        <sz val="12"/>
        <color rgb="FF9CDCFE"/>
        <rFont val="Menlo"/>
        <family val="2"/>
      </rPr>
      <t>"M1"</t>
    </r>
    <r>
      <rPr>
        <sz val="12"/>
        <color rgb="FFCCCCCC"/>
        <rFont val="Menlo"/>
        <family val="2"/>
      </rPr>
      <t xml:space="preserve">: </t>
    </r>
    <r>
      <rPr>
        <sz val="12"/>
        <color rgb="FFB5CEA8"/>
        <rFont val="Menlo"/>
        <family val="2"/>
      </rPr>
      <t>1</t>
    </r>
    <r>
      <rPr>
        <sz val="12"/>
        <color rgb="FFCCCCCC"/>
        <rFont val="Menlo"/>
        <family val="2"/>
      </rPr>
      <t xml:space="preserve">, </t>
    </r>
    <r>
      <rPr>
        <sz val="12"/>
        <color rgb="FF9CDCFE"/>
        <rFont val="Menlo"/>
        <family val="2"/>
      </rPr>
      <t>"M5"</t>
    </r>
    <r>
      <rPr>
        <sz val="12"/>
        <color rgb="FFCCCCCC"/>
        <rFont val="Menlo"/>
        <family val="2"/>
      </rPr>
      <t xml:space="preserve">: </t>
    </r>
    <r>
      <rPr>
        <sz val="12"/>
        <color rgb="FFB5CEA8"/>
        <rFont val="Menlo"/>
        <family val="2"/>
      </rPr>
      <t>2</t>
    </r>
    <r>
      <rPr>
        <sz val="12"/>
        <color rgb="FFCCCCCC"/>
        <rFont val="Menlo"/>
        <family val="2"/>
      </rPr>
      <t xml:space="preserve">, </t>
    </r>
    <r>
      <rPr>
        <sz val="12"/>
        <color rgb="FF9CDCFE"/>
        <rFont val="Menlo"/>
        <family val="2"/>
      </rPr>
      <t>"M15"</t>
    </r>
    <r>
      <rPr>
        <sz val="12"/>
        <color rgb="FFCCCCCC"/>
        <rFont val="Menlo"/>
        <family val="2"/>
      </rPr>
      <t xml:space="preserve">: </t>
    </r>
    <r>
      <rPr>
        <sz val="12"/>
        <color rgb="FFB5CEA8"/>
        <rFont val="Menlo"/>
        <family val="2"/>
      </rPr>
      <t>2</t>
    </r>
    <r>
      <rPr>
        <sz val="12"/>
        <color rgb="FFCCCCCC"/>
        <rFont val="Menlo"/>
        <family val="2"/>
      </rPr>
      <t xml:space="preserve">, </t>
    </r>
    <r>
      <rPr>
        <sz val="12"/>
        <color rgb="FF9CDCFE"/>
        <rFont val="Menlo"/>
        <family val="2"/>
      </rPr>
      <t>"M30"</t>
    </r>
    <r>
      <rPr>
        <sz val="12"/>
        <color rgb="FFCCCCCC"/>
        <rFont val="Menlo"/>
        <family val="2"/>
      </rPr>
      <t xml:space="preserve">: </t>
    </r>
    <r>
      <rPr>
        <sz val="12"/>
        <color rgb="FFB5CEA8"/>
        <rFont val="Menlo"/>
        <family val="2"/>
      </rPr>
      <t>2</t>
    </r>
    <r>
      <rPr>
        <sz val="12"/>
        <color rgb="FFCCCCCC"/>
        <rFont val="Menlo"/>
        <family val="2"/>
      </rPr>
      <t xml:space="preserve">, </t>
    </r>
    <r>
      <rPr>
        <sz val="12"/>
        <color rgb="FF9CDCFE"/>
        <rFont val="Menlo"/>
        <family val="2"/>
      </rPr>
      <t>"H1"</t>
    </r>
    <r>
      <rPr>
        <sz val="12"/>
        <color rgb="FFCCCCCC"/>
        <rFont val="Menlo"/>
        <family val="2"/>
      </rPr>
      <t xml:space="preserve">: </t>
    </r>
    <r>
      <rPr>
        <sz val="12"/>
        <color rgb="FFB5CEA8"/>
        <rFont val="Menlo"/>
        <family val="2"/>
      </rPr>
      <t>2</t>
    </r>
    <r>
      <rPr>
        <sz val="12"/>
        <color rgb="FFCCCCCC"/>
        <rFont val="Menlo"/>
        <family val="2"/>
      </rPr>
      <t xml:space="preserve">, </t>
    </r>
    <r>
      <rPr>
        <sz val="12"/>
        <color rgb="FF9CDCFE"/>
        <rFont val="Menlo"/>
        <family val="2"/>
      </rPr>
      <t>"H2"</t>
    </r>
    <r>
      <rPr>
        <sz val="12"/>
        <color rgb="FFCCCCCC"/>
        <rFont val="Menlo"/>
        <family val="2"/>
      </rPr>
      <t xml:space="preserve">: </t>
    </r>
    <r>
      <rPr>
        <sz val="12"/>
        <color rgb="FFB5CEA8"/>
        <rFont val="Menlo"/>
        <family val="2"/>
      </rPr>
      <t>2</t>
    </r>
    <r>
      <rPr>
        <sz val="12"/>
        <color rgb="FFCCCCCC"/>
        <rFont val="Menlo"/>
        <family val="2"/>
      </rPr>
      <t xml:space="preserve">, </t>
    </r>
    <r>
      <rPr>
        <sz val="12"/>
        <color rgb="FF9CDCFE"/>
        <rFont val="Menlo"/>
        <family val="2"/>
      </rPr>
      <t>"H4"</t>
    </r>
    <r>
      <rPr>
        <sz val="12"/>
        <color rgb="FFCCCCCC"/>
        <rFont val="Menlo"/>
        <family val="2"/>
      </rPr>
      <t xml:space="preserve">: </t>
    </r>
    <r>
      <rPr>
        <sz val="12"/>
        <color rgb="FFB5CEA8"/>
        <rFont val="Menlo"/>
        <family val="2"/>
      </rPr>
      <t>2</t>
    </r>
    <r>
      <rPr>
        <sz val="12"/>
        <color rgb="FFCCCCCC"/>
        <rFont val="Menlo"/>
        <family val="2"/>
      </rPr>
      <t xml:space="preserve">, </t>
    </r>
    <r>
      <rPr>
        <sz val="12"/>
        <color rgb="FF9CDCFE"/>
        <rFont val="Menlo"/>
        <family val="2"/>
      </rPr>
      <t>"D1"</t>
    </r>
    <r>
      <rPr>
        <sz val="12"/>
        <color rgb="FFCCCCCC"/>
        <rFont val="Menlo"/>
        <family val="2"/>
      </rPr>
      <t xml:space="preserve">: </t>
    </r>
    <r>
      <rPr>
        <sz val="12"/>
        <color rgb="FFB5CEA8"/>
        <rFont val="Menlo"/>
        <family val="2"/>
      </rPr>
      <t>2</t>
    </r>
    <r>
      <rPr>
        <sz val="12"/>
        <color rgb="FFCCCCCC"/>
        <rFont val="Menlo"/>
        <family val="2"/>
      </rPr>
      <t xml:space="preserve"> }</t>
    </r>
  </si>
  <si>
    <r>
      <t>"atr_settings"</t>
    </r>
    <r>
      <rPr>
        <sz val="12"/>
        <color rgb="FFCCCCCC"/>
        <rFont val="Menlo"/>
        <family val="2"/>
      </rPr>
      <t>: {</t>
    </r>
  </si>
  <si>
    <r>
      <t>"eurusd"</t>
    </r>
    <r>
      <rPr>
        <sz val="12"/>
        <color rgb="FFCCCCCC"/>
        <rFont val="Menlo"/>
        <family val="2"/>
      </rPr>
      <t xml:space="preserve">: { </t>
    </r>
    <r>
      <rPr>
        <sz val="12"/>
        <color rgb="FF9CDCFE"/>
        <rFont val="Menlo"/>
        <family val="2"/>
      </rPr>
      <t>"sl_multiplier"</t>
    </r>
    <r>
      <rPr>
        <sz val="12"/>
        <color rgb="FFCCCCCC"/>
        <rFont val="Menlo"/>
        <family val="2"/>
      </rPr>
      <t xml:space="preserve">: </t>
    </r>
    <r>
      <rPr>
        <sz val="12"/>
        <color rgb="FFB5CEA8"/>
        <rFont val="Menlo"/>
        <family val="2"/>
      </rPr>
      <t>1.5</t>
    </r>
    <r>
      <rPr>
        <sz val="12"/>
        <color rgb="FFCCCCCC"/>
        <rFont val="Menlo"/>
        <family val="2"/>
      </rPr>
      <t xml:space="preserve">, </t>
    </r>
    <r>
      <rPr>
        <sz val="12"/>
        <color rgb="FF9CDCFE"/>
        <rFont val="Menlo"/>
        <family val="2"/>
      </rPr>
      <t>"tp_multiplier"</t>
    </r>
    <r>
      <rPr>
        <sz val="12"/>
        <color rgb="FFCCCCCC"/>
        <rFont val="Menlo"/>
        <family val="2"/>
      </rPr>
      <t xml:space="preserve">: </t>
    </r>
    <r>
      <rPr>
        <sz val="12"/>
        <color rgb="FFB5CEA8"/>
        <rFont val="Menlo"/>
        <family val="2"/>
      </rPr>
      <t>2.0</t>
    </r>
    <r>
      <rPr>
        <sz val="12"/>
        <color rgb="FFCCCCCC"/>
        <rFont val="Menlo"/>
        <family val="2"/>
      </rPr>
      <t>},</t>
    </r>
  </si>
  <si>
    <r>
      <t>"usdjpy"</t>
    </r>
    <r>
      <rPr>
        <sz val="12"/>
        <color rgb="FFCCCCCC"/>
        <rFont val="Menlo"/>
        <family val="2"/>
      </rPr>
      <t xml:space="preserve">: { </t>
    </r>
    <r>
      <rPr>
        <sz val="12"/>
        <color rgb="FF9CDCFE"/>
        <rFont val="Menlo"/>
        <family val="2"/>
      </rPr>
      <t>"sl_multiplier"</t>
    </r>
    <r>
      <rPr>
        <sz val="12"/>
        <color rgb="FFCCCCCC"/>
        <rFont val="Menlo"/>
        <family val="2"/>
      </rPr>
      <t xml:space="preserve">: </t>
    </r>
    <r>
      <rPr>
        <sz val="12"/>
        <color rgb="FFB5CEA8"/>
        <rFont val="Menlo"/>
        <family val="2"/>
      </rPr>
      <t>1.2</t>
    </r>
    <r>
      <rPr>
        <sz val="12"/>
        <color rgb="FFCCCCCC"/>
        <rFont val="Menlo"/>
        <family val="2"/>
      </rPr>
      <t xml:space="preserve">, </t>
    </r>
    <r>
      <rPr>
        <sz val="12"/>
        <color rgb="FF9CDCFE"/>
        <rFont val="Menlo"/>
        <family val="2"/>
      </rPr>
      <t>"tp_multiplier"</t>
    </r>
    <r>
      <rPr>
        <sz val="12"/>
        <color rgb="FFCCCCCC"/>
        <rFont val="Menlo"/>
        <family val="2"/>
      </rPr>
      <t xml:space="preserve">: </t>
    </r>
    <r>
      <rPr>
        <sz val="12"/>
        <color rgb="FFB5CEA8"/>
        <rFont val="Menlo"/>
        <family val="2"/>
      </rPr>
      <t>1.8</t>
    </r>
    <r>
      <rPr>
        <sz val="12"/>
        <color rgb="FFCCCCCC"/>
        <rFont val="Menlo"/>
        <family val="2"/>
      </rPr>
      <t xml:space="preserve"> },</t>
    </r>
  </si>
  <si>
    <r>
      <t>"audusd"</t>
    </r>
    <r>
      <rPr>
        <sz val="12"/>
        <color rgb="FFCCCCCC"/>
        <rFont val="Menlo"/>
        <family val="2"/>
      </rPr>
      <t xml:space="preserve">: { </t>
    </r>
    <r>
      <rPr>
        <sz val="12"/>
        <color rgb="FF9CDCFE"/>
        <rFont val="Menlo"/>
        <family val="2"/>
      </rPr>
      <t>"sl_multiplier"</t>
    </r>
    <r>
      <rPr>
        <sz val="12"/>
        <color rgb="FFCCCCCC"/>
        <rFont val="Menlo"/>
        <family val="2"/>
      </rPr>
      <t xml:space="preserve">: </t>
    </r>
    <r>
      <rPr>
        <sz val="12"/>
        <color rgb="FFB5CEA8"/>
        <rFont val="Menlo"/>
        <family val="2"/>
      </rPr>
      <t>1.7</t>
    </r>
    <r>
      <rPr>
        <sz val="12"/>
        <color rgb="FFCCCCCC"/>
        <rFont val="Menlo"/>
        <family val="2"/>
      </rPr>
      <t xml:space="preserve">, </t>
    </r>
    <r>
      <rPr>
        <sz val="12"/>
        <color rgb="FF9CDCFE"/>
        <rFont val="Menlo"/>
        <family val="2"/>
      </rPr>
      <t>"tp_multiplier"</t>
    </r>
    <r>
      <rPr>
        <sz val="12"/>
        <color rgb="FFCCCCCC"/>
        <rFont val="Menlo"/>
        <family val="2"/>
      </rPr>
      <t xml:space="preserve">: </t>
    </r>
    <r>
      <rPr>
        <sz val="12"/>
        <color rgb="FFB5CEA8"/>
        <rFont val="Menlo"/>
        <family val="2"/>
      </rPr>
      <t>2.2</t>
    </r>
    <r>
      <rPr>
        <sz val="12"/>
        <color rgb="FFCCCCCC"/>
        <rFont val="Menlo"/>
        <family val="2"/>
      </rPr>
      <t xml:space="preserve"> },</t>
    </r>
  </si>
  <si>
    <r>
      <t>"gbpusd"</t>
    </r>
    <r>
      <rPr>
        <sz val="12"/>
        <color rgb="FFCCCCCC"/>
        <rFont val="Menlo"/>
        <family val="2"/>
      </rPr>
      <t xml:space="preserve">: { </t>
    </r>
    <r>
      <rPr>
        <sz val="12"/>
        <color rgb="FF9CDCFE"/>
        <rFont val="Menlo"/>
        <family val="2"/>
      </rPr>
      <t>"sl_multiplier"</t>
    </r>
    <r>
      <rPr>
        <sz val="12"/>
        <color rgb="FFCCCCCC"/>
        <rFont val="Menlo"/>
        <family val="2"/>
      </rPr>
      <t xml:space="preserve">: </t>
    </r>
    <r>
      <rPr>
        <sz val="12"/>
        <color rgb="FFB5CEA8"/>
        <rFont val="Menlo"/>
        <family val="2"/>
      </rPr>
      <t>1.6</t>
    </r>
    <r>
      <rPr>
        <sz val="12"/>
        <color rgb="FFCCCCCC"/>
        <rFont val="Menlo"/>
        <family val="2"/>
      </rPr>
      <t xml:space="preserve">, </t>
    </r>
    <r>
      <rPr>
        <sz val="12"/>
        <color rgb="FF9CDCFE"/>
        <rFont val="Menlo"/>
        <family val="2"/>
      </rPr>
      <t>"tp_multiplier"</t>
    </r>
    <r>
      <rPr>
        <sz val="12"/>
        <color rgb="FFCCCCCC"/>
        <rFont val="Menlo"/>
        <family val="2"/>
      </rPr>
      <t xml:space="preserve">: </t>
    </r>
    <r>
      <rPr>
        <sz val="12"/>
        <color rgb="FFB5CEA8"/>
        <rFont val="Menlo"/>
        <family val="2"/>
      </rPr>
      <t>2.1</t>
    </r>
    <r>
      <rPr>
        <sz val="12"/>
        <color rgb="FFCCCCCC"/>
        <rFont val="Menlo"/>
        <family val="2"/>
      </rPr>
      <t xml:space="preserve"> },</t>
    </r>
  </si>
  <si>
    <r>
      <t>"eurjpy"</t>
    </r>
    <r>
      <rPr>
        <sz val="12"/>
        <color rgb="FFCCCCCC"/>
        <rFont val="Menlo"/>
        <family val="2"/>
      </rPr>
      <t xml:space="preserve">: { </t>
    </r>
    <r>
      <rPr>
        <sz val="12"/>
        <color rgb="FF9CDCFE"/>
        <rFont val="Menlo"/>
        <family val="2"/>
      </rPr>
      <t>"sl_multiplier"</t>
    </r>
    <r>
      <rPr>
        <sz val="12"/>
        <color rgb="FFCCCCCC"/>
        <rFont val="Menlo"/>
        <family val="2"/>
      </rPr>
      <t xml:space="preserve">: </t>
    </r>
    <r>
      <rPr>
        <sz val="12"/>
        <color rgb="FFB5CEA8"/>
        <rFont val="Menlo"/>
        <family val="2"/>
      </rPr>
      <t>1.4</t>
    </r>
    <r>
      <rPr>
        <sz val="12"/>
        <color rgb="FFCCCCCC"/>
        <rFont val="Menlo"/>
        <family val="2"/>
      </rPr>
      <t xml:space="preserve">, </t>
    </r>
    <r>
      <rPr>
        <sz val="12"/>
        <color rgb="FF9CDCFE"/>
        <rFont val="Menlo"/>
        <family val="2"/>
      </rPr>
      <t>"tp_multiplier"</t>
    </r>
    <r>
      <rPr>
        <sz val="12"/>
        <color rgb="FFCCCCCC"/>
        <rFont val="Menlo"/>
        <family val="2"/>
      </rPr>
      <t xml:space="preserve">: </t>
    </r>
    <r>
      <rPr>
        <sz val="12"/>
        <color rgb="FFB5CEA8"/>
        <rFont val="Menlo"/>
        <family val="2"/>
      </rPr>
      <t>1.9</t>
    </r>
    <r>
      <rPr>
        <sz val="12"/>
        <color rgb="FFCCCCCC"/>
        <rFont val="Menlo"/>
        <family val="2"/>
      </rPr>
      <t xml:space="preserve"> },</t>
    </r>
  </si>
  <si>
    <r>
      <t>"eurgbp"</t>
    </r>
    <r>
      <rPr>
        <sz val="12"/>
        <color rgb="FFCCCCCC"/>
        <rFont val="Menlo"/>
        <family val="2"/>
      </rPr>
      <t xml:space="preserve">: { </t>
    </r>
    <r>
      <rPr>
        <sz val="12"/>
        <color rgb="FF9CDCFE"/>
        <rFont val="Menlo"/>
        <family val="2"/>
      </rPr>
      <t>"sl_multiplier"</t>
    </r>
    <r>
      <rPr>
        <sz val="12"/>
        <color rgb="FFCCCCCC"/>
        <rFont val="Menlo"/>
        <family val="2"/>
      </rPr>
      <t xml:space="preserve">: </t>
    </r>
    <r>
      <rPr>
        <sz val="12"/>
        <color rgb="FFB5CEA8"/>
        <rFont val="Menlo"/>
        <family val="2"/>
      </rPr>
      <t>1.5</t>
    </r>
    <r>
      <rPr>
        <sz val="12"/>
        <color rgb="FFCCCCCC"/>
        <rFont val="Menlo"/>
        <family val="2"/>
      </rPr>
      <t xml:space="preserve">, </t>
    </r>
    <r>
      <rPr>
        <sz val="12"/>
        <color rgb="FF9CDCFE"/>
        <rFont val="Menlo"/>
        <family val="2"/>
      </rPr>
      <t>"tp_multiplier"</t>
    </r>
    <r>
      <rPr>
        <sz val="12"/>
        <color rgb="FFCCCCCC"/>
        <rFont val="Menlo"/>
        <family val="2"/>
      </rPr>
      <t xml:space="preserve">: </t>
    </r>
    <r>
      <rPr>
        <sz val="12"/>
        <color rgb="FFB5CEA8"/>
        <rFont val="Menlo"/>
        <family val="2"/>
      </rPr>
      <t>2.0</t>
    </r>
    <r>
      <rPr>
        <sz val="12"/>
        <color rgb="FFCCCCCC"/>
        <rFont val="Menlo"/>
        <family val="2"/>
      </rPr>
      <t xml:space="preserve"> },</t>
    </r>
  </si>
  <si>
    <r>
      <t>"trade_sl_multipliers"</t>
    </r>
    <r>
      <rPr>
        <sz val="12"/>
        <color rgb="FFCCCCCC"/>
        <rFont val="Menlo"/>
        <family val="2"/>
      </rPr>
      <t>: {</t>
    </r>
  </si>
  <si>
    <r>
      <t>"ribbon_trade"</t>
    </r>
    <r>
      <rPr>
        <sz val="12"/>
        <color rgb="FFCCCCCC"/>
        <rFont val="Menlo"/>
        <family val="2"/>
      </rPr>
      <t xml:space="preserve">: </t>
    </r>
    <r>
      <rPr>
        <sz val="12"/>
        <color rgb="FFB5CEA8"/>
        <rFont val="Menlo"/>
        <family val="2"/>
      </rPr>
      <t>1.0</t>
    </r>
    <r>
      <rPr>
        <sz val="12"/>
        <color rgb="FFCCCCCC"/>
        <rFont val="Menlo"/>
        <family val="2"/>
      </rPr>
      <t>,</t>
    </r>
  </si>
  <si>
    <r>
      <t>"ghost_trade"</t>
    </r>
    <r>
      <rPr>
        <sz val="12"/>
        <color rgb="FFCCCCCC"/>
        <rFont val="Menlo"/>
        <family val="2"/>
      </rPr>
      <t xml:space="preserve">: </t>
    </r>
    <r>
      <rPr>
        <sz val="12"/>
        <color rgb="FFB5CEA8"/>
        <rFont val="Menlo"/>
        <family val="2"/>
      </rPr>
      <t>1.0</t>
    </r>
    <r>
      <rPr>
        <sz val="12"/>
        <color rgb="FFCCCCCC"/>
        <rFont val="Menlo"/>
        <family val="2"/>
      </rPr>
      <t>,</t>
    </r>
  </si>
  <si>
    <r>
      <t>"shark_trade"</t>
    </r>
    <r>
      <rPr>
        <sz val="12"/>
        <color rgb="FFCCCCCC"/>
        <rFont val="Menlo"/>
        <family val="2"/>
      </rPr>
      <t xml:space="preserve">: </t>
    </r>
    <r>
      <rPr>
        <sz val="12"/>
        <color rgb="FFB5CEA8"/>
        <rFont val="Menlo"/>
        <family val="2"/>
      </rPr>
      <t>1.0</t>
    </r>
  </si>
  <si>
    <r>
      <t>"trade_sl_multipliers_proposed_information_only"</t>
    </r>
    <r>
      <rPr>
        <sz val="12"/>
        <color rgb="FFCCCCCC"/>
        <rFont val="Menlo"/>
        <family val="2"/>
      </rPr>
      <t>: {</t>
    </r>
  </si>
  <si>
    <r>
      <t>"ribbon_trade"</t>
    </r>
    <r>
      <rPr>
        <sz val="12"/>
        <color rgb="FFCCCCCC"/>
        <rFont val="Menlo"/>
        <family val="2"/>
      </rPr>
      <t xml:space="preserve">: </t>
    </r>
    <r>
      <rPr>
        <sz val="12"/>
        <color rgb="FFB5CEA8"/>
        <rFont val="Menlo"/>
        <family val="2"/>
      </rPr>
      <t>1.2</t>
    </r>
    <r>
      <rPr>
        <sz val="12"/>
        <color rgb="FFCCCCCC"/>
        <rFont val="Menlo"/>
        <family val="2"/>
      </rPr>
      <t>,</t>
    </r>
  </si>
  <si>
    <r>
      <t>"ghost_trade"</t>
    </r>
    <r>
      <rPr>
        <sz val="12"/>
        <color rgb="FFCCCCCC"/>
        <rFont val="Menlo"/>
        <family val="2"/>
      </rPr>
      <t xml:space="preserve">: </t>
    </r>
    <r>
      <rPr>
        <sz val="12"/>
        <color rgb="FFB5CEA8"/>
        <rFont val="Menlo"/>
        <family val="2"/>
      </rPr>
      <t>1.5</t>
    </r>
    <r>
      <rPr>
        <sz val="12"/>
        <color rgb="FFCCCCCC"/>
        <rFont val="Menlo"/>
        <family val="2"/>
      </rPr>
      <t>,</t>
    </r>
  </si>
  <si>
    <r>
      <t>"shark_trade"</t>
    </r>
    <r>
      <rPr>
        <sz val="12"/>
        <color rgb="FFCCCCCC"/>
        <rFont val="Menlo"/>
        <family val="2"/>
      </rPr>
      <t xml:space="preserve">: </t>
    </r>
    <r>
      <rPr>
        <sz val="12"/>
        <color rgb="FFB5CEA8"/>
        <rFont val="Menlo"/>
        <family val="2"/>
      </rPr>
      <t>1.8</t>
    </r>
  </si>
  <si>
    <r>
      <t>"tm_settings"</t>
    </r>
    <r>
      <rPr>
        <sz val="12"/>
        <color rgb="FFCCCCCC"/>
        <rFont val="Menlo"/>
        <family val="2"/>
      </rPr>
      <t>: {</t>
    </r>
  </si>
  <si>
    <r>
      <t>"selected_profile"</t>
    </r>
    <r>
      <rPr>
        <sz val="12"/>
        <color rgb="FFCCCCCC"/>
        <rFont val="Menlo"/>
        <family val="2"/>
      </rPr>
      <t xml:space="preserve">: </t>
    </r>
    <r>
      <rPr>
        <sz val="12"/>
        <color rgb="FFCE9178"/>
        <rFont val="Menlo"/>
        <family val="2"/>
      </rPr>
      <t>"_manual"</t>
    </r>
    <r>
      <rPr>
        <sz val="12"/>
        <color rgb="FFCCCCCC"/>
        <rFont val="Menlo"/>
        <family val="2"/>
      </rPr>
      <t>,</t>
    </r>
  </si>
  <si>
    <r>
      <t>"_outcome"</t>
    </r>
    <r>
      <rPr>
        <sz val="12"/>
        <color rgb="FFCCCCCC"/>
        <rFont val="Menlo"/>
        <family val="2"/>
      </rPr>
      <t>: {</t>
    </r>
  </si>
  <si>
    <r>
      <t>"_sl"</t>
    </r>
    <r>
      <rPr>
        <sz val="12"/>
        <color rgb="FFCCCCCC"/>
        <rFont val="Menlo"/>
        <family val="2"/>
      </rPr>
      <t>: {</t>
    </r>
  </si>
  <si>
    <r>
      <t>"enabled"</t>
    </r>
    <r>
      <rPr>
        <sz val="12"/>
        <color rgb="FFCCCCCC"/>
        <rFont val="Menlo"/>
        <family val="2"/>
      </rPr>
      <t xml:space="preserve">: </t>
    </r>
    <r>
      <rPr>
        <sz val="12"/>
        <color rgb="FF569CD6"/>
        <rFont val="Menlo"/>
        <family val="2"/>
      </rPr>
      <t>true</t>
    </r>
  </si>
  <si>
    <r>
      <t>"_tp"</t>
    </r>
    <r>
      <rPr>
        <sz val="12"/>
        <color rgb="FFCCCCCC"/>
        <rFont val="Menlo"/>
        <family val="2"/>
      </rPr>
      <t>: {</t>
    </r>
  </si>
  <si>
    <r>
      <t>"_be"</t>
    </r>
    <r>
      <rPr>
        <sz val="12"/>
        <color rgb="FFCCCCCC"/>
        <rFont val="Menlo"/>
        <family val="2"/>
      </rPr>
      <t>: {</t>
    </r>
  </si>
  <si>
    <r>
      <t>"_tr"</t>
    </r>
    <r>
      <rPr>
        <sz val="12"/>
        <color rgb="FFCCCCCC"/>
        <rFont val="Menlo"/>
        <family val="2"/>
      </rPr>
      <t>: {</t>
    </r>
  </si>
  <si>
    <r>
      <t>"_tsm_none"</t>
    </r>
    <r>
      <rPr>
        <sz val="12"/>
        <color rgb="FFCCCCCC"/>
        <rFont val="Menlo"/>
        <family val="2"/>
      </rPr>
      <t>: {</t>
    </r>
  </si>
  <si>
    <r>
      <t>"lock_tp"</t>
    </r>
    <r>
      <rPr>
        <sz val="12"/>
        <color rgb="FFCCCCCC"/>
        <rFont val="Menlo"/>
        <family val="2"/>
      </rPr>
      <t xml:space="preserve">: </t>
    </r>
    <r>
      <rPr>
        <sz val="12"/>
        <color rgb="FF569CD6"/>
        <rFont val="Menlo"/>
        <family val="2"/>
      </rPr>
      <t>true</t>
    </r>
    <r>
      <rPr>
        <sz val="12"/>
        <color rgb="FFCCCCCC"/>
        <rFont val="Menlo"/>
        <family val="2"/>
      </rPr>
      <t>,</t>
    </r>
  </si>
  <si>
    <r>
      <t>"description"</t>
    </r>
    <r>
      <rPr>
        <sz val="12"/>
        <color rgb="FFCCCCCC"/>
        <rFont val="Menlo"/>
        <family val="2"/>
      </rPr>
      <t xml:space="preserve">: </t>
    </r>
    <r>
      <rPr>
        <sz val="12"/>
        <color rgb="FFCE9178"/>
        <rFont val="Menlo"/>
        <family val="2"/>
      </rPr>
      <t>"SL moves to BE after breakeven trigger; no trailing"</t>
    </r>
  </si>
  <si>
    <r>
      <t>"_tsm_psar_70"</t>
    </r>
    <r>
      <rPr>
        <sz val="12"/>
        <color rgb="FFCCCCCC"/>
        <rFont val="Menlo"/>
        <family val="2"/>
      </rPr>
      <t>: {</t>
    </r>
  </si>
  <si>
    <r>
      <t>"description"</t>
    </r>
    <r>
      <rPr>
        <sz val="12"/>
        <color rgb="FFCCCCCC"/>
        <rFont val="Menlo"/>
        <family val="2"/>
      </rPr>
      <t xml:space="preserve">: </t>
    </r>
    <r>
      <rPr>
        <sz val="12"/>
        <color rgb="FFCE9178"/>
        <rFont val="Menlo"/>
        <family val="2"/>
      </rPr>
      <t>"SL moves to BE at BE trigger, then trails with PSAR"</t>
    </r>
  </si>
  <si>
    <r>
      <t>"_tsm_psar_begin"</t>
    </r>
    <r>
      <rPr>
        <sz val="12"/>
        <color rgb="FFCCCCCC"/>
        <rFont val="Menlo"/>
        <family val="2"/>
      </rPr>
      <t>: {</t>
    </r>
  </si>
  <si>
    <r>
      <t>"description"</t>
    </r>
    <r>
      <rPr>
        <sz val="12"/>
        <color rgb="FFCCCCCC"/>
        <rFont val="Menlo"/>
        <family val="2"/>
      </rPr>
      <t xml:space="preserve">: </t>
    </r>
    <r>
      <rPr>
        <sz val="12"/>
        <color rgb="FFCE9178"/>
        <rFont val="Menlo"/>
        <family val="2"/>
      </rPr>
      <t>"SL begins trailing with PSAR from second bar"</t>
    </r>
  </si>
  <si>
    <r>
      <t>"_tsm_atr_trail"</t>
    </r>
    <r>
      <rPr>
        <sz val="12"/>
        <color rgb="FFCCCCCC"/>
        <rFont val="Menlo"/>
        <family val="2"/>
      </rPr>
      <t>: {</t>
    </r>
  </si>
  <si>
    <r>
      <t>"atr_multiplier"</t>
    </r>
    <r>
      <rPr>
        <sz val="12"/>
        <color rgb="FFCCCCCC"/>
        <rFont val="Menlo"/>
        <family val="2"/>
      </rPr>
      <t xml:space="preserve">: </t>
    </r>
    <r>
      <rPr>
        <sz val="12"/>
        <color rgb="FFB5CEA8"/>
        <rFont val="Menlo"/>
        <family val="2"/>
      </rPr>
      <t>2.0</t>
    </r>
    <r>
      <rPr>
        <sz val="12"/>
        <color rgb="FFCCCCCC"/>
        <rFont val="Menlo"/>
        <family val="2"/>
      </rPr>
      <t>,</t>
    </r>
  </si>
  <si>
    <r>
      <t>"start_after_be"</t>
    </r>
    <r>
      <rPr>
        <sz val="12"/>
        <color rgb="FFCCCCCC"/>
        <rFont val="Menlo"/>
        <family val="2"/>
      </rPr>
      <t xml:space="preserve">: </t>
    </r>
    <r>
      <rPr>
        <sz val="12"/>
        <color rgb="FF569CD6"/>
        <rFont val="Menlo"/>
        <family val="2"/>
      </rPr>
      <t>true</t>
    </r>
    <r>
      <rPr>
        <sz val="12"/>
        <color rgb="FFCCCCCC"/>
        <rFont val="Menlo"/>
        <family val="2"/>
      </rPr>
      <t>,</t>
    </r>
  </si>
  <si>
    <r>
      <t>"description"</t>
    </r>
    <r>
      <rPr>
        <sz val="12"/>
        <color rgb="FFCCCCCC"/>
        <rFont val="Menlo"/>
        <family val="2"/>
      </rPr>
      <t xml:space="preserve">: </t>
    </r>
    <r>
      <rPr>
        <sz val="12"/>
        <color rgb="FFCE9178"/>
        <rFont val="Menlo"/>
        <family val="2"/>
      </rPr>
      <t>"SL trails using ATR x multiplier after BE"</t>
    </r>
  </si>
  <si>
    <r>
      <t>"_tsm_wide"</t>
    </r>
    <r>
      <rPr>
        <sz val="12"/>
        <color rgb="FFCCCCCC"/>
        <rFont val="Menlo"/>
        <family val="2"/>
      </rPr>
      <t>: {</t>
    </r>
  </si>
  <si>
    <r>
      <t>"trail_distance_ratio"</t>
    </r>
    <r>
      <rPr>
        <sz val="12"/>
        <color rgb="FFCCCCCC"/>
        <rFont val="Menlo"/>
        <family val="2"/>
      </rPr>
      <t xml:space="preserve">: </t>
    </r>
    <r>
      <rPr>
        <sz val="12"/>
        <color rgb="FFB5CEA8"/>
        <rFont val="Menlo"/>
        <family val="2"/>
      </rPr>
      <t>1.0</t>
    </r>
    <r>
      <rPr>
        <sz val="12"/>
        <color rgb="FFCCCCCC"/>
        <rFont val="Menlo"/>
        <family val="2"/>
      </rPr>
      <t>,</t>
    </r>
  </si>
  <si>
    <r>
      <t>"description"</t>
    </r>
    <r>
      <rPr>
        <sz val="12"/>
        <color rgb="FFCCCCCC"/>
        <rFont val="Menlo"/>
        <family val="2"/>
      </rPr>
      <t xml:space="preserve">: </t>
    </r>
    <r>
      <rPr>
        <sz val="12"/>
        <color rgb="FFCE9178"/>
        <rFont val="Menlo"/>
        <family val="2"/>
      </rPr>
      <t>"SL trails at fixed distance equivalent to TP=1.0 after BE"</t>
    </r>
  </si>
  <si>
    <r>
      <t>"_tsm_psar_continue"</t>
    </r>
    <r>
      <rPr>
        <sz val="12"/>
        <color rgb="FFCCCCCC"/>
        <rFont val="Menlo"/>
        <family val="2"/>
      </rPr>
      <t>: {</t>
    </r>
  </si>
  <si>
    <r>
      <t>"lock_tp"</t>
    </r>
    <r>
      <rPr>
        <sz val="12"/>
        <color rgb="FFCCCCCC"/>
        <rFont val="Menlo"/>
        <family val="2"/>
      </rPr>
      <t xml:space="preserve">: </t>
    </r>
    <r>
      <rPr>
        <sz val="12"/>
        <color rgb="FF569CD6"/>
        <rFont val="Menlo"/>
        <family val="2"/>
      </rPr>
      <t>false</t>
    </r>
    <r>
      <rPr>
        <sz val="12"/>
        <color rgb="FFCCCCCC"/>
        <rFont val="Menlo"/>
        <family val="2"/>
      </rPr>
      <t>,</t>
    </r>
  </si>
  <si>
    <r>
      <t>"description"</t>
    </r>
    <r>
      <rPr>
        <sz val="12"/>
        <color rgb="FFCCCCCC"/>
        <rFont val="Menlo"/>
        <family val="2"/>
      </rPr>
      <t xml:space="preserve">: </t>
    </r>
    <r>
      <rPr>
        <sz val="12"/>
        <color rgb="FFCE9178"/>
        <rFont val="Menlo"/>
        <family val="2"/>
      </rPr>
      <t>"SL continues to trail with PSAR beyond initial TP if RR &gt; activation_rr"</t>
    </r>
  </si>
  <si>
    <r>
      <t>"_plot"</t>
    </r>
    <r>
      <rPr>
        <sz val="12"/>
        <color rgb="FFCCCCCC"/>
        <rFont val="Menlo"/>
        <family val="2"/>
      </rPr>
      <t>: {</t>
    </r>
  </si>
  <si>
    <r>
      <t>"show_tm_sl_signals"</t>
    </r>
    <r>
      <rPr>
        <sz val="12"/>
        <color rgb="FFCCCCCC"/>
        <rFont val="Menlo"/>
        <family val="2"/>
      </rPr>
      <t xml:space="preserve">: </t>
    </r>
    <r>
      <rPr>
        <sz val="12"/>
        <color rgb="FF569CD6"/>
        <rFont val="Menlo"/>
        <family val="2"/>
      </rPr>
      <t>true</t>
    </r>
    <r>
      <rPr>
        <sz val="12"/>
        <color rgb="FFCCCCCC"/>
        <rFont val="Menlo"/>
        <family val="2"/>
      </rPr>
      <t>,</t>
    </r>
  </si>
  <si>
    <r>
      <t>"show_tm_tp_signals"</t>
    </r>
    <r>
      <rPr>
        <sz val="12"/>
        <color rgb="FFCCCCCC"/>
        <rFont val="Menlo"/>
        <family val="2"/>
      </rPr>
      <t xml:space="preserve">: </t>
    </r>
    <r>
      <rPr>
        <sz val="12"/>
        <color rgb="FF569CD6"/>
        <rFont val="Menlo"/>
        <family val="2"/>
      </rPr>
      <t>true</t>
    </r>
    <r>
      <rPr>
        <sz val="12"/>
        <color rgb="FFCCCCCC"/>
        <rFont val="Menlo"/>
        <family val="2"/>
      </rPr>
      <t>,</t>
    </r>
  </si>
  <si>
    <r>
      <t>"show_tm_be_signals"</t>
    </r>
    <r>
      <rPr>
        <sz val="12"/>
        <color rgb="FFCCCCCC"/>
        <rFont val="Menlo"/>
        <family val="2"/>
      </rPr>
      <t xml:space="preserve">: </t>
    </r>
    <r>
      <rPr>
        <sz val="12"/>
        <color rgb="FF569CD6"/>
        <rFont val="Menlo"/>
        <family val="2"/>
      </rPr>
      <t>true</t>
    </r>
  </si>
  <si>
    <r>
      <t>"_trade"</t>
    </r>
    <r>
      <rPr>
        <sz val="12"/>
        <color rgb="FFCCCCCC"/>
        <rFont val="Menlo"/>
        <family val="2"/>
      </rPr>
      <t>: {</t>
    </r>
  </si>
  <si>
    <r>
      <t>"_manual"</t>
    </r>
    <r>
      <rPr>
        <sz val="12"/>
        <color rgb="FFCCCCCC"/>
        <rFont val="Menlo"/>
        <family val="2"/>
      </rPr>
      <t>: {</t>
    </r>
  </si>
  <si>
    <r>
      <t>"description"</t>
    </r>
    <r>
      <rPr>
        <sz val="12"/>
        <color rgb="FFCCCCCC"/>
        <rFont val="Menlo"/>
        <family val="2"/>
      </rPr>
      <t xml:space="preserve">: </t>
    </r>
    <r>
      <rPr>
        <sz val="12"/>
        <color rgb="FFCE9178"/>
        <rFont val="Menlo"/>
        <family val="2"/>
      </rPr>
      <t>"RR 2.0 - Default fallback config for balanced setups."</t>
    </r>
    <r>
      <rPr>
        <sz val="12"/>
        <color rgb="FFCCCCCC"/>
        <rFont val="Menlo"/>
        <family val="2"/>
      </rPr>
      <t>,</t>
    </r>
  </si>
  <si>
    <r>
      <t>"events_calendar"</t>
    </r>
    <r>
      <rPr>
        <sz val="12"/>
        <color rgb="FFCCCCCC"/>
        <rFont val="Menlo"/>
        <family val="2"/>
      </rPr>
      <t xml:space="preserve">: </t>
    </r>
    <r>
      <rPr>
        <sz val="12"/>
        <color rgb="FF569CD6"/>
        <rFont val="Menlo"/>
        <family val="2"/>
      </rPr>
      <t>true</t>
    </r>
    <r>
      <rPr>
        <sz val="12"/>
        <color rgb="FFCCCCCC"/>
        <rFont val="Menlo"/>
        <family val="2"/>
      </rPr>
      <t>,</t>
    </r>
  </si>
  <si>
    <r>
      <t>"events_news"</t>
    </r>
    <r>
      <rPr>
        <sz val="12"/>
        <color rgb="FFCCCCCC"/>
        <rFont val="Menlo"/>
        <family val="2"/>
      </rPr>
      <t xml:space="preserve">: </t>
    </r>
    <r>
      <rPr>
        <sz val="12"/>
        <color rgb="FF569CD6"/>
        <rFont val="Menlo"/>
        <family val="2"/>
      </rPr>
      <t>true</t>
    </r>
    <r>
      <rPr>
        <sz val="12"/>
        <color rgb="FFCCCCCC"/>
        <rFont val="Menlo"/>
        <family val="2"/>
      </rPr>
      <t>,</t>
    </r>
  </si>
  <si>
    <r>
      <t>"tp_enabled"</t>
    </r>
    <r>
      <rPr>
        <sz val="12"/>
        <color rgb="FFCCCCCC"/>
        <rFont val="Menlo"/>
        <family val="2"/>
      </rPr>
      <t xml:space="preserve">: </t>
    </r>
    <r>
      <rPr>
        <sz val="12"/>
        <color rgb="FF569CD6"/>
        <rFont val="Menlo"/>
        <family val="2"/>
      </rPr>
      <t>true</t>
    </r>
    <r>
      <rPr>
        <sz val="12"/>
        <color rgb="FFCCCCCC"/>
        <rFont val="Menlo"/>
        <family val="2"/>
      </rPr>
      <t>,</t>
    </r>
  </si>
  <si>
    <r>
      <t>"sl_enabled"</t>
    </r>
    <r>
      <rPr>
        <sz val="12"/>
        <color rgb="FFCCCCCC"/>
        <rFont val="Menlo"/>
        <family val="2"/>
      </rPr>
      <t xml:space="preserve">: </t>
    </r>
    <r>
      <rPr>
        <sz val="12"/>
        <color rgb="FF569CD6"/>
        <rFont val="Menlo"/>
        <family val="2"/>
      </rPr>
      <t>true</t>
    </r>
    <r>
      <rPr>
        <sz val="12"/>
        <color rgb="FFCCCCCC"/>
        <rFont val="Menlo"/>
        <family val="2"/>
      </rPr>
      <t>,</t>
    </r>
  </si>
  <si>
    <r>
      <t>"tp_sl_rr"</t>
    </r>
    <r>
      <rPr>
        <sz val="12"/>
        <color rgb="FFCCCCCC"/>
        <rFont val="Menlo"/>
        <family val="2"/>
      </rPr>
      <t xml:space="preserve">: </t>
    </r>
    <r>
      <rPr>
        <sz val="12"/>
        <color rgb="FFB5CEA8"/>
        <rFont val="Menlo"/>
        <family val="2"/>
      </rPr>
      <t>2.0</t>
    </r>
    <r>
      <rPr>
        <sz val="12"/>
        <color rgb="FFCCCCCC"/>
        <rFont val="Menlo"/>
        <family val="2"/>
      </rPr>
      <t>,</t>
    </r>
  </si>
  <si>
    <r>
      <t>"sl_adaptive_enabled"</t>
    </r>
    <r>
      <rPr>
        <sz val="12"/>
        <color rgb="FFCCCCCC"/>
        <rFont val="Menlo"/>
        <family val="2"/>
      </rPr>
      <t xml:space="preserve">: </t>
    </r>
    <r>
      <rPr>
        <sz val="12"/>
        <color rgb="FF569CD6"/>
        <rFont val="Menlo"/>
        <family val="2"/>
      </rPr>
      <t>false</t>
    </r>
    <r>
      <rPr>
        <sz val="12"/>
        <color rgb="FFCCCCCC"/>
        <rFont val="Menlo"/>
        <family val="2"/>
      </rPr>
      <t>,</t>
    </r>
  </si>
  <si>
    <r>
      <t>"sl_adaptive_bias"</t>
    </r>
    <r>
      <rPr>
        <sz val="12"/>
        <color rgb="FFCCCCCC"/>
        <rFont val="Menlo"/>
        <family val="2"/>
      </rPr>
      <t xml:space="preserve">: </t>
    </r>
    <r>
      <rPr>
        <sz val="12"/>
        <color rgb="FFB5CEA8"/>
        <rFont val="Menlo"/>
        <family val="2"/>
      </rPr>
      <t>1.3</t>
    </r>
    <r>
      <rPr>
        <sz val="12"/>
        <color rgb="FFCCCCCC"/>
        <rFont val="Menlo"/>
        <family val="2"/>
      </rPr>
      <t>,</t>
    </r>
  </si>
  <si>
    <r>
      <t>"sl_adaptive_trigger"</t>
    </r>
    <r>
      <rPr>
        <sz val="12"/>
        <color rgb="FFCCCCCC"/>
        <rFont val="Menlo"/>
        <family val="2"/>
      </rPr>
      <t xml:space="preserve">: </t>
    </r>
    <r>
      <rPr>
        <sz val="12"/>
        <color rgb="FFCE9178"/>
        <rFont val="Menlo"/>
        <family val="2"/>
      </rPr>
      <t>"macd_flat"</t>
    </r>
    <r>
      <rPr>
        <sz val="12"/>
        <color rgb="FFCCCCCC"/>
        <rFont val="Menlo"/>
        <family val="2"/>
      </rPr>
      <t>,</t>
    </r>
  </si>
  <si>
    <r>
      <t>"breakeven_enabled"</t>
    </r>
    <r>
      <rPr>
        <sz val="12"/>
        <color rgb="FFCCCCCC"/>
        <rFont val="Menlo"/>
        <family val="2"/>
      </rPr>
      <t xml:space="preserve">: </t>
    </r>
    <r>
      <rPr>
        <sz val="12"/>
        <color rgb="FF569CD6"/>
        <rFont val="Menlo"/>
        <family val="2"/>
      </rPr>
      <t>true</t>
    </r>
    <r>
      <rPr>
        <sz val="12"/>
        <color rgb="FFCCCCCC"/>
        <rFont val="Menlo"/>
        <family val="2"/>
      </rPr>
      <t>,</t>
    </r>
  </si>
  <si>
    <r>
      <t>"breakeven_trigger_rr"</t>
    </r>
    <r>
      <rPr>
        <sz val="12"/>
        <color rgb="FFCCCCCC"/>
        <rFont val="Menlo"/>
        <family val="2"/>
      </rPr>
      <t xml:space="preserve">: </t>
    </r>
    <r>
      <rPr>
        <sz val="12"/>
        <color rgb="FFB5CEA8"/>
        <rFont val="Menlo"/>
        <family val="2"/>
      </rPr>
      <t>0.7</t>
    </r>
    <r>
      <rPr>
        <sz val="12"/>
        <color rgb="FFCCCCCC"/>
        <rFont val="Menlo"/>
        <family val="2"/>
      </rPr>
      <t>,</t>
    </r>
  </si>
  <si>
    <r>
      <t>"trail_mode_enabled"</t>
    </r>
    <r>
      <rPr>
        <sz val="12"/>
        <color rgb="FFCCCCCC"/>
        <rFont val="Menlo"/>
        <family val="2"/>
      </rPr>
      <t xml:space="preserve">: </t>
    </r>
    <r>
      <rPr>
        <sz val="12"/>
        <color rgb="FF569CD6"/>
        <rFont val="Menlo"/>
        <family val="2"/>
      </rPr>
      <t>true</t>
    </r>
    <r>
      <rPr>
        <sz val="12"/>
        <color rgb="FFCCCCCC"/>
        <rFont val="Menlo"/>
        <family val="2"/>
      </rPr>
      <t>,</t>
    </r>
  </si>
  <si>
    <r>
      <t>"trail_mode"</t>
    </r>
    <r>
      <rPr>
        <sz val="12"/>
        <color rgb="FFCCCCCC"/>
        <rFont val="Menlo"/>
        <family val="2"/>
      </rPr>
      <t xml:space="preserve">: </t>
    </r>
    <r>
      <rPr>
        <sz val="12"/>
        <color rgb="FFCE9178"/>
        <rFont val="Menlo"/>
        <family val="2"/>
      </rPr>
      <t>"_tsm_psar_70"</t>
    </r>
    <r>
      <rPr>
        <sz val="12"/>
        <color rgb="FFCCCCCC"/>
        <rFont val="Menlo"/>
        <family val="2"/>
      </rPr>
      <t>,</t>
    </r>
  </si>
  <si>
    <r>
      <t>"let_profit_run_enabled"</t>
    </r>
    <r>
      <rPr>
        <sz val="12"/>
        <color rgb="FFCCCCCC"/>
        <rFont val="Menlo"/>
        <family val="2"/>
      </rPr>
      <t xml:space="preserve">: </t>
    </r>
    <r>
      <rPr>
        <sz val="12"/>
        <color rgb="FF569CD6"/>
        <rFont val="Menlo"/>
        <family val="2"/>
      </rPr>
      <t>true</t>
    </r>
    <r>
      <rPr>
        <sz val="12"/>
        <color rgb="FFCCCCCC"/>
        <rFont val="Menlo"/>
        <family val="2"/>
      </rPr>
      <t>,</t>
    </r>
  </si>
  <si>
    <r>
      <t>"let_profit_run_mode"</t>
    </r>
    <r>
      <rPr>
        <sz val="12"/>
        <color rgb="FFCCCCCC"/>
        <rFont val="Menlo"/>
        <family val="2"/>
      </rPr>
      <t xml:space="preserve">: </t>
    </r>
    <r>
      <rPr>
        <sz val="12"/>
        <color rgb="FFCE9178"/>
        <rFont val="Menlo"/>
        <family val="2"/>
      </rPr>
      <t>"psar_continue"</t>
    </r>
    <r>
      <rPr>
        <sz val="12"/>
        <color rgb="FFCCCCCC"/>
        <rFont val="Menlo"/>
        <family val="2"/>
      </rPr>
      <t>,</t>
    </r>
  </si>
  <si>
    <r>
      <t>"let_profit_run_rr_activation"</t>
    </r>
    <r>
      <rPr>
        <sz val="12"/>
        <color rgb="FFCCCCCC"/>
        <rFont val="Menlo"/>
        <family val="2"/>
      </rPr>
      <t xml:space="preserve">: </t>
    </r>
    <r>
      <rPr>
        <sz val="12"/>
        <color rgb="FFB5CEA8"/>
        <rFont val="Menlo"/>
        <family val="2"/>
      </rPr>
      <t>1.0</t>
    </r>
    <r>
      <rPr>
        <sz val="12"/>
        <color rgb="FFCCCCCC"/>
        <rFont val="Menlo"/>
        <family val="2"/>
      </rPr>
      <t>,</t>
    </r>
  </si>
  <si>
    <r>
      <t>"let_profit_run_rr_lock"</t>
    </r>
    <r>
      <rPr>
        <sz val="12"/>
        <color rgb="FFCCCCCC"/>
        <rFont val="Menlo"/>
        <family val="2"/>
      </rPr>
      <t xml:space="preserve">: </t>
    </r>
    <r>
      <rPr>
        <sz val="12"/>
        <color rgb="FFB5CEA8"/>
        <rFont val="Menlo"/>
        <family val="2"/>
      </rPr>
      <t>0.5</t>
    </r>
  </si>
  <si>
    <r>
      <t>"_aggressive"</t>
    </r>
    <r>
      <rPr>
        <sz val="12"/>
        <color rgb="FFCCCCCC"/>
        <rFont val="Menlo"/>
        <family val="2"/>
      </rPr>
      <t>: {</t>
    </r>
  </si>
  <si>
    <r>
      <t>"description"</t>
    </r>
    <r>
      <rPr>
        <sz val="12"/>
        <color rgb="FFCCCCCC"/>
        <rFont val="Menlo"/>
        <family val="2"/>
      </rPr>
      <t xml:space="preserve">: </t>
    </r>
    <r>
      <rPr>
        <sz val="12"/>
        <color rgb="FFCE9178"/>
        <rFont val="Menlo"/>
        <family val="2"/>
      </rPr>
      <t>"RR 1.5 - Fast breakeven and PSAR trailing for breakout setups."</t>
    </r>
    <r>
      <rPr>
        <sz val="12"/>
        <color rgb="FFCCCCCC"/>
        <rFont val="Menlo"/>
        <family val="2"/>
      </rPr>
      <t>,</t>
    </r>
  </si>
  <si>
    <r>
      <t>"events_calendar"</t>
    </r>
    <r>
      <rPr>
        <sz val="12"/>
        <color rgb="FFCCCCCC"/>
        <rFont val="Menlo"/>
        <family val="2"/>
      </rPr>
      <t xml:space="preserve">: </t>
    </r>
    <r>
      <rPr>
        <sz val="12"/>
        <color rgb="FF569CD6"/>
        <rFont val="Menlo"/>
        <family val="2"/>
      </rPr>
      <t>false</t>
    </r>
    <r>
      <rPr>
        <sz val="12"/>
        <color rgb="FFCCCCCC"/>
        <rFont val="Menlo"/>
        <family val="2"/>
      </rPr>
      <t>,</t>
    </r>
  </si>
  <si>
    <r>
      <t>"events_news"</t>
    </r>
    <r>
      <rPr>
        <sz val="12"/>
        <color rgb="FFCCCCCC"/>
        <rFont val="Menlo"/>
        <family val="2"/>
      </rPr>
      <t xml:space="preserve">: </t>
    </r>
    <r>
      <rPr>
        <sz val="12"/>
        <color rgb="FF569CD6"/>
        <rFont val="Menlo"/>
        <family val="2"/>
      </rPr>
      <t>false</t>
    </r>
    <r>
      <rPr>
        <sz val="12"/>
        <color rgb="FFCCCCCC"/>
        <rFont val="Menlo"/>
        <family val="2"/>
      </rPr>
      <t>,</t>
    </r>
  </si>
  <si>
    <r>
      <t>"tp_sl_rr"</t>
    </r>
    <r>
      <rPr>
        <sz val="12"/>
        <color rgb="FFCCCCCC"/>
        <rFont val="Menlo"/>
        <family val="2"/>
      </rPr>
      <t xml:space="preserve">: </t>
    </r>
    <r>
      <rPr>
        <sz val="12"/>
        <color rgb="FFB5CEA8"/>
        <rFont val="Menlo"/>
        <family val="2"/>
      </rPr>
      <t>1.5</t>
    </r>
    <r>
      <rPr>
        <sz val="12"/>
        <color rgb="FFCCCCCC"/>
        <rFont val="Menlo"/>
        <family val="2"/>
      </rPr>
      <t>,</t>
    </r>
  </si>
  <si>
    <r>
      <t>"breakeven_trigger_rr"</t>
    </r>
    <r>
      <rPr>
        <sz val="12"/>
        <color rgb="FFCCCCCC"/>
        <rFont val="Menlo"/>
        <family val="2"/>
      </rPr>
      <t xml:space="preserve">: </t>
    </r>
    <r>
      <rPr>
        <sz val="12"/>
        <color rgb="FFB5CEA8"/>
        <rFont val="Menlo"/>
        <family val="2"/>
      </rPr>
      <t>0.5</t>
    </r>
    <r>
      <rPr>
        <sz val="12"/>
        <color rgb="FFCCCCCC"/>
        <rFont val="Menlo"/>
        <family val="2"/>
      </rPr>
      <t>,</t>
    </r>
  </si>
  <si>
    <r>
      <t>"trail_mode"</t>
    </r>
    <r>
      <rPr>
        <sz val="12"/>
        <color rgb="FFCCCCCC"/>
        <rFont val="Menlo"/>
        <family val="2"/>
      </rPr>
      <t xml:space="preserve">: </t>
    </r>
    <r>
      <rPr>
        <sz val="12"/>
        <color rgb="FFCE9178"/>
        <rFont val="Menlo"/>
        <family val="2"/>
      </rPr>
      <t>"_tsm_psar_begin"</t>
    </r>
    <r>
      <rPr>
        <sz val="12"/>
        <color rgb="FFCCCCCC"/>
        <rFont val="Menlo"/>
        <family val="2"/>
      </rPr>
      <t>,</t>
    </r>
  </si>
  <si>
    <r>
      <t>"let_profit_run_enabled"</t>
    </r>
    <r>
      <rPr>
        <sz val="12"/>
        <color rgb="FFCCCCCC"/>
        <rFont val="Menlo"/>
        <family val="2"/>
      </rPr>
      <t xml:space="preserve">: </t>
    </r>
    <r>
      <rPr>
        <sz val="12"/>
        <color rgb="FF569CD6"/>
        <rFont val="Menlo"/>
        <family val="2"/>
      </rPr>
      <t>false</t>
    </r>
    <r>
      <rPr>
        <sz val="12"/>
        <color rgb="FFCCCCCC"/>
        <rFont val="Menlo"/>
        <family val="2"/>
      </rPr>
      <t>,</t>
    </r>
  </si>
  <si>
    <r>
      <t>"let_profit_run_mode"</t>
    </r>
    <r>
      <rPr>
        <sz val="12"/>
        <color rgb="FFCCCCCC"/>
        <rFont val="Menlo"/>
        <family val="2"/>
      </rPr>
      <t xml:space="preserve">: </t>
    </r>
    <r>
      <rPr>
        <sz val="12"/>
        <color rgb="FFCE9178"/>
        <rFont val="Menlo"/>
        <family val="2"/>
      </rPr>
      <t>""</t>
    </r>
    <r>
      <rPr>
        <sz val="12"/>
        <color rgb="FFCCCCCC"/>
        <rFont val="Menlo"/>
        <family val="2"/>
      </rPr>
      <t>,</t>
    </r>
  </si>
  <si>
    <r>
      <t>"let_profit_run_rr_activation"</t>
    </r>
    <r>
      <rPr>
        <sz val="12"/>
        <color rgb="FFCCCCCC"/>
        <rFont val="Menlo"/>
        <family val="2"/>
      </rPr>
      <t xml:space="preserve">: </t>
    </r>
    <r>
      <rPr>
        <sz val="12"/>
        <color rgb="FFB5CEA8"/>
        <rFont val="Menlo"/>
        <family val="2"/>
      </rPr>
      <t>0.0</t>
    </r>
    <r>
      <rPr>
        <sz val="12"/>
        <color rgb="FFCCCCCC"/>
        <rFont val="Menlo"/>
        <family val="2"/>
      </rPr>
      <t>,</t>
    </r>
  </si>
  <si>
    <r>
      <t>"let_profit_run_rr_lock"</t>
    </r>
    <r>
      <rPr>
        <sz val="12"/>
        <color rgb="FFCCCCCC"/>
        <rFont val="Menlo"/>
        <family val="2"/>
      </rPr>
      <t xml:space="preserve">: </t>
    </r>
    <r>
      <rPr>
        <sz val="12"/>
        <color rgb="FFB5CEA8"/>
        <rFont val="Menlo"/>
        <family val="2"/>
      </rPr>
      <t>0.0</t>
    </r>
  </si>
  <si>
    <r>
      <t>"_conservative"</t>
    </r>
    <r>
      <rPr>
        <sz val="12"/>
        <color rgb="FFCCCCCC"/>
        <rFont val="Menlo"/>
        <family val="2"/>
      </rPr>
      <t>: {</t>
    </r>
  </si>
  <si>
    <r>
      <t>"description"</t>
    </r>
    <r>
      <rPr>
        <sz val="12"/>
        <color rgb="FFCCCCCC"/>
        <rFont val="Menlo"/>
        <family val="2"/>
      </rPr>
      <t xml:space="preserve">: </t>
    </r>
    <r>
      <rPr>
        <sz val="12"/>
        <color rgb="FFCE9178"/>
        <rFont val="Menlo"/>
        <family val="2"/>
      </rPr>
      <t>"RR 3.0 - No-trail profile with high RR, ideal for swing setups."</t>
    </r>
    <r>
      <rPr>
        <sz val="12"/>
        <color rgb="FFCCCCCC"/>
        <rFont val="Menlo"/>
        <family val="2"/>
      </rPr>
      <t>,</t>
    </r>
  </si>
  <si>
    <r>
      <t>"tp_sl_rr"</t>
    </r>
    <r>
      <rPr>
        <sz val="12"/>
        <color rgb="FFCCCCCC"/>
        <rFont val="Menlo"/>
        <family val="2"/>
      </rPr>
      <t xml:space="preserve">: </t>
    </r>
    <r>
      <rPr>
        <sz val="12"/>
        <color rgb="FFB5CEA8"/>
        <rFont val="Menlo"/>
        <family val="2"/>
      </rPr>
      <t>3.0</t>
    </r>
    <r>
      <rPr>
        <sz val="12"/>
        <color rgb="FFCCCCCC"/>
        <rFont val="Menlo"/>
        <family val="2"/>
      </rPr>
      <t>,</t>
    </r>
  </si>
  <si>
    <r>
      <t>"breakeven_trigger_rr"</t>
    </r>
    <r>
      <rPr>
        <sz val="12"/>
        <color rgb="FFCCCCCC"/>
        <rFont val="Menlo"/>
        <family val="2"/>
      </rPr>
      <t xml:space="preserve">: </t>
    </r>
    <r>
      <rPr>
        <sz val="12"/>
        <color rgb="FFB5CEA8"/>
        <rFont val="Menlo"/>
        <family val="2"/>
      </rPr>
      <t>0.8</t>
    </r>
    <r>
      <rPr>
        <sz val="12"/>
        <color rgb="FFCCCCCC"/>
        <rFont val="Menlo"/>
        <family val="2"/>
      </rPr>
      <t>,</t>
    </r>
  </si>
  <si>
    <r>
      <t>"trail_mode_enabled"</t>
    </r>
    <r>
      <rPr>
        <sz val="12"/>
        <color rgb="FFCCCCCC"/>
        <rFont val="Menlo"/>
        <family val="2"/>
      </rPr>
      <t xml:space="preserve">: </t>
    </r>
    <r>
      <rPr>
        <sz val="12"/>
        <color rgb="FF569CD6"/>
        <rFont val="Menlo"/>
        <family val="2"/>
      </rPr>
      <t>false</t>
    </r>
    <r>
      <rPr>
        <sz val="12"/>
        <color rgb="FFCCCCCC"/>
        <rFont val="Menlo"/>
        <family val="2"/>
      </rPr>
      <t>,</t>
    </r>
  </si>
  <si>
    <r>
      <t>"trail_mode"</t>
    </r>
    <r>
      <rPr>
        <sz val="12"/>
        <color rgb="FFCCCCCC"/>
        <rFont val="Menlo"/>
        <family val="2"/>
      </rPr>
      <t xml:space="preserve">: </t>
    </r>
    <r>
      <rPr>
        <sz val="12"/>
        <color rgb="FFCE9178"/>
        <rFont val="Menlo"/>
        <family val="2"/>
      </rPr>
      <t>""</t>
    </r>
    <r>
      <rPr>
        <sz val="12"/>
        <color rgb="FFCCCCCC"/>
        <rFont val="Menlo"/>
        <family val="2"/>
      </rPr>
      <t>,</t>
    </r>
  </si>
  <si>
    <r>
      <t>"_news_safe"</t>
    </r>
    <r>
      <rPr>
        <sz val="12"/>
        <color rgb="FFCCCCCC"/>
        <rFont val="Menlo"/>
        <family val="2"/>
      </rPr>
      <t>: {</t>
    </r>
  </si>
  <si>
    <r>
      <t>"description"</t>
    </r>
    <r>
      <rPr>
        <sz val="12"/>
        <color rgb="FFCCCCCC"/>
        <rFont val="Menlo"/>
        <family val="2"/>
      </rPr>
      <t xml:space="preserve">: </t>
    </r>
    <r>
      <rPr>
        <sz val="12"/>
        <color rgb="FFCE9178"/>
        <rFont val="Menlo"/>
        <family val="2"/>
      </rPr>
      <t>"RR 1.8 - News-aware profile with trailing after BE. EA-safe."</t>
    </r>
    <r>
      <rPr>
        <sz val="12"/>
        <color rgb="FFCCCCCC"/>
        <rFont val="Menlo"/>
        <family val="2"/>
      </rPr>
      <t>,</t>
    </r>
  </si>
  <si>
    <r>
      <t>"tp_sl_rr"</t>
    </r>
    <r>
      <rPr>
        <sz val="12"/>
        <color rgb="FFCCCCCC"/>
        <rFont val="Menlo"/>
        <family val="2"/>
      </rPr>
      <t xml:space="preserve">: </t>
    </r>
    <r>
      <rPr>
        <sz val="12"/>
        <color rgb="FFB5CEA8"/>
        <rFont val="Menlo"/>
        <family val="2"/>
      </rPr>
      <t>1.8</t>
    </r>
    <r>
      <rPr>
        <sz val="12"/>
        <color rgb="FFCCCCCC"/>
        <rFont val="Menlo"/>
        <family val="2"/>
      </rPr>
      <t>,</t>
    </r>
  </si>
  <si>
    <r>
      <t>"_news_spike"</t>
    </r>
    <r>
      <rPr>
        <sz val="12"/>
        <color rgb="FFCCCCCC"/>
        <rFont val="Menlo"/>
        <family val="2"/>
      </rPr>
      <t>: {</t>
    </r>
  </si>
  <si>
    <r>
      <t>"description"</t>
    </r>
    <r>
      <rPr>
        <sz val="12"/>
        <color rgb="FFCCCCCC"/>
        <rFont val="Menlo"/>
        <family val="2"/>
      </rPr>
      <t xml:space="preserve">: </t>
    </r>
    <r>
      <rPr>
        <sz val="12"/>
        <color rgb="FFCE9178"/>
        <rFont val="Menlo"/>
        <family val="2"/>
      </rPr>
      <t>"RR 1.2 - Rapid execution profile for trading around news spikes."</t>
    </r>
    <r>
      <rPr>
        <sz val="12"/>
        <color rgb="FFCCCCCC"/>
        <rFont val="Menlo"/>
        <family val="2"/>
      </rPr>
      <t>,</t>
    </r>
  </si>
  <si>
    <r>
      <t>"tp_sl_rr"</t>
    </r>
    <r>
      <rPr>
        <sz val="12"/>
        <color rgb="FFCCCCCC"/>
        <rFont val="Menlo"/>
        <family val="2"/>
      </rPr>
      <t xml:space="preserve">: </t>
    </r>
    <r>
      <rPr>
        <sz val="12"/>
        <color rgb="FFB5CEA8"/>
        <rFont val="Menlo"/>
        <family val="2"/>
      </rPr>
      <t>1.2</t>
    </r>
    <r>
      <rPr>
        <sz val="12"/>
        <color rgb="FFCCCCCC"/>
        <rFont val="Menlo"/>
        <family val="2"/>
      </rPr>
      <t>,</t>
    </r>
  </si>
  <si>
    <r>
      <t>"sl_adaptive_bias"</t>
    </r>
    <r>
      <rPr>
        <sz val="12"/>
        <color rgb="FFCCCCCC"/>
        <rFont val="Menlo"/>
        <family val="2"/>
      </rPr>
      <t xml:space="preserve">: </t>
    </r>
    <r>
      <rPr>
        <sz val="12"/>
        <color rgb="FFB5CEA8"/>
        <rFont val="Menlo"/>
        <family val="2"/>
      </rPr>
      <t>1.0</t>
    </r>
    <r>
      <rPr>
        <sz val="12"/>
        <color rgb="FFCCCCCC"/>
        <rFont val="Menlo"/>
        <family val="2"/>
      </rPr>
      <t>,</t>
    </r>
  </si>
  <si>
    <r>
      <t>"sl_adaptive_trigger"</t>
    </r>
    <r>
      <rPr>
        <sz val="12"/>
        <color rgb="FFCCCCCC"/>
        <rFont val="Menlo"/>
        <family val="2"/>
      </rPr>
      <t xml:space="preserve">: </t>
    </r>
    <r>
      <rPr>
        <sz val="12"/>
        <color rgb="FFCE9178"/>
        <rFont val="Menlo"/>
        <family val="2"/>
      </rPr>
      <t>"none"</t>
    </r>
    <r>
      <rPr>
        <sz val="12"/>
        <color rgb="FFCCCCCC"/>
        <rFont val="Menlo"/>
        <family val="2"/>
      </rPr>
      <t>,</t>
    </r>
  </si>
  <si>
    <r>
      <t>"breakeven_enabled"</t>
    </r>
    <r>
      <rPr>
        <sz val="12"/>
        <color rgb="FFCCCCCC"/>
        <rFont val="Menlo"/>
        <family val="2"/>
      </rPr>
      <t xml:space="preserve">: </t>
    </r>
    <r>
      <rPr>
        <sz val="12"/>
        <color rgb="FF569CD6"/>
        <rFont val="Menlo"/>
        <family val="2"/>
      </rPr>
      <t>false</t>
    </r>
    <r>
      <rPr>
        <sz val="12"/>
        <color rgb="FFCCCCCC"/>
        <rFont val="Menlo"/>
        <family val="2"/>
      </rPr>
      <t>,</t>
    </r>
  </si>
  <si>
    <r>
      <t>"breakeven_trigger_rr"</t>
    </r>
    <r>
      <rPr>
        <sz val="12"/>
        <color rgb="FFCCCCCC"/>
        <rFont val="Menlo"/>
        <family val="2"/>
      </rPr>
      <t xml:space="preserve">: </t>
    </r>
    <r>
      <rPr>
        <sz val="12"/>
        <color rgb="FFB5CEA8"/>
        <rFont val="Menlo"/>
        <family val="2"/>
      </rPr>
      <t>0.0</t>
    </r>
    <r>
      <rPr>
        <sz val="12"/>
        <color rgb="FFCCCCCC"/>
        <rFont val="Menlo"/>
        <family val="2"/>
      </rPr>
      <t>,</t>
    </r>
  </si>
  <si>
    <r>
      <t>"_atr_trailing"</t>
    </r>
    <r>
      <rPr>
        <sz val="12"/>
        <color rgb="FFCCCCCC"/>
        <rFont val="Menlo"/>
        <family val="2"/>
      </rPr>
      <t>: {</t>
    </r>
  </si>
  <si>
    <r>
      <t>"description"</t>
    </r>
    <r>
      <rPr>
        <sz val="12"/>
        <color rgb="FFCCCCCC"/>
        <rFont val="Menlo"/>
        <family val="2"/>
      </rPr>
      <t xml:space="preserve">: </t>
    </r>
    <r>
      <rPr>
        <sz val="12"/>
        <color rgb="FFCE9178"/>
        <rFont val="Menlo"/>
        <family val="2"/>
      </rPr>
      <t>"RR 2.0 - Volatility-adaptive trailing using ATR multiplier."</t>
    </r>
    <r>
      <rPr>
        <sz val="12"/>
        <color rgb="FFCCCCCC"/>
        <rFont val="Menlo"/>
        <family val="2"/>
      </rPr>
      <t>,</t>
    </r>
  </si>
  <si>
    <r>
      <t>"breakeven_trigger_rr"</t>
    </r>
    <r>
      <rPr>
        <sz val="12"/>
        <color rgb="FFCCCCCC"/>
        <rFont val="Menlo"/>
        <family val="2"/>
      </rPr>
      <t xml:space="preserve">: </t>
    </r>
    <r>
      <rPr>
        <sz val="12"/>
        <color rgb="FFB5CEA8"/>
        <rFont val="Menlo"/>
        <family val="2"/>
      </rPr>
      <t>0.6</t>
    </r>
    <r>
      <rPr>
        <sz val="12"/>
        <color rgb="FFCCCCCC"/>
        <rFont val="Menlo"/>
        <family val="2"/>
      </rPr>
      <t>,</t>
    </r>
  </si>
  <si>
    <r>
      <t>"trail_mode"</t>
    </r>
    <r>
      <rPr>
        <sz val="12"/>
        <color rgb="FFCCCCCC"/>
        <rFont val="Menlo"/>
        <family val="2"/>
      </rPr>
      <t xml:space="preserve">: </t>
    </r>
    <r>
      <rPr>
        <sz val="12"/>
        <color rgb="FFCE9178"/>
        <rFont val="Menlo"/>
        <family val="2"/>
      </rPr>
      <t>"_tsm_atr_trail"</t>
    </r>
    <r>
      <rPr>
        <sz val="12"/>
        <color rgb="FFCCCCCC"/>
        <rFont val="Menlo"/>
        <family val="2"/>
      </rPr>
      <t>,</t>
    </r>
  </si>
  <si>
    <r>
      <t>"_scalper"</t>
    </r>
    <r>
      <rPr>
        <sz val="12"/>
        <color rgb="FFCCCCCC"/>
        <rFont val="Menlo"/>
        <family val="2"/>
      </rPr>
      <t>: {</t>
    </r>
  </si>
  <si>
    <r>
      <t>"description"</t>
    </r>
    <r>
      <rPr>
        <sz val="12"/>
        <color rgb="FFCCCCCC"/>
        <rFont val="Menlo"/>
        <family val="2"/>
      </rPr>
      <t xml:space="preserve">: </t>
    </r>
    <r>
      <rPr>
        <sz val="12"/>
        <color rgb="FFCE9178"/>
        <rFont val="Menlo"/>
        <family val="2"/>
      </rPr>
      <t>"rr 1.0 - Ultra-fast execution profile for M1-M5 scalping setups."</t>
    </r>
    <r>
      <rPr>
        <sz val="12"/>
        <color rgb="FFCCCCCC"/>
        <rFont val="Menlo"/>
        <family val="2"/>
      </rPr>
      <t>,</t>
    </r>
  </si>
  <si>
    <r>
      <t>"tp_sl_rr"</t>
    </r>
    <r>
      <rPr>
        <sz val="12"/>
        <color rgb="FFCCCCCC"/>
        <rFont val="Menlo"/>
        <family val="2"/>
      </rPr>
      <t xml:space="preserve">: </t>
    </r>
    <r>
      <rPr>
        <sz val="12"/>
        <color rgb="FFB5CEA8"/>
        <rFont val="Menlo"/>
        <family val="2"/>
      </rPr>
      <t>1.0</t>
    </r>
    <r>
      <rPr>
        <sz val="12"/>
        <color rgb="FFCCCCCC"/>
        <rFont val="Menlo"/>
        <family val="2"/>
      </rPr>
      <t>,</t>
    </r>
  </si>
  <si>
    <r>
      <t>"sl_adaptive_bias"</t>
    </r>
    <r>
      <rPr>
        <sz val="12"/>
        <color rgb="FFCCCCCC"/>
        <rFont val="Menlo"/>
        <family val="2"/>
      </rPr>
      <t xml:space="preserve">: </t>
    </r>
    <r>
      <rPr>
        <sz val="12"/>
        <color rgb="FFB5CEA8"/>
        <rFont val="Menlo"/>
        <family val="2"/>
      </rPr>
      <t>1.2</t>
    </r>
    <r>
      <rPr>
        <sz val="12"/>
        <color rgb="FFCCCCCC"/>
        <rFont val="Menlo"/>
        <family val="2"/>
      </rPr>
      <t>,</t>
    </r>
  </si>
  <si>
    <r>
      <t>"breakeven_trigger_rr"</t>
    </r>
    <r>
      <rPr>
        <sz val="12"/>
        <color rgb="FFCCCCCC"/>
        <rFont val="Menlo"/>
        <family val="2"/>
      </rPr>
      <t xml:space="preserve">: </t>
    </r>
    <r>
      <rPr>
        <sz val="12"/>
        <color rgb="FFB5CEA8"/>
        <rFont val="Menlo"/>
        <family val="2"/>
      </rPr>
      <t>0.3</t>
    </r>
    <r>
      <rPr>
        <sz val="12"/>
        <color rgb="FFCCCCCC"/>
        <rFont val="Menlo"/>
        <family val="2"/>
      </rPr>
      <t>,</t>
    </r>
  </si>
  <si>
    <r>
      <t>"_trend"</t>
    </r>
    <r>
      <rPr>
        <sz val="12"/>
        <color rgb="FFCCCCCC"/>
        <rFont val="Menlo"/>
        <family val="2"/>
      </rPr>
      <t>: {</t>
    </r>
  </si>
  <si>
    <r>
      <t>"description"</t>
    </r>
    <r>
      <rPr>
        <sz val="12"/>
        <color rgb="FFCCCCCC"/>
        <rFont val="Menlo"/>
        <family val="2"/>
      </rPr>
      <t xml:space="preserve">: </t>
    </r>
    <r>
      <rPr>
        <sz val="12"/>
        <color rgb="FFCE9178"/>
        <rFont val="Menlo"/>
        <family val="2"/>
      </rPr>
      <t>"RR 2.5 - Trend-following profile optimized for H1 and higher timeframes."</t>
    </r>
    <r>
      <rPr>
        <sz val="12"/>
        <color rgb="FFCCCCCC"/>
        <rFont val="Menlo"/>
        <family val="2"/>
      </rPr>
      <t>,</t>
    </r>
  </si>
  <si>
    <r>
      <t>"tp_sl_rr"</t>
    </r>
    <r>
      <rPr>
        <sz val="12"/>
        <color rgb="FFCCCCCC"/>
        <rFont val="Menlo"/>
        <family val="2"/>
      </rPr>
      <t xml:space="preserve">: </t>
    </r>
    <r>
      <rPr>
        <sz val="12"/>
        <color rgb="FFB5CEA8"/>
        <rFont val="Menlo"/>
        <family val="2"/>
      </rPr>
      <t>2.5</t>
    </r>
    <r>
      <rPr>
        <sz val="12"/>
        <color rgb="FFCCCCCC"/>
        <rFont val="Menlo"/>
        <family val="2"/>
      </rPr>
      <t>,</t>
    </r>
  </si>
  <si>
    <r>
      <t>"sl_adaptive_enabled"</t>
    </r>
    <r>
      <rPr>
        <sz val="12"/>
        <color rgb="FFCCCCCC"/>
        <rFont val="Menlo"/>
        <family val="2"/>
      </rPr>
      <t xml:space="preserve">: </t>
    </r>
    <r>
      <rPr>
        <sz val="12"/>
        <color rgb="FF569CD6"/>
        <rFont val="Menlo"/>
        <family val="2"/>
      </rPr>
      <t>true</t>
    </r>
    <r>
      <rPr>
        <sz val="12"/>
        <color rgb="FFCCCCCC"/>
        <rFont val="Menlo"/>
        <family val="2"/>
      </rPr>
      <t>,</t>
    </r>
  </si>
  <si>
    <r>
      <t>"_swing"</t>
    </r>
    <r>
      <rPr>
        <sz val="12"/>
        <color rgb="FFCCCCCC"/>
        <rFont val="Menlo"/>
        <family val="2"/>
      </rPr>
      <t>: {</t>
    </r>
  </si>
  <si>
    <r>
      <t>"description"</t>
    </r>
    <r>
      <rPr>
        <sz val="12"/>
        <color rgb="FFCCCCCC"/>
        <rFont val="Menlo"/>
        <family val="2"/>
      </rPr>
      <t xml:space="preserve">: </t>
    </r>
    <r>
      <rPr>
        <sz val="12"/>
        <color rgb="FFCE9178"/>
        <rFont val="Menlo"/>
        <family val="2"/>
      </rPr>
      <t>"RR 3.0 - Longer-duration swing setups with wide TP targets."</t>
    </r>
    <r>
      <rPr>
        <sz val="12"/>
        <color rgb="FFCCCCCC"/>
        <rFont val="Menlo"/>
        <family val="2"/>
      </rPr>
      <t>,</t>
    </r>
  </si>
  <si>
    <r>
      <t>"breakeven_trigger_rr"</t>
    </r>
    <r>
      <rPr>
        <sz val="12"/>
        <color rgb="FFCCCCCC"/>
        <rFont val="Menlo"/>
        <family val="2"/>
      </rPr>
      <t xml:space="preserve">: </t>
    </r>
    <r>
      <rPr>
        <sz val="12"/>
        <color rgb="FFB5CEA8"/>
        <rFont val="Menlo"/>
        <family val="2"/>
      </rPr>
      <t>0.9</t>
    </r>
    <r>
      <rPr>
        <sz val="12"/>
        <color rgb="FFCCCCCC"/>
        <rFont val="Menlo"/>
        <family val="2"/>
      </rPr>
      <t>,</t>
    </r>
  </si>
  <si>
    <r>
      <t>"_ribbon"</t>
    </r>
    <r>
      <rPr>
        <sz val="12"/>
        <color rgb="FFCCCCCC"/>
        <rFont val="Menlo"/>
        <family val="2"/>
      </rPr>
      <t>: {</t>
    </r>
  </si>
  <si>
    <r>
      <t>"description"</t>
    </r>
    <r>
      <rPr>
        <sz val="12"/>
        <color rgb="FFCCCCCC"/>
        <rFont val="Menlo"/>
        <family val="2"/>
      </rPr>
      <t xml:space="preserve">: </t>
    </r>
    <r>
      <rPr>
        <sz val="12"/>
        <color rgb="FFCE9178"/>
        <rFont val="Menlo"/>
        <family val="2"/>
      </rPr>
      <t>"RR 1.2 - Scalping profile using fast EMA 5/13 cross (ribbon), low RR, fast BE, immediate trailing."</t>
    </r>
    <r>
      <rPr>
        <sz val="12"/>
        <color rgb="FFCCCCCC"/>
        <rFont val="Menlo"/>
        <family val="2"/>
      </rPr>
      <t>,</t>
    </r>
  </si>
  <si>
    <r>
      <t>"let_profit_run_mode"</t>
    </r>
    <r>
      <rPr>
        <sz val="12"/>
        <color rgb="FFCCCCCC"/>
        <rFont val="Menlo"/>
        <family val="2"/>
      </rPr>
      <t xml:space="preserve">: </t>
    </r>
    <r>
      <rPr>
        <sz val="12"/>
        <color rgb="FFCE9178"/>
        <rFont val="Menlo"/>
        <family val="2"/>
      </rPr>
      <t>"none"</t>
    </r>
    <r>
      <rPr>
        <sz val="12"/>
        <color rgb="FFCCCCCC"/>
        <rFont val="Menlo"/>
        <family val="2"/>
      </rPr>
      <t>,</t>
    </r>
  </si>
  <si>
    <r>
      <t>"_ghost"</t>
    </r>
    <r>
      <rPr>
        <sz val="12"/>
        <color rgb="FFCCCCCC"/>
        <rFont val="Menlo"/>
        <family val="2"/>
      </rPr>
      <t>: {</t>
    </r>
  </si>
  <si>
    <r>
      <t>"description"</t>
    </r>
    <r>
      <rPr>
        <sz val="12"/>
        <color rgb="FFCCCCCC"/>
        <rFont val="Menlo"/>
        <family val="2"/>
      </rPr>
      <t xml:space="preserve">: </t>
    </r>
    <r>
      <rPr>
        <sz val="12"/>
        <color rgb="FFCE9178"/>
        <rFont val="Menlo"/>
        <family val="2"/>
      </rPr>
      <t>"RR 2.0 - Balanced mid-trend profile for EMA 13/34 cross (ghost), RR 2.0, BE at 0.7, trailing after BE."</t>
    </r>
    <r>
      <rPr>
        <sz val="12"/>
        <color rgb="FFCCCCCC"/>
        <rFont val="Menlo"/>
        <family val="2"/>
      </rPr>
      <t>,</t>
    </r>
  </si>
  <si>
    <r>
      <t>"let_profit_run_mode"</t>
    </r>
    <r>
      <rPr>
        <sz val="12"/>
        <color rgb="FFCCCCCC"/>
        <rFont val="Menlo"/>
        <family val="2"/>
      </rPr>
      <t xml:space="preserve">: </t>
    </r>
    <r>
      <rPr>
        <sz val="12"/>
        <color rgb="FFCE9178"/>
        <rFont val="Menlo"/>
        <family val="2"/>
      </rPr>
      <t>"_tsm_psar_continue"</t>
    </r>
    <r>
      <rPr>
        <sz val="12"/>
        <color rgb="FFCCCCCC"/>
        <rFont val="Menlo"/>
        <family val="2"/>
      </rPr>
      <t>,</t>
    </r>
  </si>
  <si>
    <r>
      <t>"_shark"</t>
    </r>
    <r>
      <rPr>
        <sz val="12"/>
        <color rgb="FFCCCCCC"/>
        <rFont val="Menlo"/>
        <family val="2"/>
      </rPr>
      <t>: {</t>
    </r>
  </si>
  <si>
    <r>
      <t>"description"</t>
    </r>
    <r>
      <rPr>
        <sz val="12"/>
        <color rgb="FFCCCCCC"/>
        <rFont val="Menlo"/>
        <family val="2"/>
      </rPr>
      <t xml:space="preserve">: </t>
    </r>
    <r>
      <rPr>
        <sz val="12"/>
        <color rgb="FFCE9178"/>
        <rFont val="Menlo"/>
        <family val="2"/>
      </rPr>
      <t>"RR 3.0 - Swing profile for EMA 34/89 major reversals, wide SL, high RR, trailing after large profit."</t>
    </r>
    <r>
      <rPr>
        <sz val="12"/>
        <color rgb="FFCCCCCC"/>
        <rFont val="Menlo"/>
        <family val="2"/>
      </rPr>
      <t>,</t>
    </r>
  </si>
  <si>
    <r>
      <t>"trail_mode"</t>
    </r>
    <r>
      <rPr>
        <sz val="12"/>
        <color rgb="FFCCCCCC"/>
        <rFont val="Menlo"/>
        <family val="2"/>
      </rPr>
      <t xml:space="preserve">: </t>
    </r>
    <r>
      <rPr>
        <sz val="12"/>
        <color rgb="FFCE9178"/>
        <rFont val="Menlo"/>
        <family val="2"/>
      </rPr>
      <t>"_tsm_wide"</t>
    </r>
    <r>
      <rPr>
        <sz val="12"/>
        <color rgb="FFCCCCCC"/>
        <rFont val="Menlo"/>
        <family val="2"/>
      </rPr>
      <t>,</t>
    </r>
  </si>
  <si>
    <r>
      <t>"let_profit_run_rr_activation"</t>
    </r>
    <r>
      <rPr>
        <sz val="12"/>
        <color rgb="FFCCCCCC"/>
        <rFont val="Menlo"/>
        <family val="2"/>
      </rPr>
      <t xml:space="preserve">: </t>
    </r>
    <r>
      <rPr>
        <sz val="12"/>
        <color rgb="FFB5CEA8"/>
        <rFont val="Menlo"/>
        <family val="2"/>
      </rPr>
      <t>1.5</t>
    </r>
    <r>
      <rPr>
        <sz val="12"/>
        <color rgb="FFCCCCCC"/>
        <rFont val="Menlo"/>
        <family val="2"/>
      </rPr>
      <t>,</t>
    </r>
  </si>
  <si>
    <r>
      <t>"let_profit_run_rr_lock"</t>
    </r>
    <r>
      <rPr>
        <sz val="12"/>
        <color rgb="FFCCCCCC"/>
        <rFont val="Menlo"/>
        <family val="2"/>
      </rPr>
      <t xml:space="preserve">: </t>
    </r>
    <r>
      <rPr>
        <sz val="12"/>
        <color rgb="FFB5CEA8"/>
        <rFont val="Menlo"/>
        <family val="2"/>
      </rPr>
      <t>1.0</t>
    </r>
  </si>
  <si>
    <r>
      <t>"_trade_old"</t>
    </r>
    <r>
      <rPr>
        <sz val="12"/>
        <color rgb="FFCCCCCC"/>
        <rFont val="Menlo"/>
        <family val="2"/>
      </rPr>
      <t>: {</t>
    </r>
  </si>
  <si>
    <r>
      <t>"tp_sl_ratio"</t>
    </r>
    <r>
      <rPr>
        <sz val="12"/>
        <color rgb="FFCCCCCC"/>
        <rFont val="Menlo"/>
        <family val="2"/>
      </rPr>
      <t xml:space="preserve">: </t>
    </r>
    <r>
      <rPr>
        <sz val="12"/>
        <color rgb="FFB5CEA8"/>
        <rFont val="Menlo"/>
        <family val="2"/>
      </rPr>
      <t>3.5</t>
    </r>
    <r>
      <rPr>
        <sz val="12"/>
        <color rgb="FFCCCCCC"/>
        <rFont val="Menlo"/>
        <family val="2"/>
      </rPr>
      <t>,</t>
    </r>
  </si>
  <si>
    <r>
      <t>"open_tp"</t>
    </r>
    <r>
      <rPr>
        <sz val="12"/>
        <color rgb="FFCCCCCC"/>
        <rFont val="Menlo"/>
        <family val="2"/>
      </rPr>
      <t xml:space="preserve">: </t>
    </r>
    <r>
      <rPr>
        <sz val="12"/>
        <color rgb="FF569CD6"/>
        <rFont val="Menlo"/>
        <family val="2"/>
      </rPr>
      <t>false</t>
    </r>
    <r>
      <rPr>
        <sz val="12"/>
        <color rgb="FFCCCCCC"/>
        <rFont val="Menlo"/>
        <family val="2"/>
      </rPr>
      <t>,</t>
    </r>
  </si>
  <si>
    <r>
      <t>"breakeven"</t>
    </r>
    <r>
      <rPr>
        <sz val="12"/>
        <color rgb="FFCCCCCC"/>
        <rFont val="Menlo"/>
        <family val="2"/>
      </rPr>
      <t xml:space="preserve">: </t>
    </r>
    <r>
      <rPr>
        <sz val="12"/>
        <color rgb="FFB5CEA8"/>
        <rFont val="Menlo"/>
        <family val="2"/>
      </rPr>
      <t>0.7</t>
    </r>
    <r>
      <rPr>
        <sz val="12"/>
        <color rgb="FFCCCCCC"/>
        <rFont val="Menlo"/>
        <family val="2"/>
      </rPr>
      <t>,</t>
    </r>
  </si>
  <si>
    <r>
      <t>"trail_stop_mode"</t>
    </r>
    <r>
      <rPr>
        <sz val="12"/>
        <color rgb="FFCCCCCC"/>
        <rFont val="Menlo"/>
        <family val="2"/>
      </rPr>
      <t xml:space="preserve">: </t>
    </r>
    <r>
      <rPr>
        <sz val="12"/>
        <color rgb="FFCE9178"/>
        <rFont val="Menlo"/>
        <family val="2"/>
      </rPr>
      <t>"_tsm_psar_70"</t>
    </r>
    <r>
      <rPr>
        <sz val="12"/>
        <color rgb="FFCCCCCC"/>
        <rFont val="Menlo"/>
        <family val="2"/>
      </rPr>
      <t>,</t>
    </r>
  </si>
  <si>
    <r>
      <t>"news"</t>
    </r>
    <r>
      <rPr>
        <sz val="12"/>
        <color rgb="FFCCCCCC"/>
        <rFont val="Menlo"/>
        <family val="2"/>
      </rPr>
      <t xml:space="preserve">: </t>
    </r>
    <r>
      <rPr>
        <sz val="12"/>
        <color rgb="FF569CD6"/>
        <rFont val="Menlo"/>
        <family val="2"/>
      </rPr>
      <t>true</t>
    </r>
    <r>
      <rPr>
        <sz val="12"/>
        <color rgb="FFCCCCCC"/>
        <rFont val="Menlo"/>
        <family val="2"/>
      </rPr>
      <t>,</t>
    </r>
  </si>
  <si>
    <r>
      <t>"calendar"</t>
    </r>
    <r>
      <rPr>
        <sz val="12"/>
        <color rgb="FFCCCCCC"/>
        <rFont val="Menlo"/>
        <family val="2"/>
      </rPr>
      <t xml:space="preserve">: </t>
    </r>
    <r>
      <rPr>
        <sz val="12"/>
        <color rgb="FF569CD6"/>
        <rFont val="Menlo"/>
        <family val="2"/>
      </rPr>
      <t>true</t>
    </r>
    <r>
      <rPr>
        <sz val="12"/>
        <color rgb="FFCCCCCC"/>
        <rFont val="Menlo"/>
        <family val="2"/>
      </rPr>
      <t>,</t>
    </r>
  </si>
  <si>
    <r>
      <t>"description"</t>
    </r>
    <r>
      <rPr>
        <sz val="12"/>
        <color rgb="FFCCCCCC"/>
        <rFont val="Menlo"/>
        <family val="2"/>
      </rPr>
      <t xml:space="preserve">: </t>
    </r>
    <r>
      <rPr>
        <sz val="12"/>
        <color rgb="FFCE9178"/>
        <rFont val="Menlo"/>
        <family val="2"/>
      </rPr>
      <t>"Default fallback config for balanced setups."</t>
    </r>
    <r>
      <rPr>
        <sz val="12"/>
        <color rgb="FFCCCCCC"/>
        <rFont val="Menlo"/>
        <family val="2"/>
      </rPr>
      <t>,</t>
    </r>
  </si>
  <si>
    <r>
      <t>"adaptive_sl_bias"</t>
    </r>
    <r>
      <rPr>
        <sz val="12"/>
        <color rgb="FFCCCCCC"/>
        <rFont val="Menlo"/>
        <family val="2"/>
      </rPr>
      <t>: {</t>
    </r>
  </si>
  <si>
    <r>
      <t>"bias_factor"</t>
    </r>
    <r>
      <rPr>
        <sz val="12"/>
        <color rgb="FFCCCCCC"/>
        <rFont val="Menlo"/>
        <family val="2"/>
      </rPr>
      <t xml:space="preserve">: </t>
    </r>
    <r>
      <rPr>
        <sz val="12"/>
        <color rgb="FFB5CEA8"/>
        <rFont val="Menlo"/>
        <family val="2"/>
      </rPr>
      <t>1.3</t>
    </r>
    <r>
      <rPr>
        <sz val="12"/>
        <color rgb="FFCCCCCC"/>
        <rFont val="Menlo"/>
        <family val="2"/>
      </rPr>
      <t>,</t>
    </r>
  </si>
  <si>
    <r>
      <t>"trigger_on_macd_flatness"</t>
    </r>
    <r>
      <rPr>
        <sz val="12"/>
        <color rgb="FFCCCCCC"/>
        <rFont val="Menlo"/>
        <family val="2"/>
      </rPr>
      <t xml:space="preserve">: </t>
    </r>
    <r>
      <rPr>
        <sz val="12"/>
        <color rgb="FF569CD6"/>
        <rFont val="Menlo"/>
        <family val="2"/>
      </rPr>
      <t>true</t>
    </r>
  </si>
  <si>
    <r>
      <t>"let_profit_run"</t>
    </r>
    <r>
      <rPr>
        <sz val="12"/>
        <color rgb="FFCCCCCC"/>
        <rFont val="Menlo"/>
        <family val="2"/>
      </rPr>
      <t>: {</t>
    </r>
  </si>
  <si>
    <r>
      <t>"activation_rr"</t>
    </r>
    <r>
      <rPr>
        <sz val="12"/>
        <color rgb="FFCCCCCC"/>
        <rFont val="Menlo"/>
        <family val="2"/>
      </rPr>
      <t xml:space="preserve">: </t>
    </r>
    <r>
      <rPr>
        <sz val="12"/>
        <color rgb="FFB5CEA8"/>
        <rFont val="Menlo"/>
        <family val="2"/>
      </rPr>
      <t>1.0</t>
    </r>
    <r>
      <rPr>
        <sz val="12"/>
        <color rgb="FFCCCCCC"/>
        <rFont val="Menlo"/>
        <family val="2"/>
      </rPr>
      <t>,</t>
    </r>
  </si>
  <si>
    <r>
      <t>"trail_mode"</t>
    </r>
    <r>
      <rPr>
        <sz val="12"/>
        <color rgb="FFCCCCCC"/>
        <rFont val="Menlo"/>
        <family val="2"/>
      </rPr>
      <t xml:space="preserve">: </t>
    </r>
    <r>
      <rPr>
        <sz val="12"/>
        <color rgb="FFCE9178"/>
        <rFont val="Menlo"/>
        <family val="2"/>
      </rPr>
      <t>"psar_continue"</t>
    </r>
    <r>
      <rPr>
        <sz val="12"/>
        <color rgb="FFCCCCCC"/>
        <rFont val="Menlo"/>
        <family val="2"/>
      </rPr>
      <t>,</t>
    </r>
  </si>
  <si>
    <r>
      <t>"lock_min_rr"</t>
    </r>
    <r>
      <rPr>
        <sz val="12"/>
        <color rgb="FFCCCCCC"/>
        <rFont val="Menlo"/>
        <family val="2"/>
      </rPr>
      <t xml:space="preserve">: </t>
    </r>
    <r>
      <rPr>
        <sz val="12"/>
        <color rgb="FFB5CEA8"/>
        <rFont val="Menlo"/>
        <family val="2"/>
      </rPr>
      <t>0.5</t>
    </r>
  </si>
  <si>
    <r>
      <t>"tp_sl_ratio"</t>
    </r>
    <r>
      <rPr>
        <sz val="12"/>
        <color rgb="FFCCCCCC"/>
        <rFont val="Menlo"/>
        <family val="2"/>
      </rPr>
      <t xml:space="preserve">: </t>
    </r>
    <r>
      <rPr>
        <sz val="12"/>
        <color rgb="FFB5CEA8"/>
        <rFont val="Menlo"/>
        <family val="2"/>
      </rPr>
      <t>1.5</t>
    </r>
    <r>
      <rPr>
        <sz val="12"/>
        <color rgb="FFCCCCCC"/>
        <rFont val="Menlo"/>
        <family val="2"/>
      </rPr>
      <t>,</t>
    </r>
  </si>
  <si>
    <r>
      <t>"breakeven"</t>
    </r>
    <r>
      <rPr>
        <sz val="12"/>
        <color rgb="FFCCCCCC"/>
        <rFont val="Menlo"/>
        <family val="2"/>
      </rPr>
      <t xml:space="preserve">: </t>
    </r>
    <r>
      <rPr>
        <sz val="12"/>
        <color rgb="FFB5CEA8"/>
        <rFont val="Menlo"/>
        <family val="2"/>
      </rPr>
      <t>0.5</t>
    </r>
    <r>
      <rPr>
        <sz val="12"/>
        <color rgb="FFCCCCCC"/>
        <rFont val="Menlo"/>
        <family val="2"/>
      </rPr>
      <t>,</t>
    </r>
  </si>
  <si>
    <r>
      <t>"trail_stop_mode"</t>
    </r>
    <r>
      <rPr>
        <sz val="12"/>
        <color rgb="FFCCCCCC"/>
        <rFont val="Menlo"/>
        <family val="2"/>
      </rPr>
      <t xml:space="preserve">: </t>
    </r>
    <r>
      <rPr>
        <sz val="12"/>
        <color rgb="FFCE9178"/>
        <rFont val="Menlo"/>
        <family val="2"/>
      </rPr>
      <t>"_tsm_psar_begin"</t>
    </r>
    <r>
      <rPr>
        <sz val="12"/>
        <color rgb="FFCCCCCC"/>
        <rFont val="Menlo"/>
        <family val="2"/>
      </rPr>
      <t>,</t>
    </r>
  </si>
  <si>
    <r>
      <t>"news"</t>
    </r>
    <r>
      <rPr>
        <sz val="12"/>
        <color rgb="FFCCCCCC"/>
        <rFont val="Menlo"/>
        <family val="2"/>
      </rPr>
      <t xml:space="preserve">: </t>
    </r>
    <r>
      <rPr>
        <sz val="12"/>
        <color rgb="FF569CD6"/>
        <rFont val="Menlo"/>
        <family val="2"/>
      </rPr>
      <t>false</t>
    </r>
    <r>
      <rPr>
        <sz val="12"/>
        <color rgb="FFCCCCCC"/>
        <rFont val="Menlo"/>
        <family val="2"/>
      </rPr>
      <t>,</t>
    </r>
  </si>
  <si>
    <r>
      <t>"calendar"</t>
    </r>
    <r>
      <rPr>
        <sz val="12"/>
        <color rgb="FFCCCCCC"/>
        <rFont val="Menlo"/>
        <family val="2"/>
      </rPr>
      <t xml:space="preserve">: </t>
    </r>
    <r>
      <rPr>
        <sz val="12"/>
        <color rgb="FF569CD6"/>
        <rFont val="Menlo"/>
        <family val="2"/>
      </rPr>
      <t>false</t>
    </r>
    <r>
      <rPr>
        <sz val="12"/>
        <color rgb="FFCCCCCC"/>
        <rFont val="Menlo"/>
        <family val="2"/>
      </rPr>
      <t>,</t>
    </r>
  </si>
  <si>
    <r>
      <t>"description"</t>
    </r>
    <r>
      <rPr>
        <sz val="12"/>
        <color rgb="FFCCCCCC"/>
        <rFont val="Menlo"/>
        <family val="2"/>
      </rPr>
      <t xml:space="preserve">: </t>
    </r>
    <r>
      <rPr>
        <sz val="12"/>
        <color rgb="FFCE9178"/>
        <rFont val="Menlo"/>
        <family val="2"/>
      </rPr>
      <t>"Fast breakeven and PSAR trailing for breakout setups."</t>
    </r>
  </si>
  <si>
    <r>
      <t>"tp_sl_ratio"</t>
    </r>
    <r>
      <rPr>
        <sz val="12"/>
        <color rgb="FFCCCCCC"/>
        <rFont val="Menlo"/>
        <family val="2"/>
      </rPr>
      <t xml:space="preserve">: </t>
    </r>
    <r>
      <rPr>
        <sz val="12"/>
        <color rgb="FFB5CEA8"/>
        <rFont val="Menlo"/>
        <family val="2"/>
      </rPr>
      <t>3.0</t>
    </r>
    <r>
      <rPr>
        <sz val="12"/>
        <color rgb="FFCCCCCC"/>
        <rFont val="Menlo"/>
        <family val="2"/>
      </rPr>
      <t>,</t>
    </r>
  </si>
  <si>
    <r>
      <t>"open_tp"</t>
    </r>
    <r>
      <rPr>
        <sz val="12"/>
        <color rgb="FFCCCCCC"/>
        <rFont val="Menlo"/>
        <family val="2"/>
      </rPr>
      <t xml:space="preserve">: </t>
    </r>
    <r>
      <rPr>
        <sz val="12"/>
        <color rgb="FF569CD6"/>
        <rFont val="Menlo"/>
        <family val="2"/>
      </rPr>
      <t>true</t>
    </r>
    <r>
      <rPr>
        <sz val="12"/>
        <color rgb="FFCCCCCC"/>
        <rFont val="Menlo"/>
        <family val="2"/>
      </rPr>
      <t>,</t>
    </r>
  </si>
  <si>
    <r>
      <t>"breakeven"</t>
    </r>
    <r>
      <rPr>
        <sz val="12"/>
        <color rgb="FFCCCCCC"/>
        <rFont val="Menlo"/>
        <family val="2"/>
      </rPr>
      <t xml:space="preserve">: </t>
    </r>
    <r>
      <rPr>
        <sz val="12"/>
        <color rgb="FFB5CEA8"/>
        <rFont val="Menlo"/>
        <family val="2"/>
      </rPr>
      <t>0.8</t>
    </r>
    <r>
      <rPr>
        <sz val="12"/>
        <color rgb="FFCCCCCC"/>
        <rFont val="Menlo"/>
        <family val="2"/>
      </rPr>
      <t>,</t>
    </r>
  </si>
  <si>
    <r>
      <t>"trail_stop_mode"</t>
    </r>
    <r>
      <rPr>
        <sz val="12"/>
        <color rgb="FFCCCCCC"/>
        <rFont val="Menlo"/>
        <family val="2"/>
      </rPr>
      <t xml:space="preserve">: </t>
    </r>
    <r>
      <rPr>
        <sz val="12"/>
        <color rgb="FFCE9178"/>
        <rFont val="Menlo"/>
        <family val="2"/>
      </rPr>
      <t>"_tsm_wide"</t>
    </r>
    <r>
      <rPr>
        <sz val="12"/>
        <color rgb="FFCCCCCC"/>
        <rFont val="Menlo"/>
        <family val="2"/>
      </rPr>
      <t>,</t>
    </r>
  </si>
  <si>
    <r>
      <t>"description"</t>
    </r>
    <r>
      <rPr>
        <sz val="12"/>
        <color rgb="FFCCCCCC"/>
        <rFont val="Menlo"/>
        <family val="2"/>
      </rPr>
      <t xml:space="preserve">: </t>
    </r>
    <r>
      <rPr>
        <sz val="12"/>
        <color rgb="FFCE9178"/>
        <rFont val="Menlo"/>
        <family val="2"/>
      </rPr>
      <t>"No-trail profile with high RR, ideal for swing setups."</t>
    </r>
  </si>
  <si>
    <r>
      <t>"tp_sl_ratio"</t>
    </r>
    <r>
      <rPr>
        <sz val="12"/>
        <color rgb="FFCCCCCC"/>
        <rFont val="Menlo"/>
        <family val="2"/>
      </rPr>
      <t xml:space="preserve">: </t>
    </r>
    <r>
      <rPr>
        <sz val="12"/>
        <color rgb="FFB5CEA8"/>
        <rFont val="Menlo"/>
        <family val="2"/>
      </rPr>
      <t>1.8</t>
    </r>
    <r>
      <rPr>
        <sz val="12"/>
        <color rgb="FFCCCCCC"/>
        <rFont val="Menlo"/>
        <family val="2"/>
      </rPr>
      <t>,</t>
    </r>
  </si>
  <si>
    <r>
      <t>"description"</t>
    </r>
    <r>
      <rPr>
        <sz val="12"/>
        <color rgb="FFCCCCCC"/>
        <rFont val="Menlo"/>
        <family val="2"/>
      </rPr>
      <t xml:space="preserve">: </t>
    </r>
    <r>
      <rPr>
        <sz val="12"/>
        <color rgb="FFCE9178"/>
        <rFont val="Menlo"/>
        <family val="2"/>
      </rPr>
      <t>"News-aware profile with trailing after BE. EA-safe."</t>
    </r>
  </si>
  <si>
    <r>
      <t>"tp_sl_ratio"</t>
    </r>
    <r>
      <rPr>
        <sz val="12"/>
        <color rgb="FFCCCCCC"/>
        <rFont val="Menlo"/>
        <family val="2"/>
      </rPr>
      <t xml:space="preserve">: </t>
    </r>
    <r>
      <rPr>
        <sz val="12"/>
        <color rgb="FFB5CEA8"/>
        <rFont val="Menlo"/>
        <family val="2"/>
      </rPr>
      <t>2.0</t>
    </r>
    <r>
      <rPr>
        <sz val="12"/>
        <color rgb="FFCCCCCC"/>
        <rFont val="Menlo"/>
        <family val="2"/>
      </rPr>
      <t>,</t>
    </r>
  </si>
  <si>
    <r>
      <t>"breakeven"</t>
    </r>
    <r>
      <rPr>
        <sz val="12"/>
        <color rgb="FFCCCCCC"/>
        <rFont val="Menlo"/>
        <family val="2"/>
      </rPr>
      <t xml:space="preserve">: </t>
    </r>
    <r>
      <rPr>
        <sz val="12"/>
        <color rgb="FFB5CEA8"/>
        <rFont val="Menlo"/>
        <family val="2"/>
      </rPr>
      <t>0.6</t>
    </r>
    <r>
      <rPr>
        <sz val="12"/>
        <color rgb="FFCCCCCC"/>
        <rFont val="Menlo"/>
        <family val="2"/>
      </rPr>
      <t>,</t>
    </r>
  </si>
  <si>
    <r>
      <t>"trail_stop_mode"</t>
    </r>
    <r>
      <rPr>
        <sz val="12"/>
        <color rgb="FFCCCCCC"/>
        <rFont val="Menlo"/>
        <family val="2"/>
      </rPr>
      <t xml:space="preserve">: </t>
    </r>
    <r>
      <rPr>
        <sz val="12"/>
        <color rgb="FFCE9178"/>
        <rFont val="Menlo"/>
        <family val="2"/>
      </rPr>
      <t>"_tsm_atr_trail"</t>
    </r>
    <r>
      <rPr>
        <sz val="12"/>
        <color rgb="FFCCCCCC"/>
        <rFont val="Menlo"/>
        <family val="2"/>
      </rPr>
      <t>,</t>
    </r>
  </si>
  <si>
    <r>
      <t>"description"</t>
    </r>
    <r>
      <rPr>
        <sz val="12"/>
        <color rgb="FFCCCCCC"/>
        <rFont val="Menlo"/>
        <family val="2"/>
      </rPr>
      <t xml:space="preserve">: </t>
    </r>
    <r>
      <rPr>
        <sz val="12"/>
        <color rgb="FFCE9178"/>
        <rFont val="Menlo"/>
        <family val="2"/>
      </rPr>
      <t>"Volatility-adaptive trailing using ATR multiplier."</t>
    </r>
  </si>
  <si>
    <r>
      <t>"cm_settings"</t>
    </r>
    <r>
      <rPr>
        <sz val="12"/>
        <color rgb="FFCCCCCC"/>
        <rFont val="Menlo"/>
        <family val="2"/>
      </rPr>
      <t>: {</t>
    </r>
  </si>
  <si>
    <r>
      <t>"risk_percent"</t>
    </r>
    <r>
      <rPr>
        <sz val="12"/>
        <color rgb="FFCCCCCC"/>
        <rFont val="Menlo"/>
        <family val="2"/>
      </rPr>
      <t xml:space="preserve">: </t>
    </r>
    <r>
      <rPr>
        <sz val="12"/>
        <color rgb="FFB5CEA8"/>
        <rFont val="Menlo"/>
        <family val="2"/>
      </rPr>
      <t>2.0</t>
    </r>
    <r>
      <rPr>
        <sz val="12"/>
        <color rgb="FFCCCCCC"/>
        <rFont val="Menlo"/>
        <family val="2"/>
      </rPr>
      <t>,</t>
    </r>
  </si>
  <si>
    <r>
      <t>"starting_balance"</t>
    </r>
    <r>
      <rPr>
        <sz val="12"/>
        <color rgb="FFCCCCCC"/>
        <rFont val="Menlo"/>
        <family val="2"/>
      </rPr>
      <t xml:space="preserve">: </t>
    </r>
    <r>
      <rPr>
        <sz val="12"/>
        <color rgb="FFB5CEA8"/>
        <rFont val="Menlo"/>
        <family val="2"/>
      </rPr>
      <t>1000</t>
    </r>
    <r>
      <rPr>
        <sz val="12"/>
        <color rgb="FFCCCCCC"/>
        <rFont val="Menlo"/>
        <family val="2"/>
      </rPr>
      <t>,</t>
    </r>
  </si>
  <si>
    <r>
      <t>"contract_size"</t>
    </r>
    <r>
      <rPr>
        <sz val="12"/>
        <color rgb="FFCCCCCC"/>
        <rFont val="Menlo"/>
        <family val="2"/>
      </rPr>
      <t xml:space="preserve">: </t>
    </r>
    <r>
      <rPr>
        <sz val="12"/>
        <color rgb="FFB5CEA8"/>
        <rFont val="Menlo"/>
        <family val="2"/>
      </rPr>
      <t>100000</t>
    </r>
    <r>
      <rPr>
        <sz val="12"/>
        <color rgb="FFCCCCCC"/>
        <rFont val="Menlo"/>
        <family val="2"/>
      </rPr>
      <t>,</t>
    </r>
  </si>
  <si>
    <r>
      <t>"min_lot_size"</t>
    </r>
    <r>
      <rPr>
        <sz val="12"/>
        <color rgb="FFCCCCCC"/>
        <rFont val="Menlo"/>
        <family val="2"/>
      </rPr>
      <t xml:space="preserve">: </t>
    </r>
    <r>
      <rPr>
        <sz val="12"/>
        <color rgb="FFB5CEA8"/>
        <rFont val="Menlo"/>
        <family val="2"/>
      </rPr>
      <t>0.001</t>
    </r>
    <r>
      <rPr>
        <sz val="12"/>
        <color rgb="FFCCCCCC"/>
        <rFont val="Menlo"/>
        <family val="2"/>
      </rPr>
      <t>,</t>
    </r>
  </si>
  <si>
    <r>
      <t>"lot_step"</t>
    </r>
    <r>
      <rPr>
        <sz val="12"/>
        <color rgb="FFCCCCCC"/>
        <rFont val="Menlo"/>
        <family val="2"/>
      </rPr>
      <t xml:space="preserve">: </t>
    </r>
    <r>
      <rPr>
        <sz val="12"/>
        <color rgb="FFB5CEA8"/>
        <rFont val="Menlo"/>
        <family val="2"/>
      </rPr>
      <t>0.001</t>
    </r>
    <r>
      <rPr>
        <sz val="12"/>
        <color rgb="FFCCCCCC"/>
        <rFont val="Menlo"/>
        <family val="2"/>
      </rPr>
      <t>,</t>
    </r>
  </si>
  <si>
    <r>
      <t>"leverage"</t>
    </r>
    <r>
      <rPr>
        <sz val="12"/>
        <color rgb="FFCCCCCC"/>
        <rFont val="Menlo"/>
        <family val="2"/>
      </rPr>
      <t xml:space="preserve">: </t>
    </r>
    <r>
      <rPr>
        <sz val="12"/>
        <color rgb="FFB5CEA8"/>
        <rFont val="Menlo"/>
        <family val="2"/>
      </rPr>
      <t>100</t>
    </r>
  </si>
  <si>
    <r>
      <t>"rc_settings"</t>
    </r>
    <r>
      <rPr>
        <sz val="12"/>
        <color rgb="FFCCCCCC"/>
        <rFont val="Menlo"/>
        <family val="2"/>
      </rPr>
      <t>: {</t>
    </r>
  </si>
  <si>
    <r>
      <t>"max_daily_drawdown_pct"</t>
    </r>
    <r>
      <rPr>
        <sz val="12"/>
        <color rgb="FFCCCCCC"/>
        <rFont val="Menlo"/>
        <family val="2"/>
      </rPr>
      <t xml:space="preserve">: </t>
    </r>
    <r>
      <rPr>
        <sz val="12"/>
        <color rgb="FFB5CEA8"/>
        <rFont val="Menlo"/>
        <family val="2"/>
      </rPr>
      <t>10.0</t>
    </r>
    <r>
      <rPr>
        <sz val="12"/>
        <color rgb="FFCCCCCC"/>
        <rFont val="Menlo"/>
        <family val="2"/>
      </rPr>
      <t>,</t>
    </r>
  </si>
  <si>
    <r>
      <t>"max_open_risk_pct"</t>
    </r>
    <r>
      <rPr>
        <sz val="12"/>
        <color rgb="FFCCCCCC"/>
        <rFont val="Menlo"/>
        <family val="2"/>
      </rPr>
      <t xml:space="preserve">: </t>
    </r>
    <r>
      <rPr>
        <sz val="12"/>
        <color rgb="FFB5CEA8"/>
        <rFont val="Menlo"/>
        <family val="2"/>
      </rPr>
      <t>6.0</t>
    </r>
    <r>
      <rPr>
        <sz val="12"/>
        <color rgb="FFCCCCCC"/>
        <rFont val="Menlo"/>
        <family val="2"/>
      </rPr>
      <t>,</t>
    </r>
  </si>
  <si>
    <r>
      <t>"max_trades_per_day"</t>
    </r>
    <r>
      <rPr>
        <sz val="12"/>
        <color rgb="FFCCCCCC"/>
        <rFont val="Menlo"/>
        <family val="2"/>
      </rPr>
      <t xml:space="preserve">: </t>
    </r>
    <r>
      <rPr>
        <sz val="12"/>
        <color rgb="FFB5CEA8"/>
        <rFont val="Menlo"/>
        <family val="2"/>
      </rPr>
      <t>5</t>
    </r>
    <r>
      <rPr>
        <sz val="12"/>
        <color rgb="FFCCCCCC"/>
        <rFont val="Menlo"/>
        <family val="2"/>
      </rPr>
      <t>,</t>
    </r>
  </si>
  <si>
    <r>
      <t>"cooldown_bars"</t>
    </r>
    <r>
      <rPr>
        <sz val="12"/>
        <color rgb="FFCCCCCC"/>
        <rFont val="Menlo"/>
        <family val="2"/>
      </rPr>
      <t xml:space="preserve">: </t>
    </r>
    <r>
      <rPr>
        <sz val="12"/>
        <color rgb="FFB5CEA8"/>
        <rFont val="Menlo"/>
        <family val="2"/>
      </rPr>
      <t>3</t>
    </r>
    <r>
      <rPr>
        <sz val="12"/>
        <color rgb="FFCCCCCC"/>
        <rFont val="Menlo"/>
        <family val="2"/>
      </rPr>
      <t>,</t>
    </r>
  </si>
  <si>
    <r>
      <t>"allow_trade_if_total_risk_allows"</t>
    </r>
    <r>
      <rPr>
        <sz val="12"/>
        <color rgb="FFCCCCCC"/>
        <rFont val="Menlo"/>
        <family val="2"/>
      </rPr>
      <t xml:space="preserve">: </t>
    </r>
    <r>
      <rPr>
        <sz val="12"/>
        <color rgb="FF569CD6"/>
        <rFont val="Menlo"/>
        <family val="2"/>
      </rPr>
      <t>true</t>
    </r>
    <r>
      <rPr>
        <sz val="12"/>
        <color rgb="FFCCCCCC"/>
        <rFont val="Menlo"/>
        <family val="2"/>
      </rPr>
      <t>,</t>
    </r>
  </si>
  <si>
    <r>
      <t>"count_breakeven_trades_as_zero_risk"</t>
    </r>
    <r>
      <rPr>
        <sz val="12"/>
        <color rgb="FFCCCCCC"/>
        <rFont val="Menlo"/>
        <family val="2"/>
      </rPr>
      <t xml:space="preserve">: </t>
    </r>
    <r>
      <rPr>
        <sz val="12"/>
        <color rgb="FF569CD6"/>
        <rFont val="Menlo"/>
        <family val="2"/>
      </rPr>
      <t>true</t>
    </r>
  </si>
  <si>
    <r>
      <t>"visualization"</t>
    </r>
    <r>
      <rPr>
        <sz val="12"/>
        <color rgb="FFCCCCCC"/>
        <rFont val="Menlo"/>
        <family val="2"/>
      </rPr>
      <t>: {</t>
    </r>
  </si>
  <si>
    <r>
      <t>"plot_trade_overlays"</t>
    </r>
    <r>
      <rPr>
        <sz val="12"/>
        <color rgb="FFCCCCCC"/>
        <rFont val="Menlo"/>
        <family val="2"/>
      </rPr>
      <t xml:space="preserve">: </t>
    </r>
    <r>
      <rPr>
        <sz val="12"/>
        <color rgb="FF569CD6"/>
        <rFont val="Menlo"/>
        <family val="2"/>
      </rPr>
      <t>true</t>
    </r>
    <r>
      <rPr>
        <sz val="12"/>
        <color rgb="FFCCCCCC"/>
        <rFont val="Menlo"/>
        <family val="2"/>
      </rPr>
      <t>,</t>
    </r>
  </si>
  <si>
    <r>
      <t>"plot_metrics"</t>
    </r>
    <r>
      <rPr>
        <sz val="12"/>
        <color rgb="FFCCCCCC"/>
        <rFont val="Menlo"/>
        <family val="2"/>
      </rPr>
      <t xml:space="preserve">: </t>
    </r>
    <r>
      <rPr>
        <sz val="12"/>
        <color rgb="FF569CD6"/>
        <rFont val="Menlo"/>
        <family val="2"/>
      </rPr>
      <t>true</t>
    </r>
  </si>
  <si>
    <t>🧱 PHASE 2 — REFACTORING PLAN</t>
  </si>
  <si>
    <t>Phase</t>
  </si>
  <si>
    <t>Task</t>
  </si>
  <si>
    <t>✅ 1. Specification</t>
  </si>
  <si>
    <t>Create final JSON schema (you now have it)</t>
  </si>
  <si>
    <t>🔄 2. Refactor JSON</t>
  </si>
  <si>
    <r>
      <t xml:space="preserve">Update </t>
    </r>
    <r>
      <rPr>
        <sz val="10"/>
        <color theme="1"/>
        <rFont val="Arial Unicode MS"/>
        <family val="2"/>
      </rPr>
      <t>rrm_settings.json</t>
    </r>
    <r>
      <rPr>
        <sz val="12"/>
        <color theme="1"/>
        <rFont val="Aptos Narrow"/>
        <family val="2"/>
        <scheme val="minor"/>
      </rPr>
      <t xml:space="preserve"> and validation logic</t>
    </r>
  </si>
  <si>
    <t>🧠 3. Engine Sync</t>
  </si>
  <si>
    <t>TM engine reads new structure, routes logic based on keys</t>
  </si>
  <si>
    <t>🎯 4. EA Compatibility</t>
  </si>
  <si>
    <t>Profiles become dropdowns in EA; allow override toggles</t>
  </si>
  <si>
    <t>🔬 5. Testing</t>
  </si>
  <si>
    <t>Validate all combinations of BE + Trail + LPR</t>
  </si>
  <si>
    <t>📊 6. Output Clean</t>
  </si>
  <si>
    <t>Ensure VIS and METRICS reflect SL sources, transitions</t>
  </si>
  <si>
    <t>Provide results for tested configurations in chat, on all pairs (combine tested configurations for pair1 (AUDUSD with settings A,B,C,D), the same for each pair), visually with icons in tables as previously</t>
  </si>
  <si>
    <r>
      <t xml:space="preserve">Here is a combined comparative summary of all tested configurations (A, B, C, D) across each currency pair on H1 TF over the 2024-01-12 dataset. Each cell shows key performance metrics: </t>
    </r>
    <r>
      <rPr>
        <b/>
        <sz val="12"/>
        <color theme="1"/>
        <rFont val="Aptos Narrow"/>
        <family val="2"/>
        <scheme val="minor"/>
      </rPr>
      <t>ROE</t>
    </r>
    <r>
      <rPr>
        <sz val="12"/>
        <color theme="1"/>
        <rFont val="Aptos Narrow"/>
        <family val="2"/>
        <scheme val="minor"/>
      </rPr>
      <t xml:space="preserve">, </t>
    </r>
    <r>
      <rPr>
        <b/>
        <sz val="12"/>
        <color theme="1"/>
        <rFont val="Aptos Narrow"/>
        <family val="2"/>
        <scheme val="minor"/>
      </rPr>
      <t>Sharpe</t>
    </r>
    <r>
      <rPr>
        <sz val="12"/>
        <color theme="1"/>
        <rFont val="Aptos Narrow"/>
        <family val="2"/>
        <scheme val="minor"/>
      </rPr>
      <t xml:space="preserve">, </t>
    </r>
    <r>
      <rPr>
        <b/>
        <sz val="12"/>
        <color theme="1"/>
        <rFont val="Aptos Narrow"/>
        <family val="2"/>
        <scheme val="minor"/>
      </rPr>
      <t>Expectancy</t>
    </r>
    <r>
      <rPr>
        <sz val="12"/>
        <color theme="1"/>
        <rFont val="Aptos Narrow"/>
        <family val="2"/>
        <scheme val="minor"/>
      </rPr>
      <t xml:space="preserve">, and </t>
    </r>
    <r>
      <rPr>
        <b/>
        <sz val="12"/>
        <color theme="1"/>
        <rFont val="Aptos Narrow"/>
        <family val="2"/>
        <scheme val="minor"/>
      </rPr>
      <t>Profit Factor</t>
    </r>
    <r>
      <rPr>
        <sz val="12"/>
        <color theme="1"/>
        <rFont val="Aptos Narrow"/>
        <family val="2"/>
        <scheme val="minor"/>
      </rPr>
      <t>, with visual indicators.</t>
    </r>
  </si>
  <si>
    <t>📊 AUDUSD – H1</t>
  </si>
  <si>
    <t>Config</t>
  </si>
  <si>
    <t>🧮 ROE</t>
  </si>
  <si>
    <t>📐 Sharpe</t>
  </si>
  <si>
    <t>🔁 Expectancy</t>
  </si>
  <si>
    <t>💹 Profit Factor</t>
  </si>
  <si>
    <r>
      <t>A</t>
    </r>
    <r>
      <rPr>
        <sz val="12"/>
        <color theme="1"/>
        <rFont val="Aptos Narrow"/>
        <family val="2"/>
        <scheme val="minor"/>
      </rPr>
      <t xml:space="preserve"> (</t>
    </r>
    <r>
      <rPr>
        <i/>
        <sz val="12"/>
        <color theme="1"/>
        <rFont val="Aptos Narrow"/>
        <family val="2"/>
        <scheme val="minor"/>
      </rPr>
      <t>psar_begin</t>
    </r>
    <r>
      <rPr>
        <sz val="12"/>
        <color theme="1"/>
        <rFont val="Aptos Narrow"/>
        <family val="2"/>
        <scheme val="minor"/>
      </rPr>
      <t>, RR 1.5)</t>
    </r>
  </si>
  <si>
    <r>
      <t xml:space="preserve">🟢 </t>
    </r>
    <r>
      <rPr>
        <b/>
        <sz val="12"/>
        <color theme="1"/>
        <rFont val="Aptos Narrow"/>
        <family val="2"/>
        <scheme val="minor"/>
      </rPr>
      <t>25.76%</t>
    </r>
  </si>
  <si>
    <t>🟡 0.60</t>
  </si>
  <si>
    <t>🟡 15.67</t>
  </si>
  <si>
    <t>🟢 4.94</t>
  </si>
  <si>
    <r>
      <t>B</t>
    </r>
    <r>
      <rPr>
        <sz val="12"/>
        <color theme="1"/>
        <rFont val="Aptos Narrow"/>
        <family val="2"/>
        <scheme val="minor"/>
      </rPr>
      <t xml:space="preserve"> (</t>
    </r>
    <r>
      <rPr>
        <i/>
        <sz val="12"/>
        <color theme="1"/>
        <rFont val="Aptos Narrow"/>
        <family val="2"/>
        <scheme val="minor"/>
      </rPr>
      <t>psar_70</t>
    </r>
    <r>
      <rPr>
        <sz val="12"/>
        <color theme="1"/>
        <rFont val="Aptos Narrow"/>
        <family val="2"/>
        <scheme val="minor"/>
      </rPr>
      <t>, RR 1.5)</t>
    </r>
  </si>
  <si>
    <r>
      <t xml:space="preserve">🟢 </t>
    </r>
    <r>
      <rPr>
        <b/>
        <sz val="12"/>
        <color theme="1"/>
        <rFont val="Aptos Narrow"/>
        <family val="2"/>
        <scheme val="minor"/>
      </rPr>
      <t>26.84%</t>
    </r>
  </si>
  <si>
    <t>🟡 0.63</t>
  </si>
  <si>
    <t>🟡 16.78</t>
  </si>
  <si>
    <t>🟢 5.07</t>
  </si>
  <si>
    <r>
      <t>C</t>
    </r>
    <r>
      <rPr>
        <sz val="12"/>
        <color theme="1"/>
        <rFont val="Aptos Narrow"/>
        <family val="2"/>
        <scheme val="minor"/>
      </rPr>
      <t xml:space="preserve"> (</t>
    </r>
    <r>
      <rPr>
        <i/>
        <sz val="12"/>
        <color theme="1"/>
        <rFont val="Aptos Narrow"/>
        <family val="2"/>
        <scheme val="minor"/>
      </rPr>
      <t>psar_70</t>
    </r>
    <r>
      <rPr>
        <sz val="12"/>
        <color theme="1"/>
        <rFont val="Aptos Narrow"/>
        <family val="2"/>
        <scheme val="minor"/>
      </rPr>
      <t>, RR 2.5)</t>
    </r>
  </si>
  <si>
    <r>
      <t xml:space="preserve">🟢 </t>
    </r>
    <r>
      <rPr>
        <b/>
        <sz val="12"/>
        <color theme="1"/>
        <rFont val="Aptos Narrow"/>
        <family val="2"/>
        <scheme val="minor"/>
      </rPr>
      <t>29.67%</t>
    </r>
  </si>
  <si>
    <t>🟢 18.54</t>
  </si>
  <si>
    <t>🟢 5.46</t>
  </si>
  <si>
    <r>
      <t>D</t>
    </r>
    <r>
      <rPr>
        <sz val="12"/>
        <color theme="1"/>
        <rFont val="Aptos Narrow"/>
        <family val="2"/>
        <scheme val="minor"/>
      </rPr>
      <t xml:space="preserve"> (</t>
    </r>
    <r>
      <rPr>
        <i/>
        <sz val="12"/>
        <color theme="1"/>
        <rFont val="Aptos Narrow"/>
        <family val="2"/>
        <scheme val="minor"/>
      </rPr>
      <t>psar_70</t>
    </r>
    <r>
      <rPr>
        <sz val="12"/>
        <color theme="1"/>
        <rFont val="Aptos Narrow"/>
        <family val="2"/>
        <scheme val="minor"/>
      </rPr>
      <t>, RR 3.5)</t>
    </r>
  </si>
  <si>
    <t>📊 EURGBP – H1</t>
  </si>
  <si>
    <r>
      <t xml:space="preserve">🔴 </t>
    </r>
    <r>
      <rPr>
        <b/>
        <sz val="12"/>
        <color theme="1"/>
        <rFont val="Aptos Narrow"/>
        <family val="2"/>
        <scheme val="minor"/>
      </rPr>
      <t>-2.25%</t>
    </r>
  </si>
  <si>
    <t>🔴 -0.91</t>
  </si>
  <si>
    <t>🔴 -11.23</t>
  </si>
  <si>
    <t>🔴 0.00</t>
  </si>
  <si>
    <t>B</t>
  </si>
  <si>
    <t>C</t>
  </si>
  <si>
    <t>D</t>
  </si>
  <si>
    <t>📊 EURJPY – H1</t>
  </si>
  <si>
    <r>
      <t xml:space="preserve">🟡 </t>
    </r>
    <r>
      <rPr>
        <b/>
        <sz val="12"/>
        <color theme="1"/>
        <rFont val="Aptos Narrow"/>
        <family val="2"/>
        <scheme val="minor"/>
      </rPr>
      <t>10.82%</t>
    </r>
  </si>
  <si>
    <t>🔴 0.14</t>
  </si>
  <si>
    <t>🟡 3.61</t>
  </si>
  <si>
    <t>🟡 1.46</t>
  </si>
  <si>
    <r>
      <t xml:space="preserve">🟡 </t>
    </r>
    <r>
      <rPr>
        <b/>
        <sz val="12"/>
        <color theme="1"/>
        <rFont val="Aptos Narrow"/>
        <family val="2"/>
        <scheme val="minor"/>
      </rPr>
      <t>14.87%</t>
    </r>
  </si>
  <si>
    <t>🔴 0.17</t>
  </si>
  <si>
    <t>🟡 4.96</t>
  </si>
  <si>
    <t>🟡 1.62</t>
  </si>
  <si>
    <t>📊 EURUSD – H1</t>
  </si>
  <si>
    <r>
      <t xml:space="preserve">🟡 </t>
    </r>
    <r>
      <rPr>
        <b/>
        <sz val="12"/>
        <color theme="1"/>
        <rFont val="Aptos Narrow"/>
        <family val="2"/>
        <scheme val="minor"/>
      </rPr>
      <t>10.86%</t>
    </r>
  </si>
  <si>
    <t>🔴 0.35</t>
  </si>
  <si>
    <t>🟡 9.88</t>
  </si>
  <si>
    <t>🟡 2.40</t>
  </si>
  <si>
    <r>
      <t xml:space="preserve">🟡 </t>
    </r>
    <r>
      <rPr>
        <b/>
        <sz val="12"/>
        <color theme="1"/>
        <rFont val="Aptos Narrow"/>
        <family val="2"/>
        <scheme val="minor"/>
      </rPr>
      <t>12.99%</t>
    </r>
  </si>
  <si>
    <t>🔴 0.37</t>
  </si>
  <si>
    <t>🟡 11.81</t>
  </si>
  <si>
    <t>🟢 2.66</t>
  </si>
  <si>
    <t>📊 GBPUSD – H1</t>
  </si>
  <si>
    <r>
      <t xml:space="preserve">🟢 </t>
    </r>
    <r>
      <rPr>
        <b/>
        <sz val="12"/>
        <color theme="1"/>
        <rFont val="Aptos Narrow"/>
        <family val="2"/>
        <scheme val="minor"/>
      </rPr>
      <t>33.61%</t>
    </r>
  </si>
  <si>
    <t>🟢 0.97</t>
  </si>
  <si>
    <t>🟢 28.01</t>
  </si>
  <si>
    <t>🟢 9.70</t>
  </si>
  <si>
    <r>
      <t xml:space="preserve">🟢 </t>
    </r>
    <r>
      <rPr>
        <b/>
        <sz val="12"/>
        <color theme="1"/>
        <rFont val="Aptos Narrow"/>
        <family val="2"/>
        <scheme val="minor"/>
      </rPr>
      <t>40.09%</t>
    </r>
  </si>
  <si>
    <t>🟢 33.41</t>
  </si>
  <si>
    <t>🟢 11.29</t>
  </si>
  <si>
    <t>📊 USDJPY – H1</t>
  </si>
  <si>
    <r>
      <t xml:space="preserve">🟢 </t>
    </r>
    <r>
      <rPr>
        <b/>
        <sz val="12"/>
        <color theme="1"/>
        <rFont val="Aptos Narrow"/>
        <family val="2"/>
        <scheme val="minor"/>
      </rPr>
      <t>45.30%</t>
    </r>
  </si>
  <si>
    <t>🟡 0.64</t>
  </si>
  <si>
    <t>🟢 19.70</t>
  </si>
  <si>
    <t>🟢 5.83</t>
  </si>
  <si>
    <r>
      <t xml:space="preserve">🟢 </t>
    </r>
    <r>
      <rPr>
        <b/>
        <sz val="12"/>
        <color theme="1"/>
        <rFont val="Aptos Narrow"/>
        <family val="2"/>
        <scheme val="minor"/>
      </rPr>
      <t>53.58%</t>
    </r>
  </si>
  <si>
    <t>🟢 23.30</t>
  </si>
  <si>
    <t>🟢 6.57</t>
  </si>
  <si>
    <t>Let me know if you'd like an export of this table (CSV/PNG), or to proceed with Config E or a batch visualization.</t>
  </si>
  <si>
    <r>
      <t xml:space="preserve">Perfect — here's a </t>
    </r>
    <r>
      <rPr>
        <b/>
        <sz val="12"/>
        <color theme="1"/>
        <rFont val="Aptos Narrow"/>
        <family val="2"/>
        <scheme val="minor"/>
      </rPr>
      <t>delta analysis across the three system runs</t>
    </r>
    <r>
      <rPr>
        <sz val="12"/>
        <color theme="1"/>
        <rFont val="Aptos Narrow"/>
        <family val="2"/>
        <scheme val="minor"/>
      </rPr>
      <t>:</t>
    </r>
  </si>
  <si>
    <t>⚙️ Configuration Overview</t>
  </si>
  <si>
    <t>Run ID</t>
  </si>
  <si>
    <t>tp_sl_ratio</t>
  </si>
  <si>
    <t>RR Init</t>
  </si>
  <si>
    <t>PSAR Init</t>
  </si>
  <si>
    <t>🔵 A</t>
  </si>
  <si>
    <t>❌ Disabled</t>
  </si>
  <si>
    <t>Full</t>
  </si>
  <si>
    <t>Baseline hard-PSAR system</t>
  </si>
  <si>
    <t>🟢 B</t>
  </si>
  <si>
    <r>
      <t xml:space="preserve">✅ </t>
    </r>
    <r>
      <rPr>
        <sz val="10"/>
        <color theme="1"/>
        <rFont val="Arial Unicode MS"/>
        <family val="2"/>
      </rPr>
      <t>psar_continue</t>
    </r>
  </si>
  <si>
    <t>Early lock-in, dynamic trail</t>
  </si>
  <si>
    <t>🟣 C</t>
  </si>
  <si>
    <t>High-RR, trend follow optimized</t>
  </si>
  <si>
    <t>📊 Key Metric Comparison by Pair</t>
  </si>
  <si>
    <t>1. AUDUSD</t>
  </si>
  <si>
    <t>Run</t>
  </si>
  <si>
    <t>Net PnL</t>
  </si>
  <si>
    <t>Profit Factor</t>
  </si>
  <si>
    <t>Win %</t>
  </si>
  <si>
    <t>Expectancy</t>
  </si>
  <si>
    <t>RR Avg</t>
  </si>
  <si>
    <t>Sharpe</t>
  </si>
  <si>
    <t>ROE</t>
  </si>
  <si>
    <t>26.84% ✅</t>
  </si>
  <si>
    <r>
      <t xml:space="preserve">➡️ </t>
    </r>
    <r>
      <rPr>
        <b/>
        <sz val="12"/>
        <color theme="1"/>
        <rFont val="Aptos Narrow"/>
        <family val="2"/>
        <scheme val="minor"/>
      </rPr>
      <t>Conclusion:</t>
    </r>
    <r>
      <rPr>
        <sz val="12"/>
        <color theme="1"/>
        <rFont val="Aptos Narrow"/>
        <family val="2"/>
        <scheme val="minor"/>
      </rPr>
      <t xml:space="preserve"> C shows same risk profile (Sharpe) but higher expectancy and capital gain — best efficiency.</t>
    </r>
  </si>
  <si>
    <t>2. EURGBP</t>
  </si>
  <si>
    <t>-2.25% ❌</t>
  </si>
  <si>
    <r>
      <t xml:space="preserve">➡️ </t>
    </r>
    <r>
      <rPr>
        <b/>
        <sz val="12"/>
        <color theme="1"/>
        <rFont val="Aptos Narrow"/>
        <family val="2"/>
        <scheme val="minor"/>
      </rPr>
      <t>Conclusion:</t>
    </r>
    <r>
      <rPr>
        <sz val="12"/>
        <color theme="1"/>
        <rFont val="Aptos Narrow"/>
        <family val="2"/>
        <scheme val="minor"/>
      </rPr>
      <t xml:space="preserve"> EURGBP is fragile under trend-following, high-RR configs. Stick to mean-reversion logic here.</t>
    </r>
  </si>
  <si>
    <t>3. EURJPY</t>
  </si>
  <si>
    <t>RR Median</t>
  </si>
  <si>
    <t>Max DD</t>
  </si>
  <si>
    <t>-8.75% 🔻</t>
  </si>
  <si>
    <r>
      <t xml:space="preserve">➡️ </t>
    </r>
    <r>
      <rPr>
        <b/>
        <sz val="12"/>
        <color theme="1"/>
        <rFont val="Aptos Narrow"/>
        <family val="2"/>
        <scheme val="minor"/>
      </rPr>
      <t>Conclusion:</t>
    </r>
    <r>
      <rPr>
        <sz val="12"/>
        <color theme="1"/>
        <rFont val="Aptos Narrow"/>
        <family val="2"/>
        <scheme val="minor"/>
      </rPr>
      <t xml:space="preserve"> Small degradation in return and drawdown. C captures trend but increases downside variance.</t>
    </r>
  </si>
  <si>
    <t>4. EURUSD</t>
  </si>
  <si>
    <t>10.86% ✅</t>
  </si>
  <si>
    <r>
      <t xml:space="preserve">➡️ </t>
    </r>
    <r>
      <rPr>
        <b/>
        <sz val="12"/>
        <color theme="1"/>
        <rFont val="Aptos Narrow"/>
        <family val="2"/>
        <scheme val="minor"/>
      </rPr>
      <t>Conclusion:</t>
    </r>
    <r>
      <rPr>
        <sz val="12"/>
        <color theme="1"/>
        <rFont val="Aptos Narrow"/>
        <family val="2"/>
        <scheme val="minor"/>
      </rPr>
      <t xml:space="preserve"> Substantial upside in profitability and expectancy from the RR shift.</t>
    </r>
  </si>
  <si>
    <t>5. GBPUSD</t>
  </si>
  <si>
    <t>33.61% ✅</t>
  </si>
  <si>
    <r>
      <t xml:space="preserve">➡️ </t>
    </r>
    <r>
      <rPr>
        <b/>
        <sz val="12"/>
        <color theme="1"/>
        <rFont val="Aptos Narrow"/>
        <family val="2"/>
        <scheme val="minor"/>
      </rPr>
      <t>Conclusion:</t>
    </r>
    <r>
      <rPr>
        <sz val="12"/>
        <color theme="1"/>
        <rFont val="Aptos Narrow"/>
        <family val="2"/>
        <scheme val="minor"/>
      </rPr>
      <t xml:space="preserve"> Better ROE, slightly lower Sharpe but higher efficiency — great LPR config candidate.</t>
    </r>
  </si>
  <si>
    <t>6. USDJPY</t>
  </si>
  <si>
    <t>45.30% ✅</t>
  </si>
  <si>
    <t>0.64 ✅</t>
  </si>
  <si>
    <r>
      <t xml:space="preserve">➡️ </t>
    </r>
    <r>
      <rPr>
        <b/>
        <sz val="12"/>
        <color theme="1"/>
        <rFont val="Aptos Narrow"/>
        <family val="2"/>
        <scheme val="minor"/>
      </rPr>
      <t>Conclusion:</t>
    </r>
    <r>
      <rPr>
        <sz val="12"/>
        <color theme="1"/>
        <rFont val="Aptos Narrow"/>
        <family val="2"/>
        <scheme val="minor"/>
      </rPr>
      <t xml:space="preserve"> Substantial upside; this pair strongly benefits from LPR and aggressive RR config.</t>
    </r>
  </si>
  <si>
    <t>🧠 Strategic Takeaway:</t>
  </si>
  <si>
    <r>
      <t>PSAR Begin</t>
    </r>
    <r>
      <rPr>
        <sz val="12"/>
        <color theme="1"/>
        <rFont val="Aptos Narrow"/>
        <family val="2"/>
        <scheme val="minor"/>
      </rPr>
      <t xml:space="preserve"> is reactive; works well with lower RR.</t>
    </r>
  </si>
  <si>
    <r>
      <t>PSAR 70% + LPR</t>
    </r>
    <r>
      <rPr>
        <sz val="12"/>
        <color theme="1"/>
        <rFont val="Aptos Narrow"/>
        <family val="2"/>
        <scheme val="minor"/>
      </rPr>
      <t xml:space="preserve"> adds </t>
    </r>
    <r>
      <rPr>
        <b/>
        <sz val="12"/>
        <color theme="1"/>
        <rFont val="Aptos Narrow"/>
        <family val="2"/>
        <scheme val="minor"/>
      </rPr>
      <t>more flexibility</t>
    </r>
    <r>
      <rPr>
        <sz val="12"/>
        <color theme="1"/>
        <rFont val="Aptos Narrow"/>
        <family val="2"/>
        <scheme val="minor"/>
      </rPr>
      <t>, but if RRinit is too low (e.g., 1.5), it restricts potential.</t>
    </r>
  </si>
  <si>
    <r>
      <t>Best overall results with PSAR 70% + RRinit = 2.5 + LPR</t>
    </r>
    <r>
      <rPr>
        <sz val="12"/>
        <color theme="1"/>
        <rFont val="Aptos Narrow"/>
        <family val="2"/>
        <scheme val="minor"/>
      </rPr>
      <t>, especially for trending, volatile pairs (USDJPY, GBPUSD, AUDUSD).</t>
    </r>
  </si>
  <si>
    <r>
      <t xml:space="preserve">Would you like this exported as a </t>
    </r>
    <r>
      <rPr>
        <sz val="10"/>
        <color theme="1"/>
        <rFont val="Arial Unicode MS"/>
        <family val="2"/>
      </rPr>
      <t>.csv</t>
    </r>
    <r>
      <rPr>
        <sz val="12"/>
        <color theme="1"/>
        <rFont val="Aptos Narrow"/>
        <family val="2"/>
        <scheme val="minor"/>
      </rPr>
      <t xml:space="preserve"> or </t>
    </r>
    <r>
      <rPr>
        <sz val="10"/>
        <color theme="1"/>
        <rFont val="Arial Unicode MS"/>
        <family val="2"/>
      </rPr>
      <t>.png</t>
    </r>
    <r>
      <rPr>
        <sz val="12"/>
        <color theme="1"/>
        <rFont val="Aptos Narrow"/>
        <family val="2"/>
        <scheme val="minor"/>
      </rPr>
      <t xml:space="preserve"> table for reporting or visual inclusion?</t>
    </r>
  </si>
  <si>
    <t>Timeframe</t>
  </si>
  <si>
    <t>Fast EMA</t>
  </si>
  <si>
    <t>Slow EMA</t>
  </si>
  <si>
    <t>Signal EMA</t>
  </si>
  <si>
    <t>Usage/Notes</t>
  </si>
  <si>
    <t>M1 (1 min)</t>
  </si>
  <si>
    <t>Very fast, good for scalping</t>
  </si>
  <si>
    <t>M5 (5 min)</t>
  </si>
  <si>
    <t>Fast, responsive</t>
  </si>
  <si>
    <t>M15 (15 min)</t>
  </si>
  <si>
    <t>Fast, reduces some noise</t>
  </si>
  <si>
    <t>M30 (30 min)</t>
  </si>
  <si>
    <t>Balanced for intraday</t>
  </si>
  <si>
    <t>H1 (1 hour)</t>
  </si>
  <si>
    <t>Classic, versatile</t>
  </si>
  <si>
    <t>H4 (4 hour)</t>
  </si>
  <si>
    <t>Classic, smoother trends</t>
  </si>
  <si>
    <t>D1 (Daily)</t>
  </si>
  <si>
    <t>Standard for swing/position</t>
  </si>
  <si>
    <t>W1 (Weekly)</t>
  </si>
  <si>
    <t>Slow, captures long-term trends</t>
  </si>
  <si>
    <t>Summary Table: Your System's MACD Settings</t>
  </si>
  <si>
    <t>Best For TFs</t>
  </si>
  <si>
    <t>Signal Speed</t>
  </si>
  <si>
    <t>Noise</t>
  </si>
  <si>
    <t>Typical Use</t>
  </si>
  <si>
    <t>5, 8, 5</t>
  </si>
  <si>
    <t>M1, M5, M15</t>
  </si>
  <si>
    <t>Very Fast</t>
  </si>
  <si>
    <t>High</t>
  </si>
  <si>
    <t>Scalping, quick reversals</t>
  </si>
  <si>
    <t>8, 13, 8</t>
  </si>
  <si>
    <t>M5, M15, M30, H1</t>
  </si>
  <si>
    <t>Fast</t>
  </si>
  <si>
    <t>Medium</t>
  </si>
  <si>
    <t>Intraday, short swings</t>
  </si>
  <si>
    <t>Here’s a table of recommended MACD settings for common FX timeframes:</t>
  </si>
  <si>
    <t>Recommendation</t>
  </si>
  <si>
    <t>System</t>
  </si>
  <si>
    <t>Your</t>
  </si>
  <si>
    <t>Common</t>
  </si>
  <si>
    <t>"manual_its": {</t>
  </si>
  <si>
    <t>"active": true,</t>
  </si>
  <si>
    <t>"TSV_MACD_TOGGLE": true,</t>
  </si>
  <si>
    <t>"TSV_MACD_MODE": "histogram",</t>
  </si>
  <si>
    <t>"TSV_MACD_HIST_AUTO_SCALE": true,</t>
  </si>
  <si>
    <t>"TSV_MACD_HIST_MIN": 0.0001,</t>
  </si>
  <si>
    <t>"TSV_MACD_SLOPE_FILTER": true,</t>
  </si>
  <si>
    <t>"TSV_MACD_SLOPE_MIN": 0.001,</t>
  </si>
  <si>
    <t>"TSV_CCI_TOGGLE": true,</t>
  </si>
  <si>
    <t>"TSV_CCI_MODE": "threshold",</t>
  </si>
  <si>
    <t>"TSV_PSAR_MODE": "and",</t>
  </si>
  <si>
    <t xml:space="preserve">"TSV_PSAR_TOGGLE": true, </t>
  </si>
  <si>
    <t>"TSV_PSAR_DOT_TOGGLE": true,</t>
  </si>
  <si>
    <t>"TSV_PSAR_FLIP_TOGGLE": true,</t>
  </si>
  <si>
    <t>"TSV_PSAR_MATCH_CANDLE_DIRECTION": true,</t>
  </si>
  <si>
    <t>"TSV_PSAR_REQUIRE_WICK_POSITION": true,</t>
  </si>
  <si>
    <t>"TSV_PSAR_FLIP_COUNT_TOGGLE": true,</t>
  </si>
  <si>
    <t>"TSV_PSAR_FLIP_TOGGLE_PREFER_EARLY_ENTRY": false,</t>
  </si>
  <si>
    <t>"TSV_PSAR_DEFERRED_ENTRY_TOGGLE": false,</t>
  </si>
  <si>
    <t>"TSV_PSAR_DEFERRED_LOOKBACK": 3,</t>
  </si>
  <si>
    <t>"TSV_ALLOW_DPB_REPLACE_TRSET": true,</t>
  </si>
  <si>
    <t>"TSV_DEBUG_TS_LOG": true,</t>
  </si>
  <si>
    <t>"TSV_DPB_TOGGLE": true,</t>
  </si>
  <si>
    <t>"TSV_DPB_MODE": "loopback",</t>
  </si>
  <si>
    <t>"TSV_DPB_SLOPE_CHECK_ENABLED": true,</t>
  </si>
  <si>
    <t>"TSV_DPB_EMA_PAIRS": [</t>
  </si>
  <si>
    <t>["ema1", "ema2"],</t>
  </si>
  <si>
    <t>["ema2", "ema3"],</t>
  </si>
  <si>
    <t>["ema3", "ema4"]</t>
  </si>
  <si>
    <t>"TSV_OC_TOGGLE": true,</t>
  </si>
  <si>
    <t>"TSV_OC_LIMIT_FACTOR": 5.0,</t>
  </si>
  <si>
    <t>"TSV_OC_LIMIT_CANDLES": 1,</t>
  </si>
  <si>
    <t>"TSV_ATR_TOGGLE": true,</t>
  </si>
  <si>
    <t>"TSV_ATR_MODE": "dynamic_avg",</t>
  </si>
  <si>
    <t>"TSV_ATR_WINDOW": 21,</t>
  </si>
  <si>
    <t>"TSV_ATR_FACTOR": 0.8,</t>
  </si>
  <si>
    <t>"TSV_ATR_THRESHOLD_PIPS": 5,</t>
  </si>
  <si>
    <t>"TSV_RSI_TOGGLE": false,</t>
  </si>
  <si>
    <t>"TSV_RSI_MODE": "classic",</t>
  </si>
  <si>
    <t>"TSV_ENTRY_TOGGLE": false,</t>
  </si>
  <si>
    <t>"TSV_ENTRY_BODY_MIN_PCT": 33,</t>
  </si>
  <si>
    <t>"TSV_ENTRY_OVEREXTENDED_GUARD": false,</t>
  </si>
  <si>
    <t>"TSV_ENTRY_OVEREXTENDED_LOOKBACK": 20,</t>
  </si>
  <si>
    <t>"TSV_ENTRY_OVEREXTENDED_PCT_FROM_HHLL": 0.02,</t>
  </si>
  <si>
    <t>"TSV_MIN_CANDLE_GAP": 2,</t>
  </si>
  <si>
    <t>"TSV_TRADE_SETUP_TOGGLE": true,</t>
  </si>
  <si>
    <t>"TSV_TRADE_SETUP_MODE": "all",</t>
  </si>
  <si>
    <t>"TSV_TRADE_SETUP_ALLOWED_PATTERNS": ["ribbon", "ghost", "shark"],</t>
  </si>
  <si>
    <t>"TSV_TRADE_SETUP_EMA_TOLERANCE": 0.01,</t>
  </si>
  <si>
    <t>"ITS_USE_FLOATING_MARKERS": false</t>
  </si>
  <si>
    <r>
      <t>5,8,5</t>
    </r>
    <r>
      <rPr>
        <sz val="12"/>
        <color theme="1"/>
        <rFont val="Calibri"/>
        <family val="2"/>
      </rPr>
      <t xml:space="preserve">: Use with </t>
    </r>
    <r>
      <rPr>
        <b/>
        <sz val="12"/>
        <color theme="1"/>
        <rFont val="Calibri"/>
        <family val="2"/>
      </rPr>
      <t>aggressive filters</t>
    </r>
    <r>
      <rPr>
        <sz val="12"/>
        <color theme="1"/>
        <rFont val="Calibri"/>
        <family val="2"/>
      </rPr>
      <t xml:space="preserve"> if trading anything other than ultra-short TFs.</t>
    </r>
  </si>
  <si>
    <r>
      <t>8,13,8</t>
    </r>
    <r>
      <rPr>
        <sz val="12"/>
        <color theme="1"/>
        <rFont val="Calibri"/>
        <family val="2"/>
      </rPr>
      <t>: Good “sweet spot” for most modern, fast-paced FX systems on M5–H1.</t>
    </r>
  </si>
  <si>
    <r>
      <t>If in doubt:</t>
    </r>
    <r>
      <rPr>
        <sz val="12"/>
        <color theme="1"/>
        <rFont val="Calibri"/>
        <family val="2"/>
      </rPr>
      <t xml:space="preserve"> Use 8,13,8 as a default, and add strong filtering (histogram threshold, slope filter) to avoid noise.</t>
    </r>
  </si>
  <si>
    <t>"indicators": {</t>
  </si>
  <si>
    <t>"enabled": true,</t>
  </si>
  <si>
    <t>"panel": 0,</t>
  </si>
  <si>
    <t>"debug_label_all": false,</t>
  </si>
  <si>
    <t>"psar": {</t>
  </si>
  <si>
    <t>"step": 0.05,</t>
  </si>
  <si>
    <t>"max_step": 0.5,</t>
  </si>
  <si>
    <t>"markersize": 2,</t>
  </si>
  <si>
    <t>"marker": "o",</t>
  </si>
  <si>
    <t xml:space="preserve">"color": "green", </t>
  </si>
  <si>
    <t>"legend_format": "PSAR({step}, {max_step})"</t>
  </si>
  <si>
    <t>"macd": {</t>
  </si>
  <si>
    <t>"panel": 1,</t>
  </si>
  <si>
    <t>"show_macd_line": true,</t>
  </si>
  <si>
    <t>"show_signal_line": true,</t>
  </si>
  <si>
    <t>"show_histogram": true,</t>
  </si>
  <si>
    <t>"legend_format": "MACD({fast}, {slow}, {signal})",</t>
  </si>
  <si>
    <t>"normalize": true,</t>
  </si>
  <si>
    <t>"normalization_method": "max-abs",</t>
  </si>
  <si>
    <t>"panel_range": 0.001,</t>
  </si>
  <si>
    <t>"colors": {</t>
  </si>
  <si>
    <t>"plot": {</t>
  </si>
  <si>
    <t>"cci": {</t>
  </si>
  <si>
    <t>"panel": 2,</t>
  </si>
  <si>
    <t>"period": 13,</t>
  </si>
  <si>
    <t>"constant": 0.015,</t>
  </si>
  <si>
    <t>"thresholds": {</t>
  </si>
  <si>
    <t>"upper": 75,</t>
  </si>
  <si>
    <t>"lower": -75</t>
  </si>
  <si>
    <t>"mid_zone": 50,</t>
  </si>
  <si>
    <t>"flat_epsilon": 5,</t>
  </si>
  <si>
    <t>"normalization_method": "cci-fixed",</t>
  </si>
  <si>
    <t>"legend_format": "CCI({period}, {upper},{lower})",</t>
  </si>
  <si>
    <t>"line": "cyan",</t>
  </si>
  <si>
    <t>"overbought": "red",</t>
  </si>
  <si>
    <t>"oversold": "blue"</t>
  </si>
  <si>
    <t>"line_style": "dashed",</t>
  </si>
  <si>
    <t>"linewidth": 0.5,</t>
  </si>
  <si>
    <t>"show_bands": false,</t>
  </si>
  <si>
    <t>"show_cross_lines": false,</t>
  </si>
  <si>
    <t>"band_color": "gray",</t>
  </si>
  <si>
    <t>"band_style": "dashed"</t>
  </si>
  <si>
    <t>[DEBUG run_batch]  </t>
  </si>
  <si>
    <t>[RESET] Resetting trade state: _tm_process_trade_entry: entry rejected due to SL margin</t>
  </si>
  <si>
    <t>[DEBUG metrics]  </t>
  </si>
  <si>
    <t>[DEBUG metrics] 📊 [RRM write SYSTEM Metrics Summary]</t>
  </si>
  <si>
    <t>[DEBUG metrics] 🕒 Trade Freq/Day     : 0.00</t>
  </si>
  <si>
    <t>[DEBUG metrics] 💵 Starting Balance  : 1000.00</t>
  </si>
  <si>
    <t>[DEBUG metrics] ⚠️  Open Risk (%)     : 0.00%</t>
  </si>
  <si>
    <t>[DEBUG metrics] 🚦 Can Trade         : ✅ YES</t>
  </si>
  <si>
    <t>[DEBUG metrics]</t>
  </si>
  <si>
    <t>[DEBUG run_batch] ✅ Batch pipeline completed successfully.</t>
  </si>
  <si>
    <t>[DEBUG metrics] 📐 Sharpe Ratio      : 0.49</t>
  </si>
  <si>
    <t>[DEBUG metrics] 📐 Sharpe Ratio      : 0.52</t>
  </si>
  <si>
    <t>[DEBUG metrics] 📐 Sharpe Ratio      : 0.46</t>
  </si>
  <si>
    <t>[DEBUG metrics] 📉 Max Drawdown (%)  : -3.96%</t>
  </si>
  <si>
    <t>(venv) ms@ms-MacBook-Pro MSZ_FX % </t>
  </si>
  <si>
    <t>[DEBUG metrics] 📐 Sharpe Ratio      : 0.45</t>
  </si>
  <si>
    <t>Test</t>
  </si>
  <si>
    <t>MACD (Fast,Slow,Signal)</t>
  </si>
  <si>
    <t># Trades</t>
  </si>
  <si>
    <t>Wins</t>
  </si>
  <si>
    <t>Losses</t>
  </si>
  <si>
    <t>Win Rate</t>
  </si>
  <si>
    <t>Loss Rate</t>
  </si>
  <si>
    <t>Net Profit (USD)</t>
  </si>
  <si>
    <t>Gross Loss (USD)</t>
  </si>
  <si>
    <t>Sharpe Ratio</t>
  </si>
  <si>
    <t>RR Gain Avg</t>
  </si>
  <si>
    <t>RR Gain Median</t>
  </si>
  <si>
    <t>Pip Net</t>
  </si>
  <si>
    <t>Pip Avg</t>
  </si>
  <si>
    <t>Pip Std</t>
  </si>
  <si>
    <t>Max Drawdown (%)</t>
  </si>
  <si>
    <t>Final Equity</t>
  </si>
  <si>
    <t>Return on Equity (%)</t>
  </si>
  <si>
    <t>Peak Equity</t>
  </si>
  <si>
    <t>Capital Util (%)</t>
  </si>
  <si>
    <t>5, 13, 8</t>
  </si>
  <si>
    <t>8, 17, 9</t>
  </si>
  <si>
    <t>12, 26, 9</t>
  </si>
  <si>
    <t>21, 34, 9</t>
  </si>
  <si>
    <t>"tm_settings": {</t>
  </si>
  <si>
    <t>"_trade": {</t>
  </si>
  <si>
    <t>"_manual": {</t>
  </si>
  <si>
    <t>"description": "RR 2.0 - Default fallback config for balanced setups.",</t>
  </si>
  <si>
    <t>"events_calendar": true,</t>
  </si>
  <si>
    <t>"events_news": true,</t>
  </si>
  <si>
    <t>"tp_sl_rr_enabled": true,</t>
  </si>
  <si>
    <t>"tp_sl_rr": 2.0,</t>
  </si>
  <si>
    <t>"sl_adaptive_enabled": false,</t>
  </si>
  <si>
    <t>"sl_adaptive_bias": 1.3,</t>
  </si>
  <si>
    <t>"sl_adaptive_trigger": "macd_flat",</t>
  </si>
  <si>
    <t>"breakeven_enabled": false,</t>
  </si>
  <si>
    <t>"breakeven_trigger_rr": 0.5,</t>
  </si>
  <si>
    <t>"trail_mode_enabled": true,</t>
  </si>
  <si>
    <t>"trail_mode": "_tsm_psar_begin",</t>
  </si>
  <si>
    <t>"let_profit_run_enabled": false,</t>
  </si>
  <si>
    <t>"let_profit_run_mode": "psar_continue",</t>
  </si>
  <si>
    <t>"let_profit_run_rr_activation": 1.0,</t>
  </si>
  <si>
    <t>"let_profit_run_rr_lock": 0.5</t>
  </si>
  <si>
    <t>"trail_mode_enabled"</t>
  </si>
  <si>
    <t>"tp_sl_rr"</t>
  </si>
  <si>
    <t>"trail_mode"</t>
  </si>
  <si>
    <t>"let_profit_run_enabled"</t>
  </si>
  <si>
    <t>psar_continue</t>
  </si>
  <si>
    <t>"let_profit_run_mode"</t>
  </si>
  <si>
    <t>"let_profit_run_rr_activation"</t>
  </si>
  <si>
    <t>"let_profit_run_rr_lock"</t>
  </si>
  <si>
    <t>Pair</t>
  </si>
  <si>
    <t>USDJPY</t>
  </si>
  <si>
    <t>Period</t>
  </si>
  <si>
    <t>2024: 01-12</t>
  </si>
  <si>
    <t>(venv) ms@ms-MacBook-Pro MSZ_FX % python rrm_f1_00_run_batch_v04.py USDJPY M5-24-01-12</t>
  </si>
  <si>
    <t>[DEBUG run_batch] 🔁 Running pipeline for USDJPY/M5-24-01-12</t>
  </si>
  <si>
    <t>[DEBUG run_batch] ▶️  MOD → rrm_f1_04_mod_cli.py USDJPY M5-24-01-12</t>
  </si>
  <si>
    <t>[DEBUG run_batch] ▶️  IMT → rrm_f1_14_imt_cli.py USDJPY M5-24-01-12 --settings rrm_settings.json</t>
  </si>
  <si>
    <t>[DEBUG run_batch] ▶️  VIS → rrm_f1_24_vis_cli.py USDJPY M5-24-01-12</t>
  </si>
  <si>
    <t>[DEBUG run_batch] ▶️  ITS → rrm_f1_34_its_cli.py USDJPY M5-24-01-12 --settings rrm_settings.json</t>
  </si>
  <si>
    <t>[DEBUG run_batch] ▶️  TM → rrm_f1_44_tm_cli.py USDJPY M5-24-01-12 --settings rrm_settings.json</t>
  </si>
  <si>
    <t>[DEBUG run_batch] ▶️  CM → rrm_f1_54_cm_cli.py USDJPY M5-24-01-12 --settings rrm_settings.json</t>
  </si>
  <si>
    <t>[DEBUG run_batch] ▶️  RC → rrm_f1_64_rc_cli.py USDJPY M5-24-01-12 --settings rrm_settings.json</t>
  </si>
  <si>
    <t>[DEBUG metrics] 💱 Pair / TF         : USDJPY / M5-24-01-12</t>
  </si>
  <si>
    <t>[DEBUG metrics] 📐 Sharpe Ratio      : 0.48</t>
  </si>
  <si>
    <t>(venv) ms@ms-MacBook-Pro MSZ_FX %</t>
  </si>
  <si>
    <t>[DEBUG metrics] 📐 Sharpe Ratio      : 0.50</t>
  </si>
  <si>
    <t>Trades</t>
  </si>
  <si>
    <t>Net Profit</t>
  </si>
  <si>
    <t>PF</t>
  </si>
  <si>
    <t>"fast": 5,</t>
  </si>
  <si>
    <t>"slow": 8,</t>
  </si>
  <si>
    <t>"signal": 5,</t>
  </si>
  <si>
    <t>NEW PSAR METHOD</t>
  </si>
  <si>
    <t xml:space="preserve">"ist_settings": </t>
  </si>
  <si>
    <t>"TSV_ATR_MODE_OPTION_1": "dynamic_avg",</t>
  </si>
  <si>
    <t>"TSV_ATR_MODE_OPTION_2": "static",</t>
  </si>
  <si>
    <t>"TSV_ATR_MODE_OPTION_3": "fixed",</t>
  </si>
  <si>
    <t>"TSV_CCI_MODE_OPTION_1": "classic",</t>
  </si>
  <si>
    <t>"TSV_CCI_MODE_OPTION_2": "threshold",</t>
  </si>
  <si>
    <t>"TSV_CCI_MODE_OPTION_3": "flat_filter",</t>
  </si>
  <si>
    <t>"TSV_CCI_MODE_OPTION_4": "divergence",</t>
  </si>
  <si>
    <t>"TSV_DPB_MODE_OPTION_1": "loopback",</t>
  </si>
  <si>
    <t>"TSV_DPB_MODE_OPTION_2": "basic",</t>
  </si>
  <si>
    <t>"TSV_DPB_LOOKBACK": 3,</t>
  </si>
  <si>
    <t>"TSV_DPB_MIN_MATCHES": 1,</t>
  </si>
  <si>
    <t xml:space="preserve">"TSV_MAX_TRADES_PER_SESSION": 8, </t>
  </si>
  <si>
    <t>"TSV_MACD_MODE_OPTION_1": "histogram",</t>
  </si>
  <si>
    <t>"TSV_MACD_MODE_OPTION_2": "crossover",</t>
  </si>
  <si>
    <t>"TSV_MACD_MODE_OPTION_3": "flex",</t>
  </si>
  <si>
    <t>"TSV_OC_BODY_COUNT": 3,</t>
  </si>
  <si>
    <t>"TSV_PSAR_MODE_OPTION_1": "and",</t>
  </si>
  <si>
    <t>"TSV_PSAR_MODE_OPTION_2": "or",</t>
  </si>
  <si>
    <t>"TSV_PSAR_FLIP_COUNT_LOOPBACK": 4,</t>
  </si>
  <si>
    <t>"TSV_RSI_MODE_OPTION_1": "classic",</t>
  </si>
  <si>
    <t>"TSV_RSI_MODE_OPTION_2": "flat_filter",</t>
  </si>
  <si>
    <t>"TSV_RSI_MODE_OPTION_3": "flex",</t>
  </si>
  <si>
    <t>"trade_execution": {</t>
  </si>
  <si>
    <t>"pip_settings": {</t>
  </si>
  <si>
    <t xml:space="preserve">"sl_pip_tf_min": { </t>
  </si>
  <si>
    <t xml:space="preserve">"M1": 5, "M5": 7, "M15": 8, "M30": 9, "H1": 10, "H2": 15, "H4": 20, "D1": 25 </t>
  </si>
  <si>
    <t>"psar_settings": {</t>
  </si>
  <si>
    <t>"sl_psar_pip_tf_buffer": { "M1": 1, "M5": 1, "M15": 2, "M30": 2, "H1": 2, "H2": 2, "H4": 2, "D1": 2 }</t>
  </si>
  <si>
    <t>"sl_psar_pip_tf_init": { "M1": 1, "M5": 2, "M15": 2, "M30": 2, "H1": 2, "H2": 10, "H4": 12, "D1": 16 },</t>
  </si>
  <si>
    <t>M15</t>
  </si>
  <si>
    <t>2024: 01</t>
  </si>
  <si>
    <t>02.1</t>
  </si>
  <si>
    <t>02.2</t>
  </si>
  <si>
    <t>02.3</t>
  </si>
  <si>
    <t>02.4</t>
  </si>
  <si>
    <t>02.5</t>
  </si>
  <si>
    <t>02.6</t>
  </si>
  <si>
    <t>PSAR step</t>
  </si>
  <si>
    <t>PSAR max.step</t>
  </si>
  <si>
    <t>CCI period</t>
  </si>
  <si>
    <t>CCI threshold.upper</t>
  </si>
  <si>
    <t>CCI threshold.lower</t>
  </si>
  <si>
    <t>Session</t>
  </si>
  <si>
    <t>LDN,NY,TKY</t>
  </si>
  <si>
    <t>02.7</t>
  </si>
  <si>
    <t>02.8</t>
  </si>
  <si>
    <t>02.9</t>
  </si>
  <si>
    <t>MACD slope</t>
  </si>
  <si>
    <t>Loss</t>
  </si>
  <si>
    <t>BE</t>
  </si>
  <si>
    <t>Summary Table</t>
  </si>
  <si>
    <t>RR</t>
  </si>
  <si>
    <t>ROE (%)</t>
  </si>
  <si>
    <t>Max DD (%)</t>
  </si>
  <si>
    <t>Trail Wins</t>
  </si>
  <si>
    <t>TP Wins</t>
  </si>
  <si>
    <t>Equity</t>
  </si>
  <si>
    <t>histogram</t>
  </si>
  <si>
    <t>crossover</t>
  </si>
  <si>
    <t>flex</t>
  </si>
  <si>
    <t>02.10</t>
  </si>
  <si>
    <t>02.11</t>
  </si>
  <si>
    <t>02.12</t>
  </si>
  <si>
    <t>02.13</t>
  </si>
  <si>
    <t>02.14</t>
  </si>
  <si>
    <t>02.15</t>
  </si>
  <si>
    <t>02.16</t>
  </si>
  <si>
    <t>02.17</t>
  </si>
  <si>
    <t>02.18</t>
  </si>
  <si>
    <t>02.19</t>
  </si>
  <si>
    <t>Capital</t>
  </si>
  <si>
    <t>EMA</t>
  </si>
  <si>
    <t>indicators</t>
  </si>
  <si>
    <t>hhll_distance</t>
  </si>
  <si>
    <t>lookback</t>
  </si>
  <si>
    <t>02.20</t>
  </si>
  <si>
    <t>02.21</t>
  </si>
  <si>
    <t>02.22</t>
  </si>
  <si>
    <t>02.23</t>
  </si>
  <si>
    <t>02.24</t>
  </si>
  <si>
    <t>02.25</t>
  </si>
  <si>
    <t>period</t>
  </si>
  <si>
    <t>threshold.upper</t>
  </si>
  <si>
    <t>threshold.lower</t>
  </si>
  <si>
    <t>imt_settings</t>
  </si>
  <si>
    <t>02.26</t>
  </si>
  <si>
    <t>02.27</t>
  </si>
  <si>
    <t>body_count</t>
  </si>
  <si>
    <t>limit_factor</t>
  </si>
  <si>
    <t>limit_candles</t>
  </si>
  <si>
    <t>tm_settings</t>
  </si>
  <si>
    <t>tp_sl_rr</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</si>
  <si>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</si>
  <si>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</si>
  <si>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</si>
  <si>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</si>
  <si>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</si>
  <si>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</si>
  <si>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</si>
  <si>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</si>
  <si>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</si>
  <si>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</si>
  <si>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</si>
  <si>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</si>
  <si>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</si>
  <si>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</si>
  <si>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</si>
  <si>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</si>
  <si>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</si>
  <si>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</si>
  <si>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</si>
  <si>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</si>
  <si>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</si>
  <si>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</si>
  <si>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</si>
  <si>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</si>
  <si>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</si>
  <si>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</si>
  <si>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</si>
  <si>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</si>
  <si>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</si>
  <si>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</si>
  <si>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</si>
  <si>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</si>
  <si>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</si>
  <si>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</si>
  <si>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</si>
  <si>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</si>
  <si>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</si>
  <si>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</si>
  <si>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</si>
  <si>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</si>
  <si>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</si>
  <si>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</si>
  <si>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</si>
  <si>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</si>
  <si>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</si>
  <si>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</si>
  <si>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</si>
  <si>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</si>
  <si>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</si>
  <si>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</si>
  <si>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</si>
  <si>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_sessions</t>
  </si>
  <si>
    <t>ist_settings</t>
  </si>
  <si>
    <t>manual_its</t>
  </si>
  <si>
    <t>selected_profile</t>
  </si>
  <si>
    <t>near_extreme_zone</t>
  </si>
  <si>
    <t>threshold</t>
  </si>
  <si>
    <t>Tested</t>
  </si>
  <si>
    <t>No.</t>
  </si>
  <si>
    <t>factor</t>
  </si>
  <si>
    <t>fast</t>
  </si>
  <si>
    <t>slow</t>
  </si>
  <si>
    <t>signal</t>
  </si>
  <si>
    <t>step</t>
  </si>
  <si>
    <t>max_step</t>
  </si>
  <si>
    <t>TSV_MACD_MODE</t>
  </si>
  <si>
    <t>TSV_MACD_SLOPE_MIN</t>
  </si>
  <si>
    <t>TOGGLE</t>
  </si>
  <si>
    <t>ATR</t>
  </si>
  <si>
    <t>DPB</t>
  </si>
  <si>
    <t>ENTRY</t>
  </si>
  <si>
    <t>OC</t>
  </si>
  <si>
    <t>MODE</t>
  </si>
  <si>
    <t>and</t>
  </si>
  <si>
    <t>FLIP_COUNT_LOOKBACK</t>
  </si>
  <si>
    <t>all</t>
  </si>
  <si>
    <t>01.1</t>
  </si>
  <si>
    <t>01.2</t>
  </si>
  <si>
    <t>01.3</t>
  </si>
  <si>
    <t>01.4</t>
  </si>
  <si>
    <t>01.5</t>
  </si>
  <si>
    <t>01.6</t>
  </si>
  <si>
    <t>RESULTS</t>
  </si>
  <si>
    <t>or</t>
  </si>
  <si>
    <t>03.1.1</t>
  </si>
  <si>
    <t>03.1.2</t>
  </si>
  <si>
    <t>03.1.3</t>
  </si>
  <si>
    <t>03.1.4</t>
  </si>
  <si>
    <t>03.2.1</t>
  </si>
  <si>
    <t>03.2.2</t>
  </si>
  <si>
    <t>03.2.3</t>
  </si>
  <si>
    <t>03.3.1</t>
  </si>
  <si>
    <t>03.3.2</t>
  </si>
  <si>
    <t>03.3.3</t>
  </si>
  <si>
    <t>03.3.4</t>
  </si>
  <si>
    <t>03.3.5</t>
  </si>
  <si>
    <t>03.3.6</t>
  </si>
  <si>
    <t>03.3.7</t>
  </si>
  <si>
    <t>03.4.1</t>
  </si>
  <si>
    <t>03.4.2</t>
  </si>
  <si>
    <t>03.4.3</t>
  </si>
  <si>
    <t>03.4.4</t>
  </si>
  <si>
    <t>03.4.5</t>
  </si>
  <si>
    <t>03.4.6</t>
  </si>
  <si>
    <t>03.4.7</t>
  </si>
  <si>
    <t>03.4.8</t>
  </si>
  <si>
    <t>WINDOW</t>
  </si>
  <si>
    <t>FACTOR</t>
  </si>
  <si>
    <t>THRESHOLD</t>
  </si>
  <si>
    <t>03.5.1</t>
  </si>
  <si>
    <t>03.5.2</t>
  </si>
  <si>
    <t>03.5.3</t>
  </si>
  <si>
    <t>03.5.4</t>
  </si>
  <si>
    <t>03.5.5</t>
  </si>
  <si>
    <t>03.5.6</t>
  </si>
  <si>
    <t>03.5.7</t>
  </si>
  <si>
    <t>03.5.8</t>
  </si>
  <si>
    <t>Summary Table: Recommended Config Adjustments vs. USDJPY (Including AUDUSD)</t>
  </si>
  <si>
    <t>atr_factor</t>
  </si>
  <si>
    <t>Session Filter</t>
  </si>
  <si>
    <t>Filter Strictness</t>
  </si>
  <si>
    <t>LDN, NY, TKY</t>
  </si>
  <si>
    <t>Baseline</t>
  </si>
  <si>
    <t>Baseline, current optimal config</t>
  </si>
  <si>
    <t>EURJPY</t>
  </si>
  <si>
    <t>Slightly higher ATR and distance due to volatility</t>
  </si>
  <si>
    <t>EURUSD</t>
  </si>
  <si>
    <t>LDN, NY (only)</t>
  </si>
  <si>
    <t>Higher</t>
  </si>
  <si>
    <t>Lower volatility, higher noise</t>
  </si>
  <si>
    <t>GBPUSD</t>
  </si>
  <si>
    <t>Most volatile, filter out more noise</t>
  </si>
  <si>
    <t>AUDUSD</t>
  </si>
  <si>
    <t>LDN, NY, SYD (if used)</t>
  </si>
  <si>
    <t>Medium-High</t>
  </si>
  <si>
    <t>ADR and noise between EURUSD and GBPUSD</t>
  </si>
  <si>
    <t>Adjustment Logic:</t>
  </si>
  <si>
    <r>
      <t>atr_factor</t>
    </r>
    <r>
      <rPr>
        <sz val="12"/>
        <color theme="1"/>
        <rFont val="Aptos Narrow"/>
        <family val="2"/>
        <scheme val="minor"/>
      </rPr>
      <t>: Scales all SL/TP/trailing based on recent ATR/ADR of the pair</t>
    </r>
  </si>
  <si>
    <r>
      <t>tp_sl_rr</t>
    </r>
    <r>
      <rPr>
        <sz val="12"/>
        <color theme="1"/>
        <rFont val="Aptos Narrow"/>
        <family val="2"/>
        <scheme val="minor"/>
      </rPr>
      <t>: Increases reward/risk to account for more noise/chop</t>
    </r>
  </si>
  <si>
    <r>
      <t>hhll_distance</t>
    </r>
    <r>
      <rPr>
        <sz val="12"/>
        <color theme="1"/>
        <rFont val="Aptos Narrow"/>
        <family val="2"/>
        <scheme val="minor"/>
      </rPr>
      <t>: Raises required recent high/low distance for signal validity</t>
    </r>
  </si>
  <si>
    <r>
      <t>Session</t>
    </r>
    <r>
      <rPr>
        <sz val="12"/>
        <color theme="1"/>
        <rFont val="Aptos Narrow"/>
        <family val="2"/>
        <scheme val="minor"/>
      </rPr>
      <t>: Trade only in liquid sessions for each pair (SYD = Sydney for AUD)</t>
    </r>
  </si>
  <si>
    <r>
      <t>Filter Strictness</t>
    </r>
    <r>
      <rPr>
        <sz val="12"/>
        <color theme="1"/>
        <rFont val="Aptos Narrow"/>
        <family val="2"/>
        <scheme val="minor"/>
      </rPr>
      <t>: Use stricter entry/confirmation on noisier pairs</t>
    </r>
  </si>
  <si>
    <t>AUDUSD Rationale:</t>
  </si>
  <si>
    <t>Less volatile than GBPUSD, more than EURUSD, but with unique Sydney/Asia session action</t>
  </si>
  <si>
    <t>Can trend well in Asia, but frequently mean-reverts in LDN/NY</t>
  </si>
  <si>
    <t>Recommended to start with values between EURUSD and GBPUSD and adjust after seeing out-of-sample results</t>
  </si>
  <si>
    <t>If you want, I can generate the exact JSON config patch for all these pairs for you.</t>
  </si>
  <si>
    <t>Let me know if you want all, or just a subset.</t>
  </si>
  <si>
    <t>Recommended Adjustment vs. USDJPY</t>
  </si>
  <si>
    <t>Baseline (current optimal config)</t>
  </si>
  <si>
    <t>+0.2 atr_factor, +0.3 tp_sl_rr, +10 hhll_distance</t>
  </si>
  <si>
    <t>+0.5 atr_factor, +0.5 tp_sl_rr, +15 hhll_distance</t>
  </si>
  <si>
    <t>+0.7 atr_factor, +0.7 tp_sl_rr, +20 hhll_distance</t>
  </si>
  <si>
    <t>Acknowledged.</t>
  </si>
  <si>
    <r>
      <t xml:space="preserve">Let’s update the summary with the exact </t>
    </r>
    <r>
      <rPr>
        <b/>
        <sz val="12"/>
        <color theme="1"/>
        <rFont val="Aptos Narrow"/>
        <family val="2"/>
        <scheme val="minor"/>
      </rPr>
      <t>USDJPY baseline</t>
    </r>
    <r>
      <rPr>
        <sz val="12"/>
        <color theme="1"/>
        <rFont val="Aptos Narrow"/>
        <family val="2"/>
        <scheme val="minor"/>
      </rPr>
      <t xml:space="preserve"> and shift recommendations accordingly for the other pairs.</t>
    </r>
  </si>
  <si>
    <t>Summary Table: Signal Filtering Configs by Pair (USDJPY Baseline at 0.5 ATR, 1.5 RR, 34 hhll_distance)</t>
  </si>
  <si>
    <t>Optimal; current production values</t>
  </si>
  <si>
    <t>+0.2 ATR, +0.2 RR</t>
  </si>
  <si>
    <t>Modestly higher ATR for slightly higher volatility</t>
  </si>
  <si>
    <t>+0.3 ATR, +0.3 RR</t>
  </si>
  <si>
    <t>More noise, less directional, increase filter strictness</t>
  </si>
  <si>
    <t>+0.5 ATR, +0.5 RR</t>
  </si>
  <si>
    <t>Most volatile, require stronger confirmation</t>
  </si>
  <si>
    <t>Volatility and session overlap between EUR and GBP</t>
  </si>
  <si>
    <t>Adjustment Notes:</t>
  </si>
  <si>
    <r>
      <t xml:space="preserve">All non-USDJPY pairs should increase </t>
    </r>
    <r>
      <rPr>
        <i/>
        <sz val="12"/>
        <color theme="1"/>
        <rFont val="Aptos Narrow"/>
        <family val="2"/>
        <scheme val="minor"/>
      </rPr>
      <t>atr_factor</t>
    </r>
    <r>
      <rPr>
        <sz val="12"/>
        <color theme="1"/>
        <rFont val="Aptos Narrow"/>
        <family val="2"/>
        <scheme val="minor"/>
      </rPr>
      <t xml:space="preserve">, </t>
    </r>
    <r>
      <rPr>
        <i/>
        <sz val="12"/>
        <color theme="1"/>
        <rFont val="Aptos Narrow"/>
        <family val="2"/>
        <scheme val="minor"/>
      </rPr>
      <t>tp_sl_rr</t>
    </r>
    <r>
      <rPr>
        <sz val="12"/>
        <color theme="1"/>
        <rFont val="Aptos Narrow"/>
        <family val="2"/>
        <scheme val="minor"/>
      </rPr>
      <t xml:space="preserve">, and </t>
    </r>
    <r>
      <rPr>
        <i/>
        <sz val="12"/>
        <color theme="1"/>
        <rFont val="Aptos Narrow"/>
        <family val="2"/>
        <scheme val="minor"/>
      </rPr>
      <t>hhll_distance</t>
    </r>
    <r>
      <rPr>
        <sz val="12"/>
        <color theme="1"/>
        <rFont val="Aptos Narrow"/>
        <family val="2"/>
        <scheme val="minor"/>
      </rPr>
      <t xml:space="preserve"> proportionally to their historical volatility and mean reversion.</t>
    </r>
  </si>
  <si>
    <r>
      <t>Session Filter</t>
    </r>
    <r>
      <rPr>
        <sz val="12"/>
        <color theme="1"/>
        <rFont val="Aptos Narrow"/>
        <family val="2"/>
        <scheme val="minor"/>
      </rPr>
      <t>: LDN/NY only for European pairs; AUDUSD can include Sydney, but consider disabling Tokyo for more stability.</t>
    </r>
  </si>
  <si>
    <r>
      <t>Filter Strictness</t>
    </r>
    <r>
      <rPr>
        <sz val="12"/>
        <color theme="1"/>
        <rFont val="Aptos Narrow"/>
        <family val="2"/>
        <scheme val="minor"/>
      </rPr>
      <t>: These are minimum increments; fine-tune per out-of-sample performance.</t>
    </r>
  </si>
  <si>
    <t>Example JSON Config Patch for AUDUSD</t>
  </si>
  <si>
    <r>
      <t xml:space="preserve">(Assuming keys: </t>
    </r>
    <r>
      <rPr>
        <i/>
        <sz val="10"/>
        <color theme="1"/>
        <rFont val="Arial Unicode MS"/>
        <family val="2"/>
      </rPr>
      <t>"atr_factor"</t>
    </r>
    <r>
      <rPr>
        <i/>
        <sz val="12"/>
        <color theme="1"/>
        <rFont val="Aptos Narrow"/>
        <family val="2"/>
        <scheme val="minor"/>
      </rPr>
      <t xml:space="preserve">, </t>
    </r>
    <r>
      <rPr>
        <i/>
        <sz val="10"/>
        <color theme="1"/>
        <rFont val="Arial Unicode MS"/>
        <family val="2"/>
      </rPr>
      <t>"tp_sl_rr"</t>
    </r>
    <r>
      <rPr>
        <i/>
        <sz val="12"/>
        <color theme="1"/>
        <rFont val="Aptos Narrow"/>
        <family val="2"/>
        <scheme val="minor"/>
      </rPr>
      <t xml:space="preserve">, </t>
    </r>
    <r>
      <rPr>
        <i/>
        <sz val="10"/>
        <color theme="1"/>
        <rFont val="Arial Unicode MS"/>
        <family val="2"/>
      </rPr>
      <t>"hhll_distance"</t>
    </r>
    <r>
      <rPr>
        <i/>
        <sz val="12"/>
        <color theme="1"/>
        <rFont val="Aptos Narrow"/>
        <family val="2"/>
        <scheme val="minor"/>
      </rPr>
      <t xml:space="preserve">, </t>
    </r>
    <r>
      <rPr>
        <i/>
        <sz val="10"/>
        <color theme="1"/>
        <rFont val="Arial Unicode MS"/>
        <family val="2"/>
      </rPr>
      <t>"session_filter"</t>
    </r>
    <r>
      <rPr>
        <i/>
        <sz val="12"/>
        <color theme="1"/>
        <rFont val="Aptos Narrow"/>
        <family val="2"/>
        <scheme val="minor"/>
      </rPr>
      <t>)</t>
    </r>
  </si>
  <si>
    <t>json</t>
  </si>
  <si>
    <t>CopyEdit</t>
  </si>
  <si>
    <t>"AUDUSD": {</t>
  </si>
  <si>
    <t xml:space="preserve">  "atr_factor": 0.8,</t>
  </si>
  <si>
    <t xml:space="preserve">  "tp_sl_rr": 1.8,</t>
  </si>
  <si>
    <t xml:space="preserve">  "hhll_distance": 42,</t>
  </si>
  <si>
    <t xml:space="preserve">  "session_filter": ["LDN", "NY", "SYD"]</t>
  </si>
  <si>
    <t>Recommendation for System Alignment</t>
  </si>
  <si>
    <r>
      <t xml:space="preserve">Use the above increments for each pair, maintaining </t>
    </r>
    <r>
      <rPr>
        <b/>
        <sz val="12"/>
        <color theme="1"/>
        <rFont val="Aptos Narrow"/>
        <family val="2"/>
        <scheme val="minor"/>
      </rPr>
      <t>USDJPY as the control</t>
    </r>
    <r>
      <rPr>
        <sz val="12"/>
        <color theme="1"/>
        <rFont val="Aptos Narrow"/>
        <family val="2"/>
        <scheme val="minor"/>
      </rPr>
      <t>.</t>
    </r>
  </si>
  <si>
    <r>
      <t xml:space="preserve">You must tune </t>
    </r>
    <r>
      <rPr>
        <sz val="10"/>
        <color theme="1"/>
        <rFont val="Arial Unicode MS"/>
        <family val="2"/>
      </rPr>
      <t>"atr_factor"</t>
    </r>
    <r>
      <rPr>
        <sz val="12"/>
        <color theme="1"/>
        <rFont val="Aptos Narrow"/>
        <family val="2"/>
        <scheme val="minor"/>
      </rPr>
      <t xml:space="preserve"> and related risk/entry parameters in your strategy config for </t>
    </r>
    <r>
      <rPr>
        <b/>
        <sz val="12"/>
        <color theme="1"/>
        <rFont val="Aptos Narrow"/>
        <family val="2"/>
        <scheme val="minor"/>
      </rPr>
      <t>each pair</t>
    </r>
    <r>
      <rPr>
        <sz val="12"/>
        <color theme="1"/>
        <rFont val="Aptos Narrow"/>
        <family val="2"/>
        <scheme val="minor"/>
      </rPr>
      <t xml:space="preserve"> explicitly in </t>
    </r>
    <r>
      <rPr>
        <sz val="10"/>
        <color theme="1"/>
        <rFont val="Arial Unicode MS"/>
        <family val="2"/>
      </rPr>
      <t>rrm_settings.json</t>
    </r>
    <r>
      <rPr>
        <sz val="12"/>
        <color theme="1"/>
        <rFont val="Aptos Narrow"/>
        <family val="2"/>
        <scheme val="minor"/>
      </rPr>
      <t xml:space="preserve"> or related per-pair override, as code currently does not auto-normalize for pair volatility.</t>
    </r>
  </si>
  <si>
    <t>To make other pairs behave like USDJPY, lower their ATR/SL/TP scaling and increase signal strictness—however, this may reduce their trade frequency and total returns.</t>
  </si>
  <si>
    <t>If you want a ready-to-paste JSON or patch for all pairs, just confirm.</t>
  </si>
  <si>
    <t>If you have other pairs or config keys, specify and I’ll include them.</t>
  </si>
  <si>
    <t>Let me know how you want to proceed!</t>
  </si>
  <si>
    <t>Q : note that for current USDJPY config optimal settings are: atr_factor: 0.5, tp_sl_rr: 1.5, hhll_distance: 34</t>
  </si>
  <si>
    <t>rrm-backtest-f1-x4_v4_20250707-0847 MOD-IMT-VIS-ITS-TM-CM-RC-Testing for EA MT5 - Lot Calc Resolved</t>
  </si>
  <si>
    <t>(venv) ms@ms-MacBook-Pro MSZ_FX % python rrm_f1_00_run_batch_v04.py USDJPY M15-24-01-12</t>
  </si>
  <si>
    <t>[DEBUG run_batch] 🔁 Running pipeline for USDJPY/M15-24-01-12</t>
  </si>
  <si>
    <t>[DEBUG run_batch] ▶️  MOD → rrm_f1_04_mod_cli.py USDJPY M15-24-01-12</t>
  </si>
  <si>
    <t>[DEBUG run_batch] ▶️  IMT → rrm_f1_14_imt_cli.py USDJPY M15-24-01-12 --settings rrm_settings.json</t>
  </si>
  <si>
    <t>[DEBUG run_batch] ▶️  VIS → rrm_f1_24_vis_cli.py USDJPY M15-24-01-12</t>
  </si>
  <si>
    <t>[DEBUG run_batch] ▶️  ITS → rrm_f1_34_its_cli.py USDJPY M15-24-01-12 --settings rrm_settings.json</t>
  </si>
  <si>
    <t>[DEBUG run_batch] ▶️  TM → rrm_f1_44_tm_cli.py USDJPY M15-24-01-12 --settings rrm_settings.json</t>
  </si>
  <si>
    <t>…</t>
  </si>
  <si>
    <t>[DEBUG run_batch] ▶️  CM → rrm_f1_54_cm_cli.py USDJPY M15-24-01-12 --settings rrm_settings.json</t>
  </si>
  <si>
    <t>[DEBUG run_batch] ▶️  RC → rrm_f1_64_rc_cli.py USDJPY M15-24-01-12 --settings rrm_settings.json</t>
  </si>
  <si>
    <t>[DEBUG metrics] 📅 Datetime          : 2025-07-07T00:38:34.163540</t>
  </si>
  <si>
    <t>[DEBUG metrics] 🔢 Run ID            : 312a9ae0-361c-486b-9639-f5123a11e85d</t>
  </si>
  <si>
    <t>[DEBUG metrics] 💱 Pair / TF         : USDJPY / M15-24-01-12</t>
  </si>
  <si>
    <t>[DEBUG metrics] 🔎 TS / TE           : 1629 / 1654</t>
  </si>
  <si>
    <t>[DEBUG metrics] 📈 Trades (T/W/L/BE) : 1654 / 1010 / 160 / 484</t>
  </si>
  <si>
    <t>[DEBUG metrics]   └─ Wins  (TP/Trail): 176 / 834</t>
  </si>
  <si>
    <t>[DEBUG metrics]   └─ Loss  (SL/Trail): 160 / 0</t>
  </si>
  <si>
    <t>[DEBUG metrics]   └─ BE       (Trail): 483</t>
  </si>
  <si>
    <t>[DEBUG metrics] ✅ Win Rate          : 61.10%</t>
  </si>
  <si>
    <t>[DEBUG metrics] ❌ Loss Rate         : 9.70%</t>
  </si>
  <si>
    <t>[DEBUG metrics] 💰 Net Profit (USD)  : 73205.37</t>
  </si>
  <si>
    <t>[DEBUG metrics] 📉 Gross Loss (USD)  : -16118.58</t>
  </si>
  <si>
    <t>[DEBUG metrics] 📊 Profit Factor     : 5.54</t>
  </si>
  <si>
    <t>[DEBUG metrics] 🔁 Expectancy        : 44.26</t>
  </si>
  <si>
    <t>[DEBUG metrics] 📊 RR Gain Init      : 1.50</t>
  </si>
  <si>
    <t>[DEBUG metrics] 📊 RR Gain Avg       : 0.66</t>
  </si>
  <si>
    <t>[DEBUG metrics] 📊 RR Gain Median    : 0.52</t>
  </si>
  <si>
    <t>[DEBUG metrics] 📏 Pip Net           : 14285.80</t>
  </si>
  <si>
    <t>[DEBUG metrics] 📏 Pip Avg           : 14.14</t>
  </si>
  <si>
    <t>[DEBUG metrics] 📏 Pip Std           : 13.92</t>
  </si>
  <si>
    <t>[DEBUG metrics] 💎 Final Equity      : 74205.37</t>
  </si>
  <si>
    <t>[DEBUG metrics] 📈 Peak Equity       : 74205.37</t>
  </si>
  <si>
    <t>[DEBUG metrics] 📈 Return on Equity  : 7320.54%</t>
  </si>
  <si>
    <t>[DEBUG metrics] 📈 Capital Util (%)  : 7320.54%</t>
  </si>
  <si>
    <t>[DEBUG metrics] 📉 Max Drawdown (%)  : -5.47%</t>
  </si>
  <si>
    <t>(venv) ms@ms-MacBook-Pro MSZ_FX % python rrm_f1_00_run_batch_v04.py AUDUSD M15-24-01-12</t>
  </si>
  <si>
    <t>[DEBUG run_batch] 🔁 Running pipeline for AUDUSD/M15-24-01-12</t>
  </si>
  <si>
    <t>[DEBUG run_batch] ▶️  MOD → rrm_f1_04_mod_cli.py AUDUSD M15-24-01-12</t>
  </si>
  <si>
    <t>[DEBUG run_batch] ▶️  IMT → rrm_f1_14_imt_cli.py AUDUSD M15-24-01-12 --settings rrm_settings.json</t>
  </si>
  <si>
    <t>[DEBUG run_batch] ▶️  VIS → rrm_f1_24_vis_cli.py AUDUSD M15-24-01-12</t>
  </si>
  <si>
    <t>[DEBUG run_batch] ▶️  ITS → rrm_f1_34_its_cli.py AUDUSD M15-24-01-12 --settings rrm_settings.json</t>
  </si>
  <si>
    <t>[DEBUG run_batch] ▶️  TM → rrm_f1_44_tm_cli.py AUDUSD M15-24-01-12 --settings rrm_settings.json</t>
  </si>
  <si>
    <t>[DEBUG run_batch] ▶️  CM → rrm_f1_54_cm_cli.py AUDUSD M15-24-01-12 --settings rrm_settings.json</t>
  </si>
  <si>
    <t>[DEBUG run_batch] ▶️  RC → rrm_f1_64_rc_cli.py AUDUSD M15-24-01-12 --settings rrm_settings.json</t>
  </si>
  <si>
    <t>[DEBUG metrics] 📅 Datetime          : 2025-07-07T00:40:14.140010</t>
  </si>
  <si>
    <t>[DEBUG metrics] 🔢 Run ID            : 0153a787-b516-44ba-bcca-c121b16d547e</t>
  </si>
  <si>
    <t>[DEBUG metrics] 💱 Pair / TF         : AUDUSD / M15-24-01-12</t>
  </si>
  <si>
    <t>[DEBUG metrics] 🔎 TS / TE           : 1442 / 1048</t>
  </si>
  <si>
    <t>[DEBUG metrics] 📈 Trades (T/W/L/BE) : 1048 / 608 / 69 / 371</t>
  </si>
  <si>
    <t>[DEBUG metrics]   └─ Wins  (TP/Trail): 56 / 552</t>
  </si>
  <si>
    <t>[DEBUG metrics]   └─ Loss  (SL/Trail): 69 / 0</t>
  </si>
  <si>
    <t>[DEBUG metrics]   └─ BE       (Trail): 371</t>
  </si>
  <si>
    <t>[DEBUG metrics] ✅ Win Rate          : 58.00%</t>
  </si>
  <si>
    <t>[DEBUG metrics] ❌ Loss Rate         : 6.60%</t>
  </si>
  <si>
    <t>[DEBUG metrics] 💰 Net Profit (USD)  : 34929.43</t>
  </si>
  <si>
    <t>[DEBUG metrics] 📉 Gross Loss (USD)  : -6315.83</t>
  </si>
  <si>
    <t>[DEBUG metrics] 📊 Profit Factor     : 6.53</t>
  </si>
  <si>
    <t>[DEBUG metrics] 🔁 Expectancy        : 33.33</t>
  </si>
  <si>
    <t>[DEBUG metrics] 📊 RR Gain Avg       : 0.57</t>
  </si>
  <si>
    <t>[DEBUG metrics] 📊 RR Gain Median    : 0.44</t>
  </si>
  <si>
    <t>[DEBUG metrics] 📏 Pip Net           : 4002.20</t>
  </si>
  <si>
    <t>[DEBUG metrics] 📏 Pip Avg           : 6.58</t>
  </si>
  <si>
    <t>[DEBUG metrics] 📏 Pip Std           : 5.95</t>
  </si>
  <si>
    <t>[DEBUG metrics] 💎 Final Equity      : 35929.43</t>
  </si>
  <si>
    <t>[DEBUG metrics] 📈 Peak Equity       : 35929.43</t>
  </si>
  <si>
    <t>[DEBUG metrics] 📈 Return on Equity  : 3492.94%</t>
  </si>
  <si>
    <t>[DEBUG metrics] 📈 Capital Util (%)  : 3492.94%</t>
  </si>
  <si>
    <t>[DEBUG metrics] 📉 Max Drawdown (%)  : -3.89%</t>
  </si>
  <si>
    <t>(venv) ms@ms-MacBook-Pro MSZ_FX % python rrm_f1_00_run_batch_v04.py EURUSD M15-24-01-12</t>
  </si>
  <si>
    <t>[DEBUG run_batch] 🔁 Running pipeline for EURUSD/M15-24-01-12</t>
  </si>
  <si>
    <t>[DEBUG run_batch] ▶️  MOD → rrm_f1_04_mod_cli.py EURUSD M15-24-01-12</t>
  </si>
  <si>
    <t>[DEBUG run_batch] ▶️  IMT → rrm_f1_14_imt_cli.py EURUSD M15-24-01-12 --settings rrm_settings.json</t>
  </si>
  <si>
    <t>[DEBUG run_batch] ▶️  VIS → rrm_f1_24_vis_cli.py EURUSD M15-24-01-12</t>
  </si>
  <si>
    <t>[DEBUG run_batch] ▶️  ITS → rrm_f1_34_its_cli.py EURUSD M15-24-01-12 --settings rrm_settings.json</t>
  </si>
  <si>
    <t>[DEBUG run_batch] ▶️  TM → rrm_f1_44_tm_cli.py EURUSD M15-24-01-12 --settings rrm_settings.json</t>
  </si>
  <si>
    <t>[DEBUG run_batch] ▶️  CM → rrm_f1_54_cm_cli.py EURUSD M15-24-01-12 --settings rrm_settings.json</t>
  </si>
  <si>
    <t>[DEBUG run_batch] ▶️  RC → rrm_f1_64_rc_cli.py EURUSD M15-24-01-12 --settings rrm_settings.json</t>
  </si>
  <si>
    <t>[DEBUG metrics] 📅 Datetime          : 2025-07-07T00:44:49.938038</t>
  </si>
  <si>
    <t>[DEBUG metrics] 🔢 Run ID            : 19d3a91e-48c9-4a4e-a704-f30e3af308e8</t>
  </si>
  <si>
    <t>[DEBUG metrics] 💱 Pair / TF         : EURUSD / M15-24-01-12</t>
  </si>
  <si>
    <t>[DEBUG metrics] 🔎 TS / TE           : 1342 / 1073</t>
  </si>
  <si>
    <t>[DEBUG metrics] 📈 Trades (T/W/L/BE) : 1073 / 642 / 82 / 349</t>
  </si>
  <si>
    <t>[DEBUG metrics]   └─ Wins  (TP/Trail): 81 / 561</t>
  </si>
  <si>
    <t>[DEBUG metrics]   └─ Loss  (SL/Trail): 82 / 0</t>
  </si>
  <si>
    <t>[DEBUG metrics]   └─ BE       (Trail): 349</t>
  </si>
  <si>
    <t>[DEBUG metrics] ✅ Win Rate          : 59.80%</t>
  </si>
  <si>
    <t>[DEBUG metrics] ❌ Loss Rate         : 7.60%</t>
  </si>
  <si>
    <t>[DEBUG metrics] 💰 Net Profit (USD)  : 38958.33</t>
  </si>
  <si>
    <t>[DEBUG metrics] 📉 Gross Loss (USD)  : -7528.78</t>
  </si>
  <si>
    <t>[DEBUG metrics] 📊 Profit Factor     : 6.17</t>
  </si>
  <si>
    <t>[DEBUG metrics] 🔁 Expectancy        : 36.31</t>
  </si>
  <si>
    <t>[DEBUG metrics] 📊 RR Gain Avg       : 0.60</t>
  </si>
  <si>
    <t>[DEBUG metrics] 📊 RR Gain Median    : 0.46</t>
  </si>
  <si>
    <t>[DEBUG metrics] 📏 Pip Net           : 4937.60</t>
  </si>
  <si>
    <t>[DEBUG metrics] 📏 Pip Avg           : 7.69</t>
  </si>
  <si>
    <t>[DEBUG metrics] 📏 Pip Std           : 7.18</t>
  </si>
  <si>
    <t>[DEBUG metrics] 💎 Final Equity      : 39958.33</t>
  </si>
  <si>
    <t>[DEBUG metrics] 📈 Peak Equity       : 39958.33</t>
  </si>
  <si>
    <t>[DEBUG metrics] 📈 Return on Equity  : 3895.83%</t>
  </si>
  <si>
    <t>[DEBUG metrics] 📈 Capital Util (%)  : 3895.83%</t>
  </si>
  <si>
    <t>[DEBUG metrics] 📉 Max Drawdown (%)  : -4.25%</t>
  </si>
  <si>
    <t>(venv) ms@ms-MacBook-Pro MSZ_FX % python rrm_f1_00_run_batch_v04.py GBPUSD M15-24-01-12</t>
  </si>
  <si>
    <t>[DEBUG run_batch] 🔁 Running pipeline for GBPUSD/M15-24-01-12</t>
  </si>
  <si>
    <t>[DEBUG run_batch] ▶️  MOD → rrm_f1_04_mod_cli.py GBPUSD M15-24-01-12</t>
  </si>
  <si>
    <t>[DEBUG run_batch] ▶️  IMT → rrm_f1_14_imt_cli.py GBPUSD M15-24-01-12 --settings rrm_settings.json</t>
  </si>
  <si>
    <t>[DEBUG run_batch] ▶️  VIS → rrm_f1_24_vis_cli.py GBPUSD M15-24-01-12</t>
  </si>
  <si>
    <t>[DEBUG run_batch] ▶️  ITS → rrm_f1_34_its_cli.py GBPUSD M15-24-01-12 --settings rrm_settings.json</t>
  </si>
  <si>
    <t>[DEBUG run_batch] ▶️  TM → rrm_f1_44_tm_cli.py GBPUSD M15-24-01-12 --settings rrm_settings.json</t>
  </si>
  <si>
    <t>[DEBUG run_batch] ▶️  CM → rrm_f1_54_cm_cli.py GBPUSD M15-24-01-12 --settings rrm_settings.json</t>
  </si>
  <si>
    <t>[DEBUG run_batch] ▶️  RC → rrm_f1_64_rc_cli.py GBPUSD M15-24-01-12 --settings rrm_settings.json</t>
  </si>
  <si>
    <t>[DEBUG metrics] 📅 Datetime          : 2025-07-07T00:47:20.958112</t>
  </si>
  <si>
    <t>[DEBUG metrics] 🔢 Run ID            : b9f0d498-c294-4635-8254-8c2a7b22f17d</t>
  </si>
  <si>
    <t>[DEBUG metrics] 💱 Pair / TF         : GBPUSD / M15-24-01-12</t>
  </si>
  <si>
    <t>[DEBUG metrics] 🔎 TS / TE           : 1439 / 1355</t>
  </si>
  <si>
    <t>[DEBUG metrics] 📈 Trades (T/W/L/BE) : 1355 / 774 / 120 / 461</t>
  </si>
  <si>
    <t>[DEBUG metrics]   └─ Wins  (TP/Trail): 105 / 669</t>
  </si>
  <si>
    <t>[DEBUG metrics]   └─ Loss  (SL/Trail): 120 / 0</t>
  </si>
  <si>
    <t>[DEBUG metrics]   └─ BE       (Trail): 460</t>
  </si>
  <si>
    <t>[DEBUG metrics] ✅ Win Rate          : 57.10%</t>
  </si>
  <si>
    <t>[DEBUG metrics] ❌ Loss Rate         : 8.90%</t>
  </si>
  <si>
    <t>[DEBUG metrics] 💰 Net Profit (USD)  : 46735.12</t>
  </si>
  <si>
    <t>[DEBUG metrics] 📉 Gross Loss (USD)  : -12338.54</t>
  </si>
  <si>
    <t>[DEBUG metrics] 📊 Profit Factor     : 4.79</t>
  </si>
  <si>
    <t>[DEBUG metrics] 🔁 Expectancy        : 34.49</t>
  </si>
  <si>
    <t>[DEBUG metrics] 📊 RR Gain Median    : 0.49</t>
  </si>
  <si>
    <t>[DEBUG metrics] 📏 Pip Net           : 6909.70</t>
  </si>
  <si>
    <t>[DEBUG metrics] 📏 Pip Avg           : 8.93</t>
  </si>
  <si>
    <t>[DEBUG metrics] 📏 Pip Std           : 7.91</t>
  </si>
  <si>
    <t>[DEBUG metrics] 💎 Final Equity      : 47735.13</t>
  </si>
  <si>
    <t>[DEBUG metrics] 📈 Peak Equity       : 47735.13</t>
  </si>
  <si>
    <t>[DEBUG metrics] 📈 Return on Equity  : 4673.51%</t>
  </si>
  <si>
    <t>[DEBUG metrics] 📈 Capital Util (%)  : 4673.51%</t>
  </si>
  <si>
    <t>[DEBUG metrics] 📉 Max Drawdown (%)  : -6.29%</t>
  </si>
  <si>
    <t>(venv) ms@ms-MacBook-Pro MSZ_FX % python rrm_f1_00_run_batch_v04.py USDJPY M5-24-01    </t>
  </si>
  <si>
    <t>[DEBUG run_batch] 🔁 Running pipeline for USDJPY/M5-24-01</t>
  </si>
  <si>
    <t>[DEBUG run_batch] ▶️  MOD → rrm_f1_04_mod_cli.py USDJPY M5-24-01</t>
  </si>
  <si>
    <t>[DEBUG run_batch] ▶️  IMT → rrm_f1_14_imt_cli.py USDJPY M5-24-01 --settings rrm_settings.json</t>
  </si>
  <si>
    <t>[DEBUG run_batch] ▶️  VIS → rrm_f1_24_vis_cli.py USDJPY M5-24-01</t>
  </si>
  <si>
    <t>[DEBUG run_batch] ▶️  ITS → rrm_f1_34_its_cli.py USDJPY M5-24-01 --settings rrm_settings.json</t>
  </si>
  <si>
    <t>[DEBUG run_batch] ▶️  TM → rrm_f1_44_tm_cli.py USDJPY M5-24-01 --settings rrm_settings.json</t>
  </si>
  <si>
    <t>[DEBUG run_batch] ▶️  CM → rrm_f1_54_cm_cli.py USDJPY M5-24-01 --settings rrm_settings.json</t>
  </si>
  <si>
    <t>[DEBUG run_batch] ▶️  RC → rrm_f1_64_rc_cli.py USDJPY M5-24-01 --settings rrm_settings.json</t>
  </si>
  <si>
    <t>[DEBUG metrics] 📅 Datetime          : 2025-07-07T00:49:37.955757</t>
  </si>
  <si>
    <t>[DEBUG metrics] 🔢 Run ID            : aba341ce-bdc9-445e-9d69-201d9ac7d675</t>
  </si>
  <si>
    <t>[DEBUG metrics] 💱 Pair / TF         : USDJPY / M5-24-01</t>
  </si>
  <si>
    <t>[DEBUG metrics] 🔎 TS / TE           : 405 / 405</t>
  </si>
  <si>
    <t>[DEBUG metrics] 📈 Trades (T/W/L/BE) : 404 / 226 / 44 / 134</t>
  </si>
  <si>
    <t>[DEBUG metrics]   └─ Wins  (TP/Trail): 30 / 196</t>
  </si>
  <si>
    <t>[DEBUG metrics]   └─ Loss  (SL/Trail): 44 / 0</t>
  </si>
  <si>
    <t>[DEBUG metrics]   └─ BE       (Trail): 134</t>
  </si>
  <si>
    <t>[DEBUG metrics] ✅ Win Rate          : 55.90%</t>
  </si>
  <si>
    <t>[DEBUG metrics] ❌ Loss Rate         : 10.90%</t>
  </si>
  <si>
    <t>[DEBUG metrics] 💰 Net Profit (USD)  : 7498.22</t>
  </si>
  <si>
    <t>[DEBUG metrics] 📉 Gross Loss (USD)  : -2517.07</t>
  </si>
  <si>
    <t>[DEBUG metrics] 📊 Profit Factor     : 3.98</t>
  </si>
  <si>
    <t>[DEBUG metrics] 🔁 Expectancy        : 18.56</t>
  </si>
  <si>
    <t>[DEBUG metrics] 📐 Sharpe Ratio      : 0.38</t>
  </si>
  <si>
    <t>[DEBUG metrics] 📊 RR Gain Avg       : 0.64</t>
  </si>
  <si>
    <t>[DEBUG metrics] 📊 RR Gain Median    : 0.51</t>
  </si>
  <si>
    <t>[DEBUG metrics] 📏 Pip Net           : 1806.30</t>
  </si>
  <si>
    <t>[DEBUG metrics] 📏 Pip Avg           : 7.99</t>
  </si>
  <si>
    <t>[DEBUG metrics] 📏 Pip Std           : 6.90</t>
  </si>
  <si>
    <t>[DEBUG metrics] 💎 Final Equity      : 8498.22</t>
  </si>
  <si>
    <t>[DEBUG metrics] 📈 Peak Equity       : 8498.22</t>
  </si>
  <si>
    <t>[DEBUG metrics] 📈 Return on Equity  : 749.82%</t>
  </si>
  <si>
    <t>[DEBUG metrics] 📈 Capital Util (%)  : 749.82%</t>
  </si>
  <si>
    <t>TSV_MACD_HIST_MIN</t>
  </si>
  <si>
    <t>TSV_PSAR_FLIP_COUNT_LOOKBACK</t>
  </si>
  <si>
    <t>TSV_TRADE_SETUP_TOGGLE</t>
  </si>
  <si>
    <t>TSV_TRADE_SETUP_MODE</t>
  </si>
  <si>
    <t>TRADE</t>
  </si>
  <si>
    <t>TSV_TRSDE_SETUP_EMS_TOLLERANCE</t>
  </si>
  <si>
    <t>enabled</t>
  </si>
  <si>
    <t>constant</t>
  </si>
  <si>
    <t>mid_zone</t>
  </si>
  <si>
    <t>flat_epsilon</t>
  </si>
  <si>
    <t>dynamic_avg</t>
  </si>
  <si>
    <t>removed</t>
  </si>
  <si>
    <t>loopback</t>
  </si>
  <si>
    <t>SLOPE_FILTER</t>
  </si>
  <si>
    <t>EMA1</t>
  </si>
  <si>
    <t>EMA2</t>
  </si>
  <si>
    <t>EMA3</t>
  </si>
  <si>
    <t>EMA4</t>
  </si>
  <si>
    <t>classic</t>
  </si>
  <si>
    <t>PROFILE</t>
  </si>
  <si>
    <t>TP_SL</t>
  </si>
  <si>
    <t>ENABLED</t>
  </si>
  <si>
    <t>TRAIL</t>
  </si>
  <si>
    <t>L_P_RUN</t>
  </si>
  <si>
    <t>ACTIVATION</t>
  </si>
  <si>
    <t>LOCK</t>
  </si>
  <si>
    <t>Net</t>
  </si>
  <si>
    <t>Avg</t>
  </si>
  <si>
    <t>Median</t>
  </si>
  <si>
    <t>Pip</t>
  </si>
  <si>
    <t>Init</t>
  </si>
  <si>
    <t>M5</t>
  </si>
  <si>
    <t>04.2.1</t>
  </si>
  <si>
    <t>H1</t>
  </si>
  <si>
    <t>EMAs</t>
  </si>
  <si>
    <t>F</t>
  </si>
  <si>
    <t>Y</t>
  </si>
  <si>
    <t>04.3.1</t>
  </si>
  <si>
    <t>/</t>
  </si>
  <si>
    <t>M</t>
  </si>
  <si>
    <t>Net Pip</t>
  </si>
  <si>
    <t>04.4.1</t>
  </si>
  <si>
    <t>04.5.1</t>
  </si>
  <si>
    <t>04.6.1</t>
  </si>
  <si>
    <t>04.7.1</t>
  </si>
  <si>
    <t>04.8.1</t>
  </si>
  <si>
    <t>04.9.1</t>
  </si>
  <si>
    <t>4..23</t>
  </si>
  <si>
    <t>04.10.1</t>
  </si>
  <si>
    <t>04.11.1</t>
  </si>
  <si>
    <t>04.1.1.1</t>
  </si>
  <si>
    <t>04.1.1.2</t>
  </si>
  <si>
    <t>[DEBUG metrics] 📅 Datetime          : 2025-07-07T18:33:46.396170</t>
  </si>
  <si>
    <t>[DEBUG metrics] 🔢 Run ID            : ec0317c6-0de7-44b6-9e9b-53b3752e34b0</t>
  </si>
  <si>
    <t>[DEBUG metrics] 🔎 TS / TE           : 5173 / 4573</t>
  </si>
  <si>
    <t>[DEBUG metrics] 📈 Trades (T/W/L/BE) : 4573 / 2628 / 455 / 1490</t>
  </si>
  <si>
    <t>[DEBUG metrics]   └─ Wins  (TP/Trail): 375 / 2253</t>
  </si>
  <si>
    <t>[DEBUG metrics]   └─ Loss  (SL/Trail): 455 / 0</t>
  </si>
  <si>
    <t>[DEBUG metrics]   └─ BE       (Trail): 1489</t>
  </si>
  <si>
    <t>[DEBUG metrics] ✅ Win Rate          : 57.50%</t>
  </si>
  <si>
    <t>[DEBUG metrics] ❌ Loss Rate         : 9.90%</t>
  </si>
  <si>
    <t>[DEBUG metrics] 💰 Net Profit (USD)  : 187330.67</t>
  </si>
  <si>
    <t>[DEBUG metrics] 📉 Gross Loss (USD)  : -53037.22</t>
  </si>
  <si>
    <t>[DEBUG metrics] 📊 Profit Factor     : 4.53</t>
  </si>
  <si>
    <t>[DEBUG metrics] 🔁 Expectancy        : 40.97</t>
  </si>
  <si>
    <t>[DEBUG metrics] 📊 RR Gain Median    : 0.50</t>
  </si>
  <si>
    <t>[DEBUG metrics] 📏 Pip Net           : 22317.10</t>
  </si>
  <si>
    <t>[DEBUG metrics] 📏 Pip Avg           : 8.49</t>
  </si>
  <si>
    <t>[DEBUG metrics] 📏 Pip Std           : 10.14</t>
  </si>
  <si>
    <t>[DEBUG metrics] 💎 Final Equity      : 188330.67</t>
  </si>
  <si>
    <t>[DEBUG metrics] 📈 Peak Equity       : 188330.67</t>
  </si>
  <si>
    <t>[DEBUG metrics] 📈 Return on Equity  : 18733.07%</t>
  </si>
  <si>
    <t>[DEBUG metrics] 📈 Capital Util (%)  : 18733.07%</t>
  </si>
  <si>
    <t>(venv) ms@ms-MacBook-Pro MSZ_FX % python rrm_f1_00_run_batch_v04.py EURJPY M5-24-01-12</t>
  </si>
  <si>
    <t>[DEBUG run_batch] 🔁 Running pipeline for EURJPY/M5-24-01-12</t>
  </si>
  <si>
    <t>[DEBUG run_batch] ▶️  MOD → rrm_f1_04_mod_cli.py EURJPY M5-24-01-12</t>
  </si>
  <si>
    <t>[DEBUG run_batch] ▶️  IMT → rrm_f1_14_imt_cli.py EURJPY M5-24-01-12 --settings rrm_settings.json</t>
  </si>
  <si>
    <t>[DEBUG run_batch] ▶️  VIS → rrm_f1_24_vis_cli.py EURJPY M5-24-01-12</t>
  </si>
  <si>
    <t>[DEBUG run_batch] ▶️  ITS → rrm_f1_34_its_cli.py EURJPY M5-24-01-12 --settings rrm_settings.json</t>
  </si>
  <si>
    <t>[DEBUG run_batch] ▶️  TM → rrm_f1_44_tm_cli.py EURJPY M5-24-01-12 --settings rrm_settings.json</t>
  </si>
  <si>
    <t>[DEBUG run_batch] ▶️  CM → rrm_f1_54_cm_cli.py EURJPY M5-24-01-12 --settings rrm_settings.json</t>
  </si>
  <si>
    <t>[DEBUG run_batch] ▶️  RC → rrm_f1_64_rc_cli.py EURJPY M5-24-01-12 --settings rrm_settings.json</t>
  </si>
  <si>
    <t>[DEBUG metrics] 📅 Datetime          : 2025-07-07T18:50:14.003191</t>
  </si>
  <si>
    <t>[DEBUG metrics] 🔢 Run ID            : 85bb944d-5d6b-45f6-bde5-6186c6ed7b7f</t>
  </si>
  <si>
    <t>[DEBUG metrics] 💱 Pair / TF         : EURJPY / M5-24-01-12</t>
  </si>
  <si>
    <t>[DEBUG metrics] 🔎 TS / TE           : 4965 / 4890</t>
  </si>
  <si>
    <t>[DEBUG metrics] 📈 Trades (T/W/L/BE) : 4890 / 2877 / 496 / 1517</t>
  </si>
  <si>
    <t>[DEBUG metrics]   └─ Wins  (TP/Trail): 451 / 2426</t>
  </si>
  <si>
    <t>[DEBUG metrics]   └─ Loss  (SL/Trail): 496 / 0</t>
  </si>
  <si>
    <t>[DEBUG metrics]   └─ BE       (Trail): 1515</t>
  </si>
  <si>
    <t>[DEBUG metrics] ✅ Win Rate          : 58.80%</t>
  </si>
  <si>
    <t>[DEBUG metrics] ❌ Loss Rate         : 10.10%</t>
  </si>
  <si>
    <t>[DEBUG metrics] 💰 Net Profit (USD)  : 204527.27</t>
  </si>
  <si>
    <t>[DEBUG metrics] 📉 Gross Loss (USD)  : -59819.11</t>
  </si>
  <si>
    <t>[DEBUG metrics] 📊 Profit Factor     : 4.42</t>
  </si>
  <si>
    <t>[DEBUG metrics] 🔁 Expectancy        : 41.83</t>
  </si>
  <si>
    <t>[DEBUG metrics] 📏 Pip Net           : 24944.90</t>
  </si>
  <si>
    <t>[DEBUG metrics] 📏 Pip Avg           : 8.67</t>
  </si>
  <si>
    <t>[DEBUG metrics] 📏 Pip Std           : 10.55</t>
  </si>
  <si>
    <t>[DEBUG metrics] 💎 Final Equity      : 205527.27</t>
  </si>
  <si>
    <t>[DEBUG metrics] 📈 Peak Equity       : 205527.27</t>
  </si>
  <si>
    <t>[DEBUG metrics] 📈 Return on Equity  : 20452.73%</t>
  </si>
  <si>
    <t>[DEBUG metrics] 📈 Capital Util (%)  : 20452.73%</t>
  </si>
  <si>
    <t>[DEBUG metrics] 📉 Max Drawdown (%)  : -4.22%</t>
  </si>
  <si>
    <t>(venv) ms@ms-MacBook-Pro MSZ_FX % python rrm_f1_00_run_batch_v04.py AUDUSD M5-24-01-12</t>
  </si>
  <si>
    <t>[DEBUG run_batch] 🔁 Running pipeline for AUDUSD/M5-24-01-12</t>
  </si>
  <si>
    <t>[DEBUG run_batch] ▶️  MOD → rrm_f1_04_mod_cli.py AUDUSD M5-24-01-12</t>
  </si>
  <si>
    <t>[DEBUG run_batch] ▶️  IMT → rrm_f1_14_imt_cli.py AUDUSD M5-24-01-12 --settings rrm_settings.json</t>
  </si>
  <si>
    <t>[DEBUG run_batch] ▶️  VIS → rrm_f1_24_vis_cli.py AUDUSD M5-24-01-12</t>
  </si>
  <si>
    <t>[DEBUG run_batch] ▶️  ITS → rrm_f1_34_its_cli.py AUDUSD M5-24-01-12 --settings rrm_settings.json</t>
  </si>
  <si>
    <t>[DEBUG run_batch] ▶️  TM → rrm_f1_44_tm_cli.py AUDUSD M5-24-01-12 --settings rrm_settings.json</t>
  </si>
  <si>
    <t>[DEBUG run_batch] ▶️  CM → rrm_f1_54_cm_cli.py AUDUSD M5-24-01-12 --settings rrm_settings.json</t>
  </si>
  <si>
    <t>[DEBUG run_batch] ▶️  RC → rrm_f1_64_rc_cli.py AUDUSD M5-24-01-12 --settings rrm_settings.json</t>
  </si>
  <si>
    <t>[DEBUG metrics] 📅 Datetime          : 2025-07-07T19:02:26.927693</t>
  </si>
  <si>
    <t>[DEBUG metrics] 🔢 Run ID            : 10a98014-98a3-4c8d-9d4a-aba7179d10c1</t>
  </si>
  <si>
    <t>[DEBUG metrics] 💱 Pair / TF         : AUDUSD / M5-24-01-12</t>
  </si>
  <si>
    <t>[DEBUG metrics] 🔎 TS / TE           : 3410 / 2123</t>
  </si>
  <si>
    <t>[DEBUG metrics] 📈 Trades (T/W/L/BE) : 2123 / 1275 / 76 / 772</t>
  </si>
  <si>
    <t>[DEBUG metrics]   └─ Wins  (TP/Trail): 102 / 1173</t>
  </si>
  <si>
    <t>[DEBUG metrics]   └─ Loss  (SL/Trail): 76 / 0</t>
  </si>
  <si>
    <t>[DEBUG metrics]   └─ BE       (Trail): 772</t>
  </si>
  <si>
    <t>[DEBUG metrics] ✅ Win Rate          : 60.10%</t>
  </si>
  <si>
    <t>[DEBUG metrics] ❌ Loss Rate         : 3.60%</t>
  </si>
  <si>
    <t>[DEBUG metrics] 💰 Net Profit (USD)  : 88118.87</t>
  </si>
  <si>
    <t>[DEBUG metrics] 📉 Gross Loss (USD)  : -8175.81</t>
  </si>
  <si>
    <t>[DEBUG metrics] 📊 Profit Factor     : 11.78</t>
  </si>
  <si>
    <t>[DEBUG metrics] 🔁 Expectancy        : 41.51</t>
  </si>
  <si>
    <t>[DEBUG metrics] 📐 Sharpe Ratio      : 0.60</t>
  </si>
  <si>
    <t>[DEBUG metrics] 📊 RR Gain Avg       : 0.56</t>
  </si>
  <si>
    <t>[DEBUG metrics] 📊 RR Gain Median    : 0.45</t>
  </si>
  <si>
    <t>[DEBUG metrics] 📏 Pip Net           : 5518.00</t>
  </si>
  <si>
    <t>[DEBUG metrics] 📏 Pip Avg           : 4.33</t>
  </si>
  <si>
    <t>[DEBUG metrics] 📏 Pip Std           : 3.80</t>
  </si>
  <si>
    <t>[DEBUG metrics] 💎 Final Equity      : 89118.87</t>
  </si>
  <si>
    <t>[DEBUG metrics] 📈 Peak Equity       : 89118.87</t>
  </si>
  <si>
    <t>[DEBUG metrics] 📈 Return on Equity  : 8811.89%</t>
  </si>
  <si>
    <t>[DEBUG metrics] 📈 Capital Util (%)  : 8811.89%</t>
  </si>
  <si>
    <t>[DEBUG metrics] 📉 Max Drawdown (%)  : -4.00%</t>
  </si>
  <si>
    <t>(venv) ms@ms-MacBook-Pro MSZ_FX % python rrm_f1_00_run_batch_v04.py EURUSD M5-24-01-12</t>
  </si>
  <si>
    <t>[DEBUG run_batch] 🔁 Running pipeline for EURUSD/M5-24-01-12</t>
  </si>
  <si>
    <t>[DEBUG run_batch] ▶️  MOD → rrm_f1_04_mod_cli.py EURUSD M5-24-01-12</t>
  </si>
  <si>
    <t>[DEBUG run_batch] ▶️  IMT → rrm_f1_14_imt_cli.py EURUSD M5-24-01-12 --settings rrm_settings.json</t>
  </si>
  <si>
    <t>[DEBUG run_batch] ▶️  VIS → rrm_f1_24_vis_cli.py EURUSD M5-24-01-12</t>
  </si>
  <si>
    <t>[DEBUG run_batch] ▶️  ITS → rrm_f1_34_its_cli.py EURUSD M5-24-01-12 --settings rrm_settings.json</t>
  </si>
  <si>
    <t>[DEBUG run_batch] ▶️  TM → rrm_f1_44_tm_cli.py EURUSD M5-24-01-12 --settings rrm_settings.json</t>
  </si>
  <si>
    <t>[DEBUG run_batch] ▶️  CM → rrm_f1_54_cm_cli.py EURUSD M5-24-01-12 --settings rrm_settings.json</t>
  </si>
  <si>
    <t>[DEBUG run_batch] ▶️  RC → rrm_f1_64_rc_cli.py EURUSD M5-24-01-12 --settings rrm_settings.json</t>
  </si>
  <si>
    <t>[DEBUG metrics] 📅 Datetime          : 2025-07-07T19:33:20.387076</t>
  </si>
  <si>
    <t>[DEBUG metrics] 🔢 Run ID            : 0abbf59c-7154-48dd-8ba4-43ca7d295d87</t>
  </si>
  <si>
    <t>[DEBUG metrics] 💱 Pair / TF         : EURUSD / M5-24-01-12</t>
  </si>
  <si>
    <t>[DEBUG metrics] 🔎 TS / TE           : 3118 / 2207</t>
  </si>
  <si>
    <t>[DEBUG metrics] 📈 Trades (T/W/L/BE) : 2207 / 1305 / 125 / 777</t>
  </si>
  <si>
    <t>[DEBUG metrics]   └─ Wins  (TP/Trail): 163 / 1142</t>
  </si>
  <si>
    <t>[DEBUG metrics]   └─ Loss  (SL/Trail): 125 / 0</t>
  </si>
  <si>
    <t>[DEBUG metrics]   └─ BE       (Trail): 777</t>
  </si>
  <si>
    <t>[DEBUG metrics] ✅ Win Rate          : 59.10%</t>
  </si>
  <si>
    <t>[DEBUG metrics] ❌ Loss Rate         : 5.70%</t>
  </si>
  <si>
    <t>[DEBUG metrics] 💰 Net Profit (USD)  : 88094.30</t>
  </si>
  <si>
    <t>[DEBUG metrics] 📉 Gross Loss (USD)  : -14786.78</t>
  </si>
  <si>
    <t>[DEBUG metrics] 📊 Profit Factor     : 6.96</t>
  </si>
  <si>
    <t>[DEBUG metrics] 🔁 Expectancy        : 39.92</t>
  </si>
  <si>
    <t>[DEBUG metrics] 📊 RR Gain Avg       : 0.58</t>
  </si>
  <si>
    <t>[DEBUG metrics] 📏 Pip Net           : 6484.40</t>
  </si>
  <si>
    <t>[DEBUG metrics] 📏 Pip Avg           : 4.97</t>
  </si>
  <si>
    <t>[DEBUG metrics] 📏 Pip Std           : 4.99</t>
  </si>
  <si>
    <t>[DEBUG metrics] 💎 Final Equity      : 89094.29</t>
  </si>
  <si>
    <t>[DEBUG metrics] 📈 Peak Equity       : 89094.29</t>
  </si>
  <si>
    <t>[DEBUG metrics] 📈 Return on Equity  : 8809.43%</t>
  </si>
  <si>
    <t>[DEBUG metrics] 📈 Capital Util (%)  : 8809.43%</t>
  </si>
  <si>
    <t>[DEBUG metrics] 📉 Max Drawdown (%)  : -5.81%</t>
  </si>
  <si>
    <t>(venv) ms@ms-MacBook-Pro MSZ_FX % python rrm_f1_00_run_batch_v04.py GBPUSD M5-24-01-12</t>
  </si>
  <si>
    <t>[DEBUG run_batch] 🔁 Running pipeline for GBPUSD/M5-24-01-12</t>
  </si>
  <si>
    <t>[DEBUG run_batch] ▶️  MOD → rrm_f1_04_mod_cli.py GBPUSD M5-24-01-12</t>
  </si>
  <si>
    <t>[DEBUG run_batch] ▶️  IMT → rrm_f1_14_imt_cli.py GBPUSD M5-24-01-12 --settings rrm_settings.json</t>
  </si>
  <si>
    <t>[DEBUG run_batch] ▶️  VIS → rrm_f1_24_vis_cli.py GBPUSD M5-24-01-12</t>
  </si>
  <si>
    <t>[DEBUG run_batch] ▶️  ITS → rrm_f1_34_its_cli.py GBPUSD M5-24-01-12 --settings rrm_settings.json</t>
  </si>
  <si>
    <t>[DEBUG run_batch] ▶️  TM → rrm_f1_44_tm_cli.py GBPUSD M5-24-01-12 --settings rrm_settings.json</t>
  </si>
  <si>
    <t>[DEBUG run_batch] ▶️  CM → rrm_f1_54_cm_cli.py GBPUSD M5-24-01-12 --settings rrm_settings.json</t>
  </si>
  <si>
    <t>[DEBUG run_batch] ▶️  RC → rrm_f1_64_rc_cli.py GBPUSD M5-24-01-12 --settings rrm_settings.json</t>
  </si>
  <si>
    <t>[DEBUG metrics] 📅 Datetime          : 2025-07-07T19:46:39.072848</t>
  </si>
  <si>
    <t>[DEBUG metrics] 🔢 Run ID            : c30e9b82-1617-4f2b-ab9b-286d562a6f01</t>
  </si>
  <si>
    <t>[DEBUG metrics] 💱 Pair / TF         : GBPUSD / M5-24-01-12</t>
  </si>
  <si>
    <t>[DEBUG metrics] 🔎 TS / TE           : 3728 / 3171</t>
  </si>
  <si>
    <t>[DEBUG metrics] 📈 Trades (T/W/L/BE) : 3171 / 1884 / 213 / 1074</t>
  </si>
  <si>
    <t>[DEBUG metrics]   └─ Wins  (TP/Trail): 224 / 1660</t>
  </si>
  <si>
    <t>[DEBUG metrics]   └─ Loss  (SL/Trail): 213 / 0</t>
  </si>
  <si>
    <t>[DEBUG metrics]   └─ BE       (Trail): 1073</t>
  </si>
  <si>
    <t>[DEBUG metrics] ✅ Win Rate          : 59.40%</t>
  </si>
  <si>
    <t>[DEBUG metrics] ❌ Loss Rate         : 6.70%</t>
  </si>
  <si>
    <t>[DEBUG metrics] 💰 Net Profit (USD)  : 136800.62</t>
  </si>
  <si>
    <t>[DEBUG metrics] 📉 Gross Loss (USD)  : -24641.76</t>
  </si>
  <si>
    <t>[DEBUG metrics] 📊 Profit Factor     : 6.55</t>
  </si>
  <si>
    <t>[DEBUG metrics] 🔁 Expectancy        : 43.14</t>
  </si>
  <si>
    <t>[DEBUG metrics] 📐 Sharpe Ratio      : 0.53</t>
  </si>
  <si>
    <t>[DEBUG metrics] 📊 RR Gain Avg       : 0.61</t>
  </si>
  <si>
    <t>[DEBUG metrics] 📊 RR Gain Median    : 0.48</t>
  </si>
  <si>
    <t>[DEBUG metrics] 📏 Pip Net           : 10721.70</t>
  </si>
  <si>
    <t>[DEBUG metrics] 📏 Pip Avg           : 5.69</t>
  </si>
  <si>
    <t>[DEBUG metrics] 📏 Pip Std           : 5.08</t>
  </si>
  <si>
    <t>[DEBUG metrics] 💎 Final Equity      : 137800.62</t>
  </si>
  <si>
    <t>[DEBUG metrics] 📈 Peak Equity       : 137800.62</t>
  </si>
  <si>
    <t>[DEBUG metrics] 📈 Return on Equity  : 13680.06%</t>
  </si>
  <si>
    <t>[DEBUG metrics] 📈 Capital Util (%)  : 13680.06%</t>
  </si>
  <si>
    <t>[DEBUG metrics] 📉 Max Drawdown (%)  : -5.43%</t>
  </si>
  <si>
    <t>RRM</t>
  </si>
  <si>
    <t>BLUEPRINT</t>
  </si>
  <si>
    <t>Version</t>
  </si>
  <si>
    <t xml:space="preserve">search for buy (L - Long) trades only </t>
  </si>
  <si>
    <t>&lt;</t>
  </si>
  <si>
    <t>T*</t>
  </si>
  <si>
    <t>Legend:</t>
  </si>
  <si>
    <t>Market Types:</t>
  </si>
  <si>
    <t>U</t>
  </si>
  <si>
    <t>Emerging Market</t>
  </si>
  <si>
    <t>ULS</t>
  </si>
  <si>
    <t>U-/Long/Short</t>
  </si>
  <si>
    <t>U-</t>
  </si>
  <si>
    <t>Trending Market</t>
  </si>
  <si>
    <t>Steps:</t>
  </si>
  <si>
    <t>Check</t>
  </si>
  <si>
    <t>Steps &amp; Check:</t>
  </si>
  <si>
    <t>BTR</t>
  </si>
  <si>
    <t>STR</t>
  </si>
  <si>
    <t>Sell Trade Rules</t>
  </si>
  <si>
    <t>TER</t>
  </si>
  <si>
    <t>go to:</t>
  </si>
  <si>
    <t>?</t>
  </si>
  <si>
    <t>Action</t>
  </si>
  <si>
    <t>Comment</t>
  </si>
  <si>
    <t>Role</t>
  </si>
  <si>
    <t>EMA:</t>
  </si>
  <si>
    <t>Blueprint</t>
  </si>
  <si>
    <t>exit</t>
  </si>
  <si>
    <t>PPB</t>
  </si>
  <si>
    <t>Price Pullback</t>
  </si>
  <si>
    <t>Price Touch</t>
  </si>
  <si>
    <t>PC</t>
  </si>
  <si>
    <t>Price Close</t>
  </si>
  <si>
    <t>Then</t>
  </si>
  <si>
    <t>ABOVE</t>
  </si>
  <si>
    <t>BELOW</t>
  </si>
  <si>
    <t>wait</t>
  </si>
  <si>
    <t>Wait for the candle to close: If the PSAR is already / or switched and remain BELOW the price (at the candle close), we can ENTER THE TRADE</t>
  </si>
  <si>
    <t>Thr.</t>
  </si>
  <si>
    <t>CBE</t>
  </si>
  <si>
    <t>CBU</t>
  </si>
  <si>
    <t>Candle Bullish</t>
  </si>
  <si>
    <t>Candle Bearish</t>
  </si>
  <si>
    <t>TS Name</t>
  </si>
  <si>
    <t>TE</t>
  </si>
  <si>
    <t>Trade Entry</t>
  </si>
  <si>
    <t>entry early: acc. TS (from Step3)</t>
  </si>
  <si>
    <t>entry safe: acc. TS (from Step3)</t>
  </si>
  <si>
    <t xml:space="preserve">search for sell (S - Short) trades only </t>
  </si>
  <si>
    <t>MACD histogram change direction from + to -</t>
  </si>
  <si>
    <t>MACD histogram change direction from - to +</t>
  </si>
  <si>
    <t>we can look for a long trade if the ema_13 is on top and (ema_89 in the middle, and ema_34 at the bottom)</t>
  </si>
  <si>
    <t>we can look for a long trade if the ema_13 is on top and (ema_34 in the middle, and ema_89 at the bottom)</t>
  </si>
  <si>
    <t>we can look for a long trade if the ema_13 is at the bottom and (ema_89 in the middle, and ema_34 on top)</t>
  </si>
  <si>
    <t>we can look for a long trade if the ema_13 is at the bottom and (ema_34 in the middle, and ema_89 on top)</t>
  </si>
  <si>
    <t>price must pull back and at least touch the 34 EMA and then close ABOVE the 13 EMA and be a bullish candle CBU.</t>
  </si>
  <si>
    <t>price must pull back and at least touch the 13 EMA and then close ABOVE the 5 EMA and be a bullish candle CBU.</t>
  </si>
  <si>
    <t>price must pull back and at least touch the 89 EMA and then close ABOVE the 34 EMA and be a bullish candle CBU.</t>
  </si>
  <si>
    <t>price must pull back and at least touch the 34 EMA and then close BELOW the 13 EMA and be a bearish candle CBE.</t>
  </si>
  <si>
    <t>price must pull back and at least touch the 13 EMA and then close BELOW the 5 EMA and be a bearish candle CBE.</t>
  </si>
  <si>
    <t>price must pull back and at least touch the 89 EMA and then close BELOW the 34 EMA and be a bearish candle CBE.</t>
  </si>
  <si>
    <t>Slope</t>
  </si>
  <si>
    <t>TBD</t>
  </si>
  <si>
    <t>SL OK</t>
  </si>
  <si>
    <t>SL</t>
  </si>
  <si>
    <t>Slope OK</t>
  </si>
  <si>
    <t>Wait for the candle to close: If the PSAR is already / or switched and remain ABOVE the price (at the candle close), we can ENTER THE TRADE</t>
  </si>
  <si>
    <t>Wait for the PSAR dot side: If the PSAR is still BELOW the price, we WAIT for a touch of the dot and as the dot switches ABOVE price, we can ENTER THE TRADE.</t>
  </si>
  <si>
    <t>Wait for the PSAR dot side: If the PSAR is still ABOVE the price, we WAIT for a touch of the dot and as the dot switches BELOW price, we can ENTER THE TRADE.</t>
  </si>
  <si>
    <t>Bias</t>
  </si>
  <si>
    <t>📜 RRM_EAv01 — System Blueprint v1.0</t>
  </si>
  <si>
    <t>🧩 Step 1: MACD Evaluation</t>
  </si>
  <si>
    <t>✅ Buy Logic:</t>
  </si>
  <si>
    <t>✅ Sell Logic:</t>
  </si>
  <si>
    <t>MACD position must align with intended trade direction. Histogram divergence or “wrong side” results in immediate rejection.</t>
  </si>
  <si>
    <t>🧩 Step 2: Market Phase — EMA Classification</t>
  </si>
  <si>
    <t>Phase is determined by the relative position of four EMAs:</t>
  </si>
  <si>
    <t>Label in System</t>
  </si>
  <si>
    <t>Default Period (from spreadsheet)</t>
  </si>
  <si>
    <t>Mid</t>
  </si>
  <si>
    <t>✅ Defined Market Types</t>
  </si>
  <si>
    <t>Long Configuration</t>
  </si>
  <si>
    <t>Short Configuration</t>
  </si>
  <si>
    <t>Trending Short (TS1, TS2)</t>
  </si>
  <si>
    <t>EMA2 &gt; EMA3 &gt; EMA4 → Bullish trend</t>
  </si>
  <si>
    <t>EMA4 &gt; EMA3 &gt; EMA2 → Bearish trend</t>
  </si>
  <si>
    <t>Trending Medium (TM1, TM2)</t>
  </si>
  <si>
    <t>EMA2 &gt; EMA4 &gt; EMA3 → Bullish emerging</t>
  </si>
  <si>
    <t>EMA3 &gt; EMA4 &gt; EMA2 → Bearish emerging</t>
  </si>
  <si>
    <t>Emerging (EM1, EM2)</t>
  </si>
  <si>
    <t>EMA2 &gt; EMA4 &gt; EMA1 → Pullback in progress</t>
  </si>
  <si>
    <t>EMA1 &gt; EMA4 &gt; EMA2 → Pullback in progress</t>
  </si>
  <si>
    <t>🚫 Protective Market Types</t>
  </si>
  <si>
    <t>Definition</t>
  </si>
  <si>
    <t>UNOrdered (UNO)</t>
  </si>
  <si>
    <t>EMA3 &gt; EMA2 &gt; EMA4 (e.g. mid &gt; short &gt; long)</t>
  </si>
  <si>
    <t>❌ No Trade</t>
  </si>
  <si>
    <t>UNDefined (UND)</t>
  </si>
  <si>
    <t>Any other ambiguous, unclassified EMA stack</t>
  </si>
  <si>
    <t>🧩 Step 3: Candle Price Pullback</t>
  </si>
  <si>
    <t>Once market phase and MACD are validated:</t>
  </si>
  <si>
    <t>Setup types define the EMA to be touched:</t>
  </si>
  <si>
    <t>Setup</t>
  </si>
  <si>
    <t>EMA Pullback Requirement</t>
  </si>
  <si>
    <t>Touch EMA2 (Short: 13)</t>
  </si>
  <si>
    <t>Shark</t>
  </si>
  <si>
    <t>🧩 Step 4: Candle Type</t>
  </si>
  <si>
    <t>Post-pullback candle must show clear directional intent:</t>
  </si>
  <si>
    <t>✅ Bullish candle → closes in upper half of range, upward body</t>
  </si>
  <si>
    <t>✅ Bearish candle → closes in lower half, downward body</t>
  </si>
  <si>
    <t>Ambiguous candles (doji, reversal indecision, inside bars) invalidate setup.</t>
  </si>
  <si>
    <t>🧩 Step 5: PSAR Confirmation</t>
  </si>
  <si>
    <t>Final gating before entry:</t>
  </si>
  <si>
    <t>❌ If dot is on wrong side → wait for touch or flip on next candle</t>
  </si>
  <si>
    <t>PSAR confirms the breakout — it’s not a predictive entry signal.</t>
  </si>
  <si>
    <t>🧠 Trade Gating Summary</t>
  </si>
  <si>
    <t>For any setup to proceed:</t>
  </si>
  <si>
    <t>✅ MACD aligned</t>
  </si>
  <si>
    <t>✅ Market phase is Trending or Emerging</t>
  </si>
  <si>
    <t>✅ EMA pullback met</t>
  </si>
  <si>
    <t>✅ Candle confirms direction</t>
  </si>
  <si>
    <t>✅ PSAR supports direction</t>
  </si>
  <si>
    <t>Missing any → trade is rejected.</t>
  </si>
  <si>
    <t>🎯 Setup Definitions (per Spreadsheet Logic)</t>
  </si>
  <si>
    <t>Phase Allowed</t>
  </si>
  <si>
    <t>EMA Touch</t>
  </si>
  <si>
    <t>EMA Close</t>
  </si>
  <si>
    <t>Candle Type</t>
  </si>
  <si>
    <t>EM &amp; TM &amp; TS</t>
  </si>
  <si>
    <t>Bullish / Bearish</t>
  </si>
  <si>
    <t>TM &amp; TS only</t>
  </si>
  <si>
    <t>Spreadsheet defines setup logic with condition columns for MACD, EMA, Candle, PSAR — mapped here sequentially.</t>
  </si>
  <si>
    <t>🛑 Trade Blocking Logic</t>
  </si>
  <si>
    <t>Reason</t>
  </si>
  <si>
    <t>Outcome</t>
  </si>
  <si>
    <t>MACD unaligned</t>
  </si>
  <si>
    <t>❌ Exit evaluation</t>
  </si>
  <si>
    <t>Market type UNO or UND</t>
  </si>
  <si>
    <t>EMA pullback missing</t>
  </si>
  <si>
    <t>❌ Setup rejected</t>
  </si>
  <si>
    <t>Candle non-directional</t>
  </si>
  <si>
    <t>PSAR on wrong side</t>
  </si>
  <si>
    <t>⏱ Wait until flip or touch</t>
  </si>
  <si>
    <t>🔜 Not Included Yet (for v1.1 onward)</t>
  </si>
  <si>
    <t>✅ PSAR SL buffer per timeframe</t>
  </si>
  <si>
    <t>✅ Setup activation from config profiles</t>
  </si>
  <si>
    <t>✅ Confidence scoring per filter</t>
  </si>
  <si>
    <t>✅ Session-based regime switching</t>
  </si>
  <si>
    <t>✅ Risk management modules (RC, CM)</t>
  </si>
  <si>
    <t>✅ CockpitPanel visual interactions</t>
  </si>
  <si>
    <t>Say the word and I’ll begin scaffolding TS signal evaluation code or prepare the dynamic EMA loader. You’ve got a rock-solid core here. 🧠📐</t>
  </si>
  <si>
    <r>
      <t>System Version</t>
    </r>
    <r>
      <rPr>
        <sz val="12"/>
        <color theme="1"/>
        <rFont val="Cambria"/>
        <family val="1"/>
      </rPr>
      <t xml:space="preserve">: Manual logic baseline </t>
    </r>
    <r>
      <rPr>
        <b/>
        <sz val="12"/>
        <color theme="1"/>
        <rFont val="Cambria"/>
        <family val="1"/>
      </rPr>
      <t>Author</t>
    </r>
    <r>
      <rPr>
        <sz val="12"/>
        <color theme="1"/>
        <rFont val="Cambria"/>
        <family val="1"/>
      </rPr>
      <t xml:space="preserve">: maciek </t>
    </r>
    <r>
      <rPr>
        <b/>
        <sz val="12"/>
        <color theme="1"/>
        <rFont val="Cambria"/>
        <family val="1"/>
      </rPr>
      <t>Status</t>
    </r>
    <r>
      <rPr>
        <sz val="12"/>
        <color theme="1"/>
        <rFont val="Cambria"/>
        <family val="1"/>
      </rPr>
      <t>: Locked reference for EA architecture and behavior</t>
    </r>
  </si>
  <si>
    <r>
      <t>MACD histogram</t>
    </r>
    <r>
      <rPr>
        <sz val="12"/>
        <color theme="1"/>
        <rFont val="Cambria"/>
        <family val="1"/>
      </rPr>
      <t xml:space="preserve"> is the first gate for trade eligibility. No further trade evaluation proceeds until MACD confirms directional bias.</t>
    </r>
  </si>
  <si>
    <r>
      <t xml:space="preserve">Histogram </t>
    </r>
    <r>
      <rPr>
        <b/>
        <sz val="12"/>
        <color theme="1"/>
        <rFont val="Cambria"/>
        <family val="1"/>
      </rPr>
      <t>above</t>
    </r>
    <r>
      <rPr>
        <sz val="12"/>
        <color theme="1"/>
        <rFont val="Cambria"/>
        <family val="1"/>
      </rPr>
      <t xml:space="preserve"> 0 line</t>
    </r>
  </si>
  <si>
    <r>
      <t xml:space="preserve">OR crossover </t>
    </r>
    <r>
      <rPr>
        <b/>
        <sz val="12"/>
        <color theme="1"/>
        <rFont val="Cambria"/>
        <family val="1"/>
      </rPr>
      <t>upward</t>
    </r>
    <r>
      <rPr>
        <sz val="12"/>
        <color theme="1"/>
        <rFont val="Cambria"/>
        <family val="1"/>
      </rPr>
      <t xml:space="preserve"> from below 0</t>
    </r>
  </si>
  <si>
    <r>
      <t xml:space="preserve">Histogram </t>
    </r>
    <r>
      <rPr>
        <b/>
        <sz val="12"/>
        <color theme="1"/>
        <rFont val="Cambria"/>
        <family val="1"/>
      </rPr>
      <t>below</t>
    </r>
    <r>
      <rPr>
        <sz val="12"/>
        <color theme="1"/>
        <rFont val="Cambria"/>
        <family val="1"/>
      </rPr>
      <t xml:space="preserve"> 0 line</t>
    </r>
  </si>
  <si>
    <r>
      <t xml:space="preserve">OR crossover </t>
    </r>
    <r>
      <rPr>
        <b/>
        <sz val="12"/>
        <color theme="1"/>
        <rFont val="Cambria"/>
        <family val="1"/>
      </rPr>
      <t>downward</t>
    </r>
    <r>
      <rPr>
        <sz val="12"/>
        <color theme="1"/>
        <rFont val="Cambria"/>
        <family val="1"/>
      </rPr>
      <t xml:space="preserve"> from above 0</t>
    </r>
  </si>
  <si>
    <r>
      <t xml:space="preserve">These values come from the spreadsheet’s </t>
    </r>
    <r>
      <rPr>
        <b/>
        <sz val="12"/>
        <color theme="1"/>
        <rFont val="Cambria"/>
        <family val="1"/>
      </rPr>
      <t>indicators.ema.settings.role</t>
    </r>
    <r>
      <rPr>
        <sz val="12"/>
        <color theme="1"/>
        <rFont val="Cambria"/>
        <family val="1"/>
      </rPr>
      <t>. Periods may be reassigned in future config-driven logic.</t>
    </r>
  </si>
  <si>
    <r>
      <t xml:space="preserve">UNO and UND types exist to </t>
    </r>
    <r>
      <rPr>
        <b/>
        <sz val="12"/>
        <color theme="1"/>
        <rFont val="Cambria"/>
        <family val="1"/>
      </rPr>
      <t>reject noisy</t>
    </r>
    <r>
      <rPr>
        <sz val="12"/>
        <color theme="1"/>
        <rFont val="Cambria"/>
        <family val="1"/>
      </rPr>
      <t xml:space="preserve"> or unstable environments. Trades are blocked without further evaluation.</t>
    </r>
  </si>
  <si>
    <r>
      <t xml:space="preserve">Candle must </t>
    </r>
    <r>
      <rPr>
        <b/>
        <sz val="12"/>
        <color theme="1"/>
        <rFont val="Cambria"/>
        <family val="1"/>
      </rPr>
      <t>touch or get near</t>
    </r>
    <r>
      <rPr>
        <sz val="12"/>
        <color theme="1"/>
        <rFont val="Cambria"/>
        <family val="1"/>
      </rPr>
      <t xml:space="preserve"> the setup-designated EMA for pullback</t>
    </r>
  </si>
  <si>
    <r>
      <t xml:space="preserve">✅ Buy → PSAR dot </t>
    </r>
    <r>
      <rPr>
        <b/>
        <sz val="12"/>
        <color theme="1"/>
        <rFont val="Cambria"/>
        <family val="1"/>
      </rPr>
      <t>below</t>
    </r>
    <r>
      <rPr>
        <sz val="12"/>
        <color theme="1"/>
        <rFont val="Cambria"/>
        <family val="1"/>
      </rPr>
      <t xml:space="preserve"> price</t>
    </r>
  </si>
  <si>
    <r>
      <t xml:space="preserve">✅ Sell → PSAR dot </t>
    </r>
    <r>
      <rPr>
        <b/>
        <sz val="12"/>
        <color theme="1"/>
        <rFont val="Cambria"/>
        <family val="1"/>
      </rPr>
      <t>above</t>
    </r>
    <r>
      <rPr>
        <sz val="12"/>
        <color theme="1"/>
        <rFont val="Cambria"/>
        <family val="1"/>
      </rPr>
      <t xml:space="preserve"> price</t>
    </r>
  </si>
  <si>
    <r>
      <t xml:space="preserve">✅ EMA roles linked to </t>
    </r>
    <r>
      <rPr>
        <sz val="10"/>
        <color theme="1"/>
        <rFont val="Cambria"/>
        <family val="1"/>
      </rPr>
      <t>rrm_settings.json</t>
    </r>
    <r>
      <rPr>
        <sz val="12"/>
        <color theme="1"/>
        <rFont val="Cambria"/>
        <family val="1"/>
      </rPr>
      <t xml:space="preserve"> for dynamic assignment</t>
    </r>
  </si>
  <si>
    <r>
      <t>✅ MACD mode selection (</t>
    </r>
    <r>
      <rPr>
        <sz val="10"/>
        <color theme="1"/>
        <rFont val="Cambria"/>
        <family val="1"/>
      </rPr>
      <t>histogram</t>
    </r>
    <r>
      <rPr>
        <sz val="12"/>
        <color theme="1"/>
        <rFont val="Cambria"/>
        <family val="1"/>
      </rPr>
      <t xml:space="preserve">, </t>
    </r>
    <r>
      <rPr>
        <sz val="10"/>
        <color theme="1"/>
        <rFont val="Cambria"/>
        <family val="1"/>
      </rPr>
      <t>crossover</t>
    </r>
    <r>
      <rPr>
        <sz val="12"/>
        <color theme="1"/>
        <rFont val="Cambria"/>
        <family val="1"/>
      </rPr>
      <t xml:space="preserve">, </t>
    </r>
    <r>
      <rPr>
        <sz val="10"/>
        <color theme="1"/>
        <rFont val="Cambria"/>
        <family val="1"/>
      </rPr>
      <t>flex</t>
    </r>
    <r>
      <rPr>
        <sz val="12"/>
        <color theme="1"/>
        <rFont val="Cambria"/>
        <family val="1"/>
      </rPr>
      <t>)</t>
    </r>
  </si>
  <si>
    <r>
      <t xml:space="preserve">This is the full and final </t>
    </r>
    <r>
      <rPr>
        <b/>
        <sz val="12"/>
        <color theme="1"/>
        <rFont val="Cambria"/>
        <family val="1"/>
      </rPr>
      <t>System Blueprint v1.0</t>
    </r>
    <r>
      <rPr>
        <sz val="12"/>
        <color theme="1"/>
        <rFont val="Cambria"/>
        <family val="1"/>
      </rPr>
      <t xml:space="preserve"> as derived from spreadsheet logic and your structured rules. We’ll now evolve this into v1.1 by integrating config-defined parameters and building modular EA behavior atop this exact architecture.</t>
    </r>
  </si>
  <si>
    <t>Touch EMA4 (Long: 89)</t>
  </si>
  <si>
    <t>Touch EMA3 (Mid: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</si>
</sst>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4" x14ac:knownFonts="1">
    <font>
      <sz val="12"/>
      <color theme="1"/>
      <name val="Aptos Narrow"/>
      <family val="2"/>
      <scheme val="minor"/>
    </font>
    <font>
      <sz val="12"/>
      <color theme="1"/>
      <name val="Calibri Light"/>
      <family val="2"/>
    </font>
    <font>
      <sz val="12"/>
      <name val="Calibri Light"/>
      <family val="2"/>
    </font>
    <font>
      <b/>
      <sz val="12"/>
      <color theme="1"/>
      <name val="Calibri Light"/>
      <family val="2"/>
    </font>
    <font>
      <sz val="12"/>
      <color theme="0" tint="-0.249977111117893"/>
      <name val="Calibri Light"/>
      <family val="2"/>
    </font>
    <font>
      <sz val="10"/>
      <color theme="1"/>
      <name val="Calibri Light"/>
      <family val="2"/>
    </font>
    <font>
      <b/>
      <sz val="12"/>
      <color theme="1"/>
      <name val="Aptos Narrow"/>
      <family val="2"/>
      <scheme val="minor"/>
    </font>
    <font>
      <b/>
      <sz val="13.5"/>
      <color theme="1"/>
      <name val="Aptos Narrow"/>
      <family val="2"/>
      <scheme val="minor"/>
    </font>
    <font>
      <sz val="10"/>
      <color theme="1"/>
      <name val="Arial Unicode MS"/>
      <family val="2"/>
    </font>
    <font>
      <b/>
      <sz val="10"/>
      <color theme="1"/>
      <name val="Arial Unicode MS"/>
      <family val="2"/>
    </font>
    <font>
      <i/>
      <sz val="12"/>
      <color theme="1"/>
      <name val="Aptos Narrow"/>
      <family val="2"/>
      <scheme val="minor"/>
    </font>
    <font>
      <u/>
      <sz val="12"/>
      <color theme="10"/>
      <name val="Aptos Narrow"/>
      <family val="2"/>
      <scheme val="minor"/>
    </font>
    <font>
      <sz val="12"/>
      <color rgb="FFCCCCCC"/>
      <name val="Menlo"/>
      <family val="2"/>
    </font>
    <font>
      <sz val="12"/>
      <color rgb="FF9CDCFE"/>
      <name val="Menlo"/>
      <family val="2"/>
    </font>
    <font>
      <sz val="12"/>
      <color rgb="FF569CD6"/>
      <name val="Menlo"/>
      <family val="2"/>
    </font>
    <font>
      <sz val="12"/>
      <color rgb="FFCE9178"/>
      <name val="Menlo"/>
      <family val="2"/>
    </font>
    <font>
      <sz val="12"/>
      <color rgb="FFB5CEA8"/>
      <name val="Menlo"/>
      <family val="2"/>
    </font>
    <font>
      <b/>
      <sz val="18"/>
      <color theme="1"/>
      <name val="Aptos Narrow"/>
      <family val="2"/>
      <scheme val="minor"/>
    </font>
    <font>
      <b/>
      <sz val="18"/>
      <color theme="1"/>
      <name val="Calibri"/>
      <family val="2"/>
    </font>
    <font>
      <sz val="12"/>
      <color theme="1"/>
      <name val="Calibri"/>
      <family val="2"/>
    </font>
    <font>
      <b/>
      <sz val="13.5"/>
      <color theme="1"/>
      <name val="Calibri"/>
      <family val="2"/>
    </font>
    <font>
      <b/>
      <sz val="12"/>
      <color theme="1"/>
      <name val="Calibri"/>
      <family val="2"/>
    </font>
    <font>
      <sz val="11"/>
      <color rgb="FF000000"/>
      <name val="Menlo"/>
      <family val="2"/>
    </font>
    <font>
      <b/>
      <sz val="7.5"/>
      <color theme="1"/>
      <name val="Aptos Narrow"/>
      <family val="2"/>
      <scheme val="minor"/>
    </font>
    <font>
      <sz val="12"/>
      <color rgb="FF0070C0"/>
      <name val="Calibri"/>
      <family val="2"/>
    </font>
    <font>
      <sz val="11"/>
      <color rgb="FF000000"/>
      <name val="Calibri"/>
      <family val="2"/>
    </font>
    <font>
      <sz val="8"/>
      <name val="Aptos Narrow"/>
      <family val="2"/>
      <scheme val="minor"/>
    </font>
    <font>
      <b/>
      <sz val="10"/>
      <color theme="1"/>
      <name val="Aptos Narrow"/>
      <family val="2"/>
      <scheme val="minor"/>
    </font>
    <font>
      <sz val="12"/>
      <name val="Aptos Narrow"/>
      <family val="2"/>
      <scheme val="minor"/>
    </font>
    <font>
      <sz val="12"/>
      <name val="Menlo"/>
      <family val="2"/>
    </font>
    <font>
      <sz val="12"/>
      <color rgb="FFFF0000"/>
      <name val="Menlo"/>
      <family val="2"/>
    </font>
    <font>
      <sz val="12"/>
      <name val="Calibri"/>
      <family val="2"/>
    </font>
    <font>
      <b/>
      <sz val="12"/>
      <color theme="1"/>
      <name val="Aptos Narrow"/>
      <scheme val="minor"/>
    </font>
    <font>
      <b/>
      <sz val="12"/>
      <color rgb="FF0070C0"/>
      <name val="Aptos Narrow"/>
      <scheme val="minor"/>
    </font>
    <font>
      <sz val="12"/>
      <color theme="0" tint="-0.499984740745262"/>
      <name val="Aptos Narrow"/>
      <family val="2"/>
      <scheme val="minor"/>
    </font>
    <font>
      <sz val="12"/>
      <color theme="0" tint="-0.34998626667073579"/>
      <name val="Aptos Narrow"/>
      <family val="2"/>
      <scheme val="minor"/>
    </font>
    <font>
      <b/>
      <sz val="12"/>
      <color theme="0" tint="-0.499984740745262"/>
      <name val="Aptos Narrow"/>
      <family val="2"/>
      <scheme val="minor"/>
    </font>
    <font>
      <sz val="12"/>
      <color theme="0" tint="-0.499984740745262"/>
      <name val="Aptos Narrow"/>
      <scheme val="minor"/>
    </font>
    <font>
      <b/>
      <sz val="12"/>
      <color theme="0" tint="-0.499984740745262"/>
      <name val="Aptos Narrow"/>
      <scheme val="minor"/>
    </font>
    <font>
      <b/>
      <sz val="12"/>
      <color theme="0" tint="-0.34998626667073579"/>
      <name val="Aptos Narrow"/>
      <family val="2"/>
      <scheme val="minor"/>
    </font>
    <font>
      <sz val="12"/>
      <color theme="8"/>
      <name val="Aptos Narrow"/>
      <family val="2"/>
      <scheme val="minor"/>
    </font>
    <font>
      <b/>
      <sz val="12"/>
      <color theme="8"/>
      <name val="Aptos Narrow"/>
      <family val="2"/>
      <scheme val="minor"/>
    </font>
    <font>
      <sz val="12"/>
      <color theme="8"/>
      <name val="Calibri"/>
      <family val="2"/>
    </font>
    <font>
      <sz val="12"/>
      <color rgb="FF0070C0"/>
      <name val="Aptos Narrow"/>
      <family val="2"/>
      <scheme val="minor"/>
    </font>
    <font>
      <sz val="12"/>
      <color theme="4"/>
      <name val="Aptos Narrow"/>
      <family val="2"/>
      <scheme val="minor"/>
    </font>
    <font>
      <sz val="12"/>
      <color theme="0"/>
      <name val="Calibri"/>
      <family val="2"/>
    </font>
    <font>
      <b/>
      <sz val="12"/>
      <name val="Calibri"/>
      <family val="2"/>
    </font>
    <font>
      <sz val="12"/>
      <color theme="4"/>
      <name val="Aptos Narrow"/>
      <scheme val="minor"/>
    </font>
    <font>
      <sz val="12"/>
      <name val="Aptos Narrow"/>
      <scheme val="minor"/>
    </font>
    <font>
      <i/>
      <sz val="10"/>
      <color theme="1"/>
      <name val="Arial Unicode MS"/>
      <family val="2"/>
    </font>
    <font>
      <b/>
      <sz val="16"/>
      <color rgb="FF0070C0"/>
      <name val="Aptos Narrow"/>
      <scheme val="minor"/>
    </font>
    <font>
      <sz val="12"/>
      <color theme="0" tint="-0.499984740745262"/>
      <name val="Calibri"/>
      <family val="2"/>
    </font>
    <font>
      <b/>
      <sz val="12"/>
      <color theme="0" tint="-0.499984740745262"/>
      <name val="Calibri"/>
      <family val="2"/>
    </font>
    <font>
      <sz val="12"/>
      <color theme="8"/>
      <name val="Aptos Narrow"/>
      <scheme val="minor"/>
    </font>
    <font>
      <b/>
      <sz val="12"/>
      <color theme="8"/>
      <name val="Aptos Narrow"/>
      <scheme val="minor"/>
    </font>
    <font>
      <b/>
      <sz val="12"/>
      <color theme="8"/>
      <name val="Calibri"/>
      <family val="2"/>
    </font>
    <font>
      <sz val="12"/>
      <color theme="0"/>
      <name val="Calibri Light"/>
      <family val="2"/>
    </font>
    <font>
      <b/>
      <sz val="12"/>
      <color theme="0"/>
      <name val="Calibri Light"/>
      <family val="2"/>
    </font>
    <font>
      <b/>
      <sz val="24"/>
      <color theme="1"/>
      <name val="Cambria"/>
      <family val="1"/>
    </font>
    <font>
      <sz val="12"/>
      <color theme="1"/>
      <name val="Cambria"/>
      <family val="1"/>
    </font>
    <font>
      <b/>
      <sz val="12"/>
      <color theme="1"/>
      <name val="Cambria"/>
      <family val="1"/>
    </font>
    <font>
      <b/>
      <sz val="18"/>
      <color theme="1"/>
      <name val="Cambria"/>
      <family val="1"/>
    </font>
    <font>
      <b/>
      <sz val="13.5"/>
      <color theme="1"/>
      <name val="Cambria"/>
      <family val="1"/>
    </font>
    <font>
      <sz val="10"/>
      <color theme="1"/>
      <name val="Cambria"/>
      <family val="1"/>
    </font>
  </fonts>
  <fills count="29">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5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0000"/>
        <bgColor indexed="64"/>
      </patternFill>
    </fill>
    <fill>
      <patternFill patternType="solid">
        <fgColor theme="3" tint="0.499984740745262"/>
        <bgColor indexed="64"/>
      </patternFill>
    </fill>
    <fill>
      <patternFill patternType="solid">
        <fgColor theme="3" tint="0.249977111117893"/>
        <bgColor indexed="64"/>
      </patternFill>
    </fill>
  </fills>
  <borders count="8">
    <border>
      <left/>
      <right/>
      <top/>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style="thin">
        <color rgb="FFFF0000"/>
      </top>
      <bottom/>
      <diagonal/>
    </border>
    <border>
      <left style="thin">
        <color rgb="FFFF0000"/>
      </left>
      <right style="thin">
        <color rgb="FFFF0000"/>
      </right>
      <top/>
      <bottom style="thin">
        <color rgb="FFFF0000"/>
      </bottom>
      <diagonal/>
    </border>
    <border>
      <left style="thin">
        <color rgb="FFFF0000"/>
      </left>
      <right style="thin">
        <color rgb="FFFF0000"/>
      </right>
      <top/>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s>
  <cellStyleXfs count="2">
    <xf numFmtId="0" fontId="0" fillId="0" borderId="0"/>
    <xf numFmtId="0" fontId="11" fillId="0" borderId="0" applyNumberFormat="0" applyFill="0" applyBorder="0" applyAlignment="0" applyProtection="0"/>
  </cellStyleXfs>
  <cellXfs count="250">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0" borderId="0" xfId="0" quotePrefix="1" applyFont="1"/>
    <xf numFmtId="0" fontId="1" fillId="0" borderId="0" xfId="0" quotePrefix="1" applyFont="1" applyAlignment="1">
      <alignment horizontal="center"/>
    </xf>
    <xf numFmtId="0" fontId="1" fillId="0" borderId="0" xfId="0" applyFont="1" applyAlignment="1">
      <alignment horizontal="center"/>
    </xf>
    <xf numFmtId="0" fontId="1" fillId="0" borderId="1" xfId="0" applyFont="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0" xfId="0" applyFont="1" applyFill="1"/>
    <xf numFmtId="0" fontId="1" fillId="7" borderId="0" xfId="0" applyFont="1" applyFill="1"/>
    <xf numFmtId="0" fontId="1" fillId="8" borderId="0" xfId="0" applyFont="1" applyFill="1"/>
    <xf numFmtId="0" fontId="1" fillId="0" borderId="0" xfId="0" applyFont="1" applyAlignment="1">
      <alignment horizontal="right"/>
    </xf>
    <xf numFmtId="0" fontId="2" fillId="0" borderId="0" xfId="0" applyFont="1"/>
    <xf numFmtId="0" fontId="3" fillId="0" borderId="0" xfId="0" applyFont="1"/>
    <xf numFmtId="0" fontId="1" fillId="9" borderId="0" xfId="0" applyFont="1" applyFill="1"/>
    <xf numFmtId="0" fontId="1" fillId="10" borderId="0" xfId="0" applyFont="1" applyFill="1"/>
    <xf numFmtId="0" fontId="1" fillId="11" borderId="0" xfId="0" applyFont="1" applyFill="1" applyAlignment="1">
      <alignment horizontal="center"/>
    </xf>
    <xf numFmtId="0" fontId="1" fillId="12" borderId="0" xfId="0" applyFont="1" applyFill="1" applyAlignment="1">
      <alignment horizontal="center"/>
    </xf>
    <xf numFmtId="0" fontId="1" fillId="13" borderId="0" xfId="0" applyFont="1" applyFill="1" applyAlignment="1">
      <alignment horizontal="center"/>
    </xf>
    <xf numFmtId="0" fontId="1" fillId="4" borderId="0" xfId="0" applyFont="1" applyFill="1" applyAlignment="1">
      <alignment horizontal="center"/>
    </xf>
    <xf numFmtId="0" fontId="1" fillId="14" borderId="0" xfId="0" applyFont="1" applyFill="1" applyAlignment="1">
      <alignment horizontal="center"/>
    </xf>
    <xf numFmtId="0" fontId="3" fillId="0" borderId="0" xfId="0" applyFont="1" applyAlignment="1">
      <alignment horizontal="center"/>
    </xf>
    <xf numFmtId="0" fontId="3" fillId="6" borderId="0" xfId="0" applyFont="1" applyFill="1" applyAlignment="1">
      <alignment horizontal="center"/>
    </xf>
    <xf numFmtId="0" fontId="1" fillId="0" borderId="1" xfId="0" applyFont="1" applyBorder="1" applyAlignment="1">
      <alignment horizontal="center"/>
    </xf>
    <xf numFmtId="0" fontId="1" fillId="11" borderId="1" xfId="0" applyFont="1" applyFill="1" applyBorder="1" applyAlignment="1">
      <alignment horizontal="center"/>
    </xf>
    <xf numFmtId="0" fontId="1" fillId="12" borderId="1" xfId="0" applyFont="1" applyFill="1" applyBorder="1" applyAlignment="1">
      <alignment horizontal="center"/>
    </xf>
    <xf numFmtId="0" fontId="1" fillId="13" borderId="1" xfId="0" applyFont="1" applyFill="1" applyBorder="1" applyAlignment="1">
      <alignment horizontal="center"/>
    </xf>
    <xf numFmtId="0" fontId="1" fillId="4" borderId="1" xfId="0" applyFont="1" applyFill="1" applyBorder="1" applyAlignment="1">
      <alignment horizontal="center"/>
    </xf>
    <xf numFmtId="0" fontId="1" fillId="14" borderId="1" xfId="0" applyFont="1" applyFill="1" applyBorder="1" applyAlignment="1">
      <alignment horizontal="center"/>
    </xf>
    <xf numFmtId="0" fontId="1" fillId="0" borderId="1" xfId="0" quotePrefix="1" applyFont="1" applyBorder="1" applyAlignment="1">
      <alignment horizontal="center"/>
    </xf>
    <xf numFmtId="0" fontId="1" fillId="5" borderId="0" xfId="0" applyFont="1" applyFill="1" applyAlignment="1">
      <alignment horizontal="center"/>
    </xf>
    <xf numFmtId="0" fontId="1" fillId="5" borderId="0" xfId="0" quotePrefix="1" applyFont="1" applyFill="1" applyAlignment="1">
      <alignment horizontal="center"/>
    </xf>
    <xf numFmtId="0" fontId="3" fillId="6" borderId="0" xfId="0" quotePrefix="1" applyFont="1" applyFill="1" applyAlignment="1">
      <alignment horizontal="center"/>
    </xf>
    <xf numFmtId="0" fontId="4" fillId="0" borderId="0" xfId="0" applyFont="1" applyAlignment="1">
      <alignment horizontal="center"/>
    </xf>
    <xf numFmtId="0" fontId="1" fillId="3" borderId="0" xfId="0" quotePrefix="1" applyFont="1" applyFill="1"/>
    <xf numFmtId="0" fontId="1" fillId="15" borderId="0" xfId="0" quotePrefix="1" applyFont="1" applyFill="1"/>
    <xf numFmtId="0" fontId="1" fillId="3" borderId="0" xfId="0" applyFont="1" applyFill="1" applyAlignment="1">
      <alignment horizontal="center"/>
    </xf>
    <xf numFmtId="0" fontId="1" fillId="15" borderId="0" xfId="0" applyFont="1" applyFill="1" applyAlignment="1">
      <alignment horizontal="center"/>
    </xf>
    <xf numFmtId="0" fontId="1" fillId="5" borderId="0" xfId="0" quotePrefix="1" applyFont="1" applyFill="1"/>
    <xf numFmtId="0" fontId="1" fillId="5" borderId="0" xfId="0" applyFont="1" applyFill="1"/>
    <xf numFmtId="0" fontId="1" fillId="0" borderId="0" xfId="0" applyFont="1" applyAlignment="1">
      <alignment wrapText="1"/>
    </xf>
    <xf numFmtId="0" fontId="7" fillId="0" borderId="0" xfId="0" applyFont="1"/>
    <xf numFmtId="0" fontId="6" fillId="0" borderId="0" xfId="0" applyFont="1"/>
    <xf numFmtId="0" fontId="8" fillId="0" borderId="0" xfId="0" applyFont="1"/>
    <xf numFmtId="0" fontId="11" fillId="0" borderId="0" xfId="1"/>
    <xf numFmtId="0" fontId="12" fillId="0" borderId="0" xfId="0" applyFont="1"/>
    <xf numFmtId="0" fontId="13" fillId="0" borderId="0" xfId="0" applyFont="1"/>
    <xf numFmtId="0" fontId="15" fillId="0" borderId="0" xfId="0" applyFont="1"/>
    <xf numFmtId="14" fontId="0" fillId="0" borderId="0" xfId="0" applyNumberFormat="1"/>
    <xf numFmtId="0" fontId="17" fillId="0" borderId="0" xfId="0" applyFont="1"/>
    <xf numFmtId="0" fontId="9" fillId="0" borderId="0" xfId="0" applyFont="1"/>
    <xf numFmtId="9" fontId="0" fillId="0" borderId="0" xfId="0" applyNumberFormat="1"/>
    <xf numFmtId="10" fontId="0" fillId="0" borderId="0" xfId="0" applyNumberForma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164" fontId="19" fillId="0" borderId="0" xfId="0" applyNumberFormat="1" applyFont="1"/>
    <xf numFmtId="14" fontId="19" fillId="0" borderId="0" xfId="0" quotePrefix="1" applyNumberFormat="1" applyFont="1"/>
    <xf numFmtId="0" fontId="0" fillId="0" borderId="0" xfId="0" applyAlignment="1">
      <alignment horizontal="right"/>
    </xf>
    <xf numFmtId="0" fontId="10"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28" fillId="0" borderId="0" xfId="0" quotePrefix="1" applyFont="1"/>
    <xf numFmtId="164" fontId="31" fillId="2" borderId="0" xfId="0" applyNumberFormat="1" applyFont="1" applyFill="1"/>
    <xf numFmtId="164" fontId="19" fillId="16" borderId="0" xfId="0" applyNumberFormat="1" applyFont="1" applyFill="1"/>
    <xf numFmtId="0" fontId="19" fillId="3" borderId="0" xfId="0" applyFont="1" applyFill="1"/>
    <xf numFmtId="0" fontId="19" fillId="4" borderId="0" xfId="0" applyFont="1" applyFill="1"/>
    <xf numFmtId="164" fontId="19" fillId="7" borderId="0" xfId="0" applyNumberFormat="1" applyFont="1" applyFill="1"/>
    <xf numFmtId="0" fontId="19" fillId="17" borderId="0" xfId="0" applyFont="1" applyFill="1"/>
    <xf numFmtId="0" fontId="33" fillId="0" borderId="0" xfId="0" applyFont="1"/>
    <xf numFmtId="1" fontId="0" fillId="0" borderId="0" xfId="0" applyNumberFormat="1"/>
    <xf numFmtId="0" fontId="0" fillId="3" borderId="0" xfId="0" applyFill="1"/>
    <xf numFmtId="0" fontId="34" fillId="0" borderId="0" xfId="0" applyFont="1"/>
    <xf numFmtId="0" fontId="37" fillId="0" borderId="0" xfId="0" applyFont="1"/>
    <xf numFmtId="0" fontId="32" fillId="0" borderId="0" xfId="0" applyFont="1" applyAlignment="1">
      <alignment horizontal="right"/>
    </xf>
    <xf numFmtId="0" fontId="6" fillId="0" borderId="0" xfId="0" applyFont="1" applyAlignment="1">
      <alignment horizontal="right"/>
    </xf>
    <xf numFmtId="0" fontId="36" fillId="0" borderId="0" xfId="0" applyFont="1" applyAlignment="1">
      <alignment horizontal="right"/>
    </xf>
    <xf numFmtId="2" fontId="0" fillId="0" borderId="0" xfId="0" applyNumberFormat="1" applyAlignment="1">
      <alignment horizontal="right"/>
    </xf>
    <xf numFmtId="2" fontId="0" fillId="3" borderId="0" xfId="0" applyNumberFormat="1" applyFill="1" applyAlignment="1">
      <alignment horizontal="right"/>
    </xf>
    <xf numFmtId="0" fontId="0" fillId="3" borderId="0" xfId="0" applyFill="1" applyAlignment="1">
      <alignment horizontal="right"/>
    </xf>
    <xf numFmtId="0" fontId="0" fillId="4" borderId="0" xfId="0" applyFill="1" applyAlignment="1">
      <alignment horizontal="right"/>
    </xf>
    <xf numFmtId="2" fontId="0" fillId="13" borderId="0" xfId="0" applyNumberFormat="1" applyFill="1" applyAlignment="1">
      <alignment horizontal="right"/>
    </xf>
    <xf numFmtId="0" fontId="34" fillId="0" borderId="0" xfId="0" applyFont="1" applyAlignment="1">
      <alignment horizontal="right"/>
    </xf>
    <xf numFmtId="1" fontId="0" fillId="0" borderId="0" xfId="0" applyNumberFormat="1" applyAlignment="1">
      <alignment horizontal="right"/>
    </xf>
    <xf numFmtId="2" fontId="0" fillId="4" borderId="0" xfId="0" applyNumberFormat="1" applyFill="1" applyAlignment="1">
      <alignment horizontal="right"/>
    </xf>
    <xf numFmtId="0" fontId="38" fillId="0" borderId="0" xfId="0" applyFont="1" applyAlignment="1">
      <alignment horizontal="right"/>
    </xf>
    <xf numFmtId="0" fontId="37" fillId="0" borderId="0" xfId="0" applyFont="1" applyAlignment="1">
      <alignment horizontal="right"/>
    </xf>
    <xf numFmtId="0" fontId="19" fillId="0" borderId="0" xfId="0" applyFont="1" applyAlignment="1">
      <alignment horizontal="right"/>
    </xf>
    <xf numFmtId="0" fontId="24" fillId="0" borderId="0" xfId="0" applyFont="1" applyAlignment="1">
      <alignment horizontal="right"/>
    </xf>
    <xf numFmtId="0" fontId="35" fillId="0" borderId="0" xfId="0" applyFont="1" applyAlignment="1">
      <alignment horizontal="right"/>
    </xf>
    <xf numFmtId="0" fontId="39" fillId="0" borderId="0" xfId="0" applyFont="1" applyAlignment="1">
      <alignment horizontal="right"/>
    </xf>
    <xf numFmtId="1" fontId="0" fillId="3" borderId="0" xfId="0" applyNumberFormat="1" applyFill="1" applyAlignment="1">
      <alignment horizontal="right"/>
    </xf>
    <xf numFmtId="1" fontId="0" fillId="4" borderId="0" xfId="0" applyNumberFormat="1" applyFill="1" applyAlignment="1">
      <alignment horizontal="right"/>
    </xf>
    <xf numFmtId="1" fontId="0" fillId="13" borderId="0" xfId="0" applyNumberFormat="1" applyFill="1" applyAlignment="1">
      <alignment horizontal="right"/>
    </xf>
    <xf numFmtId="0" fontId="19" fillId="3" borderId="0" xfId="0" applyFont="1" applyFill="1" applyAlignment="1">
      <alignment horizontal="right"/>
    </xf>
    <xf numFmtId="0" fontId="40" fillId="0" borderId="0" xfId="0" applyFont="1" applyAlignment="1">
      <alignment horizontal="right"/>
    </xf>
    <xf numFmtId="0" fontId="40" fillId="0" borderId="0" xfId="0" applyFont="1"/>
    <xf numFmtId="0" fontId="41" fillId="0" borderId="0" xfId="0" applyFont="1" applyAlignment="1">
      <alignment horizontal="right"/>
    </xf>
    <xf numFmtId="1" fontId="40" fillId="0" borderId="0" xfId="0" applyNumberFormat="1" applyFont="1" applyAlignment="1">
      <alignment horizontal="right"/>
    </xf>
    <xf numFmtId="1" fontId="40" fillId="3" borderId="0" xfId="0" applyNumberFormat="1" applyFont="1" applyFill="1" applyAlignment="1">
      <alignment horizontal="right"/>
    </xf>
    <xf numFmtId="1" fontId="40" fillId="4" borderId="0" xfId="0" applyNumberFormat="1" applyFont="1" applyFill="1" applyAlignment="1">
      <alignment horizontal="right"/>
    </xf>
    <xf numFmtId="0" fontId="0" fillId="2" borderId="0" xfId="0" applyFill="1"/>
    <xf numFmtId="1" fontId="40" fillId="13" borderId="0" xfId="0" applyNumberFormat="1" applyFont="1" applyFill="1" applyAlignment="1">
      <alignment horizontal="right"/>
    </xf>
    <xf numFmtId="0" fontId="43" fillId="0" borderId="0" xfId="0" applyFont="1"/>
    <xf numFmtId="0" fontId="44" fillId="0" borderId="0" xfId="0" applyFont="1"/>
    <xf numFmtId="0" fontId="48" fillId="0" borderId="0" xfId="0" applyFont="1" applyAlignment="1">
      <alignment horizontal="right"/>
    </xf>
    <xf numFmtId="2" fontId="6" fillId="0" borderId="0" xfId="0" applyNumberFormat="1" applyFont="1" applyAlignment="1">
      <alignment horizontal="right"/>
    </xf>
    <xf numFmtId="0" fontId="6" fillId="0" borderId="0" xfId="0" applyFont="1" applyAlignment="1">
      <alignment horizontal="center"/>
    </xf>
    <xf numFmtId="0" fontId="0" fillId="0" borderId="0" xfId="0" applyAlignment="1">
      <alignment horizontal="center"/>
    </xf>
    <xf numFmtId="0" fontId="50" fillId="0" borderId="0" xfId="0" applyFont="1"/>
    <xf numFmtId="0" fontId="0" fillId="9" borderId="0" xfId="0" applyFill="1"/>
    <xf numFmtId="0" fontId="43" fillId="0" borderId="0" xfId="0" applyFont="1" applyAlignment="1">
      <alignment horizontal="right"/>
    </xf>
    <xf numFmtId="0" fontId="34" fillId="0" borderId="0" xfId="0" applyFont="1" applyAlignment="1">
      <alignment horizontal="center"/>
    </xf>
    <xf numFmtId="0" fontId="37" fillId="0" borderId="0" xfId="0" applyFont="1" applyAlignment="1">
      <alignment horizontal="center"/>
    </xf>
    <xf numFmtId="0" fontId="28" fillId="0" borderId="0" xfId="0" applyFont="1" applyAlignment="1">
      <alignment horizontal="center"/>
    </xf>
    <xf numFmtId="0" fontId="48" fillId="0" borderId="0" xfId="0" applyFont="1" applyAlignment="1">
      <alignment horizontal="center"/>
    </xf>
    <xf numFmtId="0" fontId="31" fillId="0" borderId="0" xfId="0" applyFont="1" applyAlignment="1">
      <alignment horizontal="center"/>
    </xf>
    <xf numFmtId="0" fontId="51" fillId="0" borderId="0" xfId="0" applyFont="1" applyAlignment="1">
      <alignment horizontal="center"/>
    </xf>
    <xf numFmtId="0" fontId="51" fillId="5" borderId="0" xfId="0" applyFont="1" applyFill="1" applyAlignment="1">
      <alignment horizontal="center"/>
    </xf>
    <xf numFmtId="0" fontId="51" fillId="18" borderId="0" xfId="0" applyFont="1" applyFill="1" applyAlignment="1">
      <alignment horizontal="center"/>
    </xf>
    <xf numFmtId="0" fontId="52" fillId="0" borderId="0" xfId="0" applyFont="1" applyAlignment="1">
      <alignment horizontal="center"/>
    </xf>
    <xf numFmtId="0" fontId="51" fillId="14" borderId="0" xfId="0" applyFont="1" applyFill="1" applyAlignment="1">
      <alignment horizontal="center"/>
    </xf>
    <xf numFmtId="0" fontId="28" fillId="24" borderId="0" xfId="0" applyFont="1" applyFill="1" applyAlignment="1">
      <alignment horizontal="center"/>
    </xf>
    <xf numFmtId="0" fontId="34" fillId="7" borderId="0" xfId="0" applyFont="1" applyFill="1" applyAlignment="1">
      <alignment horizontal="center"/>
    </xf>
    <xf numFmtId="0" fontId="34" fillId="24" borderId="0" xfId="0" applyFont="1" applyFill="1" applyAlignment="1">
      <alignment horizontal="center"/>
    </xf>
    <xf numFmtId="0" fontId="31" fillId="5" borderId="0" xfId="0" applyFont="1" applyFill="1" applyAlignment="1">
      <alignment horizontal="center"/>
    </xf>
    <xf numFmtId="0" fontId="37" fillId="7" borderId="0" xfId="0" applyFont="1" applyFill="1" applyAlignment="1">
      <alignment horizontal="center"/>
    </xf>
    <xf numFmtId="0" fontId="31" fillId="18" borderId="0" xfId="0" applyFont="1" applyFill="1" applyAlignment="1">
      <alignment horizontal="center"/>
    </xf>
    <xf numFmtId="10" fontId="34" fillId="0" borderId="0" xfId="0" applyNumberFormat="1" applyFont="1" applyAlignment="1">
      <alignment horizontal="center"/>
    </xf>
    <xf numFmtId="10" fontId="37" fillId="0" borderId="0" xfId="0" applyNumberFormat="1" applyFont="1" applyAlignment="1">
      <alignment horizontal="center"/>
    </xf>
    <xf numFmtId="10" fontId="28" fillId="0" borderId="0" xfId="0" applyNumberFormat="1" applyFont="1" applyAlignment="1">
      <alignment horizontal="center"/>
    </xf>
    <xf numFmtId="0" fontId="51" fillId="2" borderId="0" xfId="0" applyFont="1" applyFill="1" applyAlignment="1">
      <alignment horizontal="center"/>
    </xf>
    <xf numFmtId="0" fontId="51" fillId="3" borderId="0" xfId="0" applyFont="1" applyFill="1" applyAlignment="1">
      <alignment horizontal="center"/>
    </xf>
    <xf numFmtId="0" fontId="51" fillId="19" borderId="0" xfId="0" applyFont="1" applyFill="1" applyAlignment="1">
      <alignment horizontal="center"/>
    </xf>
    <xf numFmtId="0" fontId="51" fillId="20" borderId="0" xfId="0" applyFont="1" applyFill="1" applyAlignment="1">
      <alignment horizontal="center"/>
    </xf>
    <xf numFmtId="0" fontId="46" fillId="0" borderId="0" xfId="0" applyFont="1" applyAlignment="1">
      <alignment horizontal="center"/>
    </xf>
    <xf numFmtId="164" fontId="31" fillId="0" borderId="0" xfId="0" applyNumberFormat="1" applyFont="1" applyAlignment="1">
      <alignment horizontal="center"/>
    </xf>
    <xf numFmtId="0" fontId="28" fillId="2" borderId="0" xfId="0" applyFont="1" applyFill="1" applyAlignment="1">
      <alignment horizontal="center"/>
    </xf>
    <xf numFmtId="0" fontId="35" fillId="0" borderId="0" xfId="0" applyFont="1" applyAlignment="1">
      <alignment horizontal="center"/>
    </xf>
    <xf numFmtId="0" fontId="31" fillId="21" borderId="0" xfId="0" applyFont="1" applyFill="1" applyAlignment="1">
      <alignment horizontal="center"/>
    </xf>
    <xf numFmtId="0" fontId="31" fillId="22" borderId="0" xfId="0" applyFont="1" applyFill="1" applyAlignment="1">
      <alignment horizontal="center"/>
    </xf>
    <xf numFmtId="0" fontId="31" fillId="23" borderId="0" xfId="0" applyFont="1" applyFill="1" applyAlignment="1">
      <alignment horizontal="center"/>
    </xf>
    <xf numFmtId="0" fontId="45" fillId="23" borderId="0" xfId="0" applyFont="1" applyFill="1" applyAlignment="1">
      <alignment horizontal="center"/>
    </xf>
    <xf numFmtId="0" fontId="31" fillId="14" borderId="0" xfId="0" applyFont="1" applyFill="1" applyAlignment="1">
      <alignment horizontal="center"/>
    </xf>
    <xf numFmtId="0" fontId="40" fillId="0" borderId="0" xfId="0" applyFont="1" applyAlignment="1">
      <alignment horizontal="center"/>
    </xf>
    <xf numFmtId="0" fontId="47" fillId="0" borderId="0" xfId="0" applyFont="1" applyAlignment="1">
      <alignment horizontal="center"/>
    </xf>
    <xf numFmtId="0" fontId="42" fillId="0" borderId="0" xfId="0" applyFont="1" applyAlignment="1">
      <alignment horizontal="center"/>
    </xf>
    <xf numFmtId="164" fontId="42" fillId="0" borderId="0" xfId="0" applyNumberFormat="1" applyFont="1" applyAlignment="1">
      <alignment horizontal="center"/>
    </xf>
    <xf numFmtId="164" fontId="42" fillId="2" borderId="0" xfId="0" applyNumberFormat="1" applyFont="1" applyFill="1" applyAlignment="1">
      <alignment horizontal="center"/>
    </xf>
    <xf numFmtId="164" fontId="42" fillId="16" borderId="0" xfId="0" applyNumberFormat="1" applyFont="1" applyFill="1" applyAlignment="1">
      <alignment horizontal="center"/>
    </xf>
    <xf numFmtId="164" fontId="42" fillId="7" borderId="0" xfId="0" applyNumberFormat="1" applyFont="1" applyFill="1" applyAlignment="1">
      <alignment horizontal="center"/>
    </xf>
    <xf numFmtId="164" fontId="42" fillId="24" borderId="0" xfId="0" applyNumberFormat="1" applyFont="1" applyFill="1" applyAlignment="1">
      <alignment horizontal="center"/>
    </xf>
    <xf numFmtId="0" fontId="53" fillId="0" borderId="0" xfId="0" applyFont="1" applyAlignment="1">
      <alignment horizontal="center"/>
    </xf>
    <xf numFmtId="0" fontId="42" fillId="18" borderId="0" xfId="0" applyFont="1" applyFill="1" applyAlignment="1">
      <alignment horizontal="center"/>
    </xf>
    <xf numFmtId="0" fontId="42" fillId="8" borderId="0" xfId="0" applyFont="1" applyFill="1" applyAlignment="1">
      <alignment horizontal="center"/>
    </xf>
    <xf numFmtId="0" fontId="0" fillId="9" borderId="0" xfId="0" applyFill="1" applyAlignment="1">
      <alignment horizontal="right"/>
    </xf>
    <xf numFmtId="0" fontId="53" fillId="0" borderId="0" xfId="0" applyFont="1" applyAlignment="1">
      <alignment horizontal="right"/>
    </xf>
    <xf numFmtId="0" fontId="54" fillId="0" borderId="0" xfId="0" applyFont="1" applyAlignment="1">
      <alignment horizontal="right"/>
    </xf>
    <xf numFmtId="0" fontId="53" fillId="14" borderId="0" xfId="0" applyFont="1" applyFill="1" applyAlignment="1">
      <alignment horizontal="right"/>
    </xf>
    <xf numFmtId="0" fontId="53" fillId="4" borderId="0" xfId="0" applyFont="1" applyFill="1" applyAlignment="1">
      <alignment horizontal="right"/>
    </xf>
    <xf numFmtId="164" fontId="40" fillId="0" borderId="0" xfId="0" applyNumberFormat="1" applyFont="1" applyAlignment="1">
      <alignment horizontal="right"/>
    </xf>
    <xf numFmtId="164" fontId="40" fillId="14" borderId="0" xfId="0" applyNumberFormat="1" applyFont="1" applyFill="1" applyAlignment="1">
      <alignment horizontal="right"/>
    </xf>
    <xf numFmtId="164" fontId="40" fillId="19" borderId="0" xfId="0" applyNumberFormat="1" applyFont="1" applyFill="1" applyAlignment="1">
      <alignment horizontal="right"/>
    </xf>
    <xf numFmtId="0" fontId="55" fillId="0" borderId="0" xfId="0" applyFont="1" applyAlignment="1">
      <alignment horizontal="right"/>
    </xf>
    <xf numFmtId="1" fontId="0" fillId="25" borderId="0" xfId="0" applyNumberFormat="1" applyFill="1"/>
    <xf numFmtId="0" fontId="43" fillId="3" borderId="0" xfId="0" applyFont="1" applyFill="1"/>
    <xf numFmtId="0" fontId="34" fillId="3" borderId="0" xfId="0" applyFont="1" applyFill="1" applyAlignment="1">
      <alignment horizontal="center"/>
    </xf>
    <xf numFmtId="0" fontId="37" fillId="3" borderId="0" xfId="0" applyFont="1" applyFill="1" applyAlignment="1">
      <alignment horizontal="center"/>
    </xf>
    <xf numFmtId="0" fontId="28" fillId="3" borderId="0" xfId="0" applyFont="1" applyFill="1" applyAlignment="1">
      <alignment horizontal="center"/>
    </xf>
    <xf numFmtId="0" fontId="48" fillId="3" borderId="0" xfId="0" applyFont="1" applyFill="1" applyAlignment="1">
      <alignment horizontal="center"/>
    </xf>
    <xf numFmtId="10" fontId="34" fillId="3" borderId="0" xfId="0" applyNumberFormat="1" applyFont="1" applyFill="1" applyAlignment="1">
      <alignment horizontal="center"/>
    </xf>
    <xf numFmtId="0" fontId="35" fillId="3" borderId="0" xfId="0" applyFont="1" applyFill="1" applyAlignment="1">
      <alignment horizontal="center"/>
    </xf>
    <xf numFmtId="0" fontId="0" fillId="3" borderId="0" xfId="0" applyFill="1" applyAlignment="1">
      <alignment horizontal="center"/>
    </xf>
    <xf numFmtId="0" fontId="40" fillId="3" borderId="0" xfId="0" applyFont="1" applyFill="1" applyAlignment="1">
      <alignment horizontal="center"/>
    </xf>
    <xf numFmtId="0" fontId="47" fillId="3" borderId="0" xfId="0" applyFont="1" applyFill="1" applyAlignment="1">
      <alignment horizontal="center"/>
    </xf>
    <xf numFmtId="0" fontId="53" fillId="3" borderId="0" xfId="0" applyFont="1" applyFill="1" applyAlignment="1">
      <alignment horizontal="center"/>
    </xf>
    <xf numFmtId="0" fontId="53" fillId="3" borderId="0" xfId="0" applyFont="1" applyFill="1" applyAlignment="1">
      <alignment horizontal="right"/>
    </xf>
    <xf numFmtId="0" fontId="35" fillId="3" borderId="0" xfId="0" applyFont="1" applyFill="1" applyAlignment="1">
      <alignment horizontal="right"/>
    </xf>
    <xf numFmtId="0" fontId="40" fillId="3" borderId="0" xfId="0" applyFont="1" applyFill="1"/>
    <xf numFmtId="0" fontId="43" fillId="2" borderId="0" xfId="0" applyFont="1" applyFill="1"/>
    <xf numFmtId="0" fontId="34" fillId="2" borderId="0" xfId="0" applyFont="1" applyFill="1" applyAlignment="1">
      <alignment horizontal="center"/>
    </xf>
    <xf numFmtId="0" fontId="37" fillId="2" borderId="0" xfId="0" applyFont="1" applyFill="1" applyAlignment="1">
      <alignment horizontal="center"/>
    </xf>
    <xf numFmtId="0" fontId="48" fillId="2" borderId="0" xfId="0" applyFont="1" applyFill="1" applyAlignment="1">
      <alignment horizontal="center"/>
    </xf>
    <xf numFmtId="10" fontId="34" fillId="2" borderId="0" xfId="0" applyNumberFormat="1" applyFont="1" applyFill="1" applyAlignment="1">
      <alignment horizontal="center"/>
    </xf>
    <xf numFmtId="0" fontId="35" fillId="2" borderId="0" xfId="0" applyFont="1" applyFill="1" applyAlignment="1">
      <alignment horizontal="center"/>
    </xf>
    <xf numFmtId="0" fontId="0" fillId="2" borderId="0" xfId="0" applyFill="1" applyAlignment="1">
      <alignment horizontal="center"/>
    </xf>
    <xf numFmtId="0" fontId="40" fillId="2" borderId="0" xfId="0" applyFont="1" applyFill="1" applyAlignment="1">
      <alignment horizontal="center"/>
    </xf>
    <xf numFmtId="0" fontId="47" fillId="2" borderId="0" xfId="0" applyFont="1" applyFill="1" applyAlignment="1">
      <alignment horizontal="center"/>
    </xf>
    <xf numFmtId="0" fontId="53" fillId="2" borderId="0" xfId="0" applyFont="1" applyFill="1" applyAlignment="1">
      <alignment horizontal="center"/>
    </xf>
    <xf numFmtId="0" fontId="53" fillId="2" borderId="0" xfId="0" applyFont="1" applyFill="1" applyAlignment="1">
      <alignment horizontal="right"/>
    </xf>
    <xf numFmtId="0" fontId="35" fillId="2" borderId="0" xfId="0" applyFont="1" applyFill="1" applyAlignment="1">
      <alignment horizontal="right"/>
    </xf>
    <xf numFmtId="0" fontId="40" fillId="2" borderId="0" xfId="0" applyFont="1" applyFill="1"/>
    <xf numFmtId="0" fontId="37" fillId="3" borderId="0" xfId="0" applyFont="1" applyFill="1"/>
    <xf numFmtId="0" fontId="37" fillId="2" borderId="0" xfId="0" applyFont="1" applyFill="1"/>
    <xf numFmtId="165" fontId="34" fillId="0" borderId="0" xfId="0" applyNumberFormat="1" applyFont="1" applyAlignment="1">
      <alignment horizontal="right"/>
    </xf>
    <xf numFmtId="165" fontId="37" fillId="0" borderId="0" xfId="0" applyNumberFormat="1" applyFont="1" applyAlignment="1">
      <alignment horizontal="right"/>
    </xf>
    <xf numFmtId="1" fontId="0" fillId="5" borderId="0" xfId="0" applyNumberFormat="1" applyFill="1" applyAlignment="1">
      <alignment horizontal="right"/>
    </xf>
    <xf numFmtId="1" fontId="40" fillId="5" borderId="0" xfId="0" applyNumberFormat="1" applyFont="1" applyFill="1" applyAlignment="1">
      <alignment horizontal="right"/>
    </xf>
    <xf numFmtId="1" fontId="0" fillId="6" borderId="0" xfId="0" applyNumberFormat="1" applyFill="1" applyAlignment="1">
      <alignment horizontal="right"/>
    </xf>
    <xf numFmtId="1" fontId="40" fillId="6" borderId="0" xfId="0" applyNumberFormat="1" applyFont="1" applyFill="1" applyAlignment="1">
      <alignment horizontal="right"/>
    </xf>
    <xf numFmtId="0" fontId="44" fillId="2" borderId="0" xfId="0" applyFont="1" applyFill="1"/>
    <xf numFmtId="0" fontId="28" fillId="3" borderId="0" xfId="0" applyFont="1" applyFill="1"/>
    <xf numFmtId="0" fontId="43" fillId="3" borderId="0" xfId="0" applyFont="1" applyFill="1" applyAlignment="1">
      <alignment horizontal="right"/>
    </xf>
    <xf numFmtId="0" fontId="31" fillId="3" borderId="0" xfId="0" applyFont="1" applyFill="1" applyAlignment="1">
      <alignment horizontal="center"/>
    </xf>
    <xf numFmtId="0" fontId="42" fillId="3" borderId="0" xfId="0" applyFont="1" applyFill="1" applyAlignment="1">
      <alignment horizontal="center"/>
    </xf>
    <xf numFmtId="0" fontId="54" fillId="3" borderId="0" xfId="0" applyFont="1" applyFill="1" applyAlignment="1">
      <alignment horizontal="right"/>
    </xf>
    <xf numFmtId="0" fontId="6" fillId="3" borderId="0" xfId="0" applyFont="1" applyFill="1" applyAlignment="1">
      <alignment horizontal="right"/>
    </xf>
    <xf numFmtId="0" fontId="39" fillId="3" borderId="0" xfId="0" applyFont="1" applyFill="1" applyAlignment="1">
      <alignment horizontal="right"/>
    </xf>
    <xf numFmtId="0" fontId="36" fillId="3" borderId="0" xfId="0" applyFont="1" applyFill="1" applyAlignment="1">
      <alignment horizontal="right"/>
    </xf>
    <xf numFmtId="0" fontId="38" fillId="3" borderId="0" xfId="0" applyFont="1" applyFill="1" applyAlignment="1">
      <alignment horizontal="right"/>
    </xf>
    <xf numFmtId="0" fontId="41" fillId="3" borderId="0" xfId="0" applyFont="1" applyFill="1" applyAlignment="1">
      <alignment horizontal="right"/>
    </xf>
    <xf numFmtId="0" fontId="32" fillId="3" borderId="0" xfId="0" applyFont="1" applyFill="1" applyAlignment="1">
      <alignment horizontal="right"/>
    </xf>
    <xf numFmtId="0" fontId="1" fillId="5" borderId="1" xfId="0" applyFont="1" applyFill="1" applyBorder="1" applyAlignment="1">
      <alignment horizontal="center" vertical="center"/>
    </xf>
    <xf numFmtId="0" fontId="1" fillId="6" borderId="2" xfId="0" quotePrefix="1" applyFont="1" applyFill="1" applyBorder="1" applyAlignment="1">
      <alignment horizontal="center" vertical="center"/>
    </xf>
    <xf numFmtId="0" fontId="1" fillId="6" borderId="4"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6" xfId="0" applyFont="1" applyFill="1" applyBorder="1" applyAlignment="1">
      <alignment horizontal="center" vertical="center"/>
    </xf>
    <xf numFmtId="0" fontId="1" fillId="6" borderId="7"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164" fontId="0" fillId="0" borderId="0" xfId="0" applyNumberFormat="1"/>
    <xf numFmtId="0" fontId="56" fillId="26" borderId="0" xfId="0" applyFont="1" applyFill="1"/>
    <xf numFmtId="0" fontId="1" fillId="2" borderId="0" xfId="0" applyFont="1" applyFill="1" applyAlignment="1">
      <alignment horizontal="center"/>
    </xf>
    <xf numFmtId="0" fontId="1" fillId="0" borderId="0" xfId="0" quotePrefix="1" applyFont="1" applyAlignment="1"/>
    <xf numFmtId="0" fontId="1" fillId="16" borderId="0" xfId="0" applyFont="1" applyFill="1" applyAlignment="1">
      <alignment horizontal="center"/>
    </xf>
    <xf numFmtId="164" fontId="3" fillId="0" borderId="0" xfId="0" applyNumberFormat="1" applyFont="1" applyAlignment="1">
      <alignment horizontal="center"/>
    </xf>
    <xf numFmtId="0" fontId="1" fillId="8" borderId="0" xfId="0" applyFont="1" applyFill="1" applyAlignment="1">
      <alignment horizontal="center"/>
    </xf>
    <xf numFmtId="0" fontId="56" fillId="27" borderId="0" xfId="0" applyFont="1" applyFill="1" applyAlignment="1">
      <alignment horizontal="center"/>
    </xf>
    <xf numFmtId="0" fontId="56" fillId="28" borderId="0" xfId="0" applyFont="1" applyFill="1" applyAlignment="1">
      <alignment horizontal="center"/>
    </xf>
    <xf numFmtId="0" fontId="3" fillId="16" borderId="0" xfId="0" applyFont="1" applyFill="1" applyAlignment="1">
      <alignment horizontal="center"/>
    </xf>
    <xf numFmtId="0" fontId="57" fillId="27" borderId="0" xfId="0" applyFont="1" applyFill="1" applyAlignment="1">
      <alignment horizontal="center"/>
    </xf>
    <xf numFmtId="0" fontId="57" fillId="28" borderId="0" xfId="0" applyFont="1" applyFill="1" applyAlignment="1">
      <alignment horizontal="center"/>
    </xf>
    <xf numFmtId="0" fontId="1" fillId="6" borderId="1" xfId="0" applyFont="1" applyFill="1" applyBorder="1" applyAlignment="1">
      <alignment horizontal="center"/>
    </xf>
    <xf numFmtId="0" fontId="1" fillId="5" borderId="1" xfId="0" applyFont="1" applyFill="1" applyBorder="1" applyAlignment="1">
      <alignment horizontal="center"/>
    </xf>
    <xf numFmtId="0" fontId="58" fillId="0" borderId="0" xfId="0" applyFont="1"/>
    <xf numFmtId="0" fontId="59" fillId="0" borderId="0" xfId="0" applyFont="1"/>
    <xf numFmtId="0" fontId="60" fillId="0" borderId="0" xfId="0" applyFont="1"/>
    <xf numFmtId="0" fontId="61" fillId="0" borderId="0" xfId="0" applyFont="1"/>
    <xf numFmtId="0" fontId="6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pypi.org/project/mplfin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D1485-CF79-6646-99D0-D4BD67BD7A90}">
  <sheetPr codeName="Sheet1"/>
  <dimension ref="B2:AT191"/>
  <sheetViews>
    <sheetView zoomScale="110" zoomScaleNormal="110" workbookViewId="0">
      <selection activeCell="B193" sqref="B193"/>
    </sheetView>
  </sheetViews>
  <sheetFormatPr baseColWidth="10" defaultColWidth="5.83203125" defaultRowHeight="16" x14ac:dyDescent="0.2"/>
  <cols>
    <col min="1" max="8" width="5.83203125" style="1"/>
    <col min="9" max="10" width="0" style="1" hidden="1" customWidth="1"/>
    <col min="11" max="16384" width="5.83203125" style="1"/>
  </cols>
  <sheetData>
    <row r="2" spans="2:11" x14ac:dyDescent="0.2">
      <c r="B2" s="15" t="s">
        <v>245</v>
      </c>
    </row>
    <row r="3" spans="2:11" x14ac:dyDescent="0.2">
      <c r="C3" s="15" t="s">
        <v>198</v>
      </c>
      <c r="D3" s="7" t="s">
        <v>259</v>
      </c>
      <c r="E3" s="7"/>
    </row>
    <row r="4" spans="2:11" x14ac:dyDescent="0.2">
      <c r="C4" s="7" t="s">
        <v>205</v>
      </c>
      <c r="D4" s="15" t="s">
        <v>227</v>
      </c>
    </row>
    <row r="5" spans="2:11" x14ac:dyDescent="0.2">
      <c r="C5" s="7" t="s">
        <v>205</v>
      </c>
      <c r="D5" s="15" t="s">
        <v>228</v>
      </c>
    </row>
    <row r="6" spans="2:11" x14ac:dyDescent="0.2">
      <c r="C6" s="7"/>
      <c r="D6" s="15"/>
    </row>
    <row r="7" spans="2:11" x14ac:dyDescent="0.2">
      <c r="B7" s="16"/>
      <c r="J7" s="16"/>
    </row>
    <row r="8" spans="2:11" x14ac:dyDescent="0.2">
      <c r="B8" s="16" t="s">
        <v>234</v>
      </c>
      <c r="C8" s="16" t="s">
        <v>107</v>
      </c>
      <c r="D8" s="16" t="s">
        <v>108</v>
      </c>
      <c r="E8" s="16" t="s">
        <v>109</v>
      </c>
      <c r="F8" s="16" t="s">
        <v>235</v>
      </c>
      <c r="G8" s="16" t="s">
        <v>110</v>
      </c>
      <c r="H8" s="16" t="s">
        <v>111</v>
      </c>
      <c r="I8" s="16" t="s">
        <v>112</v>
      </c>
      <c r="K8" s="16"/>
    </row>
    <row r="9" spans="2:11" x14ac:dyDescent="0.2">
      <c r="B9" s="11" t="s">
        <v>41</v>
      </c>
      <c r="C9" s="1" t="s">
        <v>231</v>
      </c>
      <c r="D9" s="1" t="s">
        <v>42</v>
      </c>
      <c r="F9" s="1" t="s">
        <v>113</v>
      </c>
      <c r="G9" s="1" t="s">
        <v>114</v>
      </c>
      <c r="H9" s="1" t="s">
        <v>115</v>
      </c>
      <c r="K9" s="1" t="s">
        <v>207</v>
      </c>
    </row>
    <row r="10" spans="2:11" x14ac:dyDescent="0.2">
      <c r="B10" s="11" t="s">
        <v>43</v>
      </c>
      <c r="C10" s="1" t="s">
        <v>231</v>
      </c>
      <c r="D10" s="1" t="s">
        <v>116</v>
      </c>
      <c r="F10" s="1" t="s">
        <v>113</v>
      </c>
      <c r="G10" s="1" t="s">
        <v>114</v>
      </c>
      <c r="H10" s="1" t="s">
        <v>117</v>
      </c>
      <c r="K10" s="1" t="s">
        <v>208</v>
      </c>
    </row>
    <row r="11" spans="2:11" x14ac:dyDescent="0.2">
      <c r="B11" s="17" t="s">
        <v>45</v>
      </c>
      <c r="C11" s="1" t="s">
        <v>231</v>
      </c>
      <c r="D11" s="1" t="s">
        <v>118</v>
      </c>
      <c r="E11" s="1" t="s">
        <v>119</v>
      </c>
      <c r="F11" s="1" t="s">
        <v>113</v>
      </c>
      <c r="G11" s="1" t="s">
        <v>114</v>
      </c>
      <c r="H11" s="1" t="s">
        <v>120</v>
      </c>
      <c r="K11" s="1" t="s">
        <v>209</v>
      </c>
    </row>
    <row r="12" spans="2:11" x14ac:dyDescent="0.2">
      <c r="B12" s="17" t="s">
        <v>121</v>
      </c>
      <c r="C12" s="1" t="s">
        <v>231</v>
      </c>
      <c r="D12" s="1" t="s">
        <v>122</v>
      </c>
      <c r="E12" s="1" t="s">
        <v>119</v>
      </c>
      <c r="F12" s="1" t="s">
        <v>113</v>
      </c>
      <c r="G12" s="1" t="s">
        <v>114</v>
      </c>
      <c r="H12" s="1" t="s">
        <v>123</v>
      </c>
      <c r="K12" s="1" t="s">
        <v>210</v>
      </c>
    </row>
    <row r="13" spans="2:11" x14ac:dyDescent="0.2">
      <c r="B13" s="17" t="s">
        <v>49</v>
      </c>
      <c r="C13" s="1" t="s">
        <v>231</v>
      </c>
      <c r="D13" s="1" t="s">
        <v>124</v>
      </c>
      <c r="E13" s="1" t="s">
        <v>119</v>
      </c>
      <c r="F13" s="1" t="s">
        <v>113</v>
      </c>
      <c r="G13" s="1" t="s">
        <v>114</v>
      </c>
      <c r="H13" s="1" t="s">
        <v>125</v>
      </c>
    </row>
    <row r="14" spans="2:11" x14ac:dyDescent="0.2">
      <c r="B14" s="17" t="s">
        <v>53</v>
      </c>
      <c r="C14" s="1" t="s">
        <v>231</v>
      </c>
      <c r="D14" s="1" t="s">
        <v>126</v>
      </c>
      <c r="E14" s="1" t="s">
        <v>119</v>
      </c>
      <c r="F14" s="1" t="s">
        <v>113</v>
      </c>
      <c r="G14" s="1" t="s">
        <v>114</v>
      </c>
      <c r="H14" s="1" t="s">
        <v>127</v>
      </c>
      <c r="K14" s="16" t="s">
        <v>128</v>
      </c>
    </row>
    <row r="15" spans="2:11" x14ac:dyDescent="0.2">
      <c r="B15" s="17" t="s">
        <v>57</v>
      </c>
      <c r="C15" s="1" t="s">
        <v>231</v>
      </c>
      <c r="D15" s="1" t="s">
        <v>129</v>
      </c>
      <c r="E15" s="1" t="s">
        <v>119</v>
      </c>
      <c r="F15" s="1" t="s">
        <v>113</v>
      </c>
      <c r="G15" s="1" t="s">
        <v>114</v>
      </c>
      <c r="H15" s="1" t="s">
        <v>130</v>
      </c>
    </row>
    <row r="16" spans="2:11" x14ac:dyDescent="0.2">
      <c r="B16" s="17" t="s">
        <v>131</v>
      </c>
      <c r="C16" s="1" t="s">
        <v>236</v>
      </c>
      <c r="D16" s="1" t="s">
        <v>33</v>
      </c>
      <c r="E16" s="1" t="s">
        <v>119</v>
      </c>
      <c r="F16" s="1" t="s">
        <v>113</v>
      </c>
      <c r="G16" s="1" t="s">
        <v>114</v>
      </c>
      <c r="H16" s="1" t="s">
        <v>132</v>
      </c>
      <c r="I16" s="1">
        <v>1</v>
      </c>
      <c r="K16" s="1" t="s">
        <v>211</v>
      </c>
    </row>
    <row r="17" spans="2:11" x14ac:dyDescent="0.2">
      <c r="B17" s="17" t="s">
        <v>133</v>
      </c>
      <c r="C17" s="1" t="s">
        <v>236</v>
      </c>
      <c r="D17" s="1" t="s">
        <v>134</v>
      </c>
      <c r="E17" s="1" t="s">
        <v>119</v>
      </c>
      <c r="F17" s="1" t="s">
        <v>113</v>
      </c>
      <c r="G17" s="1" t="s">
        <v>114</v>
      </c>
      <c r="H17" s="1" t="s">
        <v>132</v>
      </c>
      <c r="I17" s="1">
        <v>1</v>
      </c>
      <c r="K17" s="1" t="s">
        <v>212</v>
      </c>
    </row>
    <row r="18" spans="2:11" x14ac:dyDescent="0.2">
      <c r="B18" s="17" t="s">
        <v>135</v>
      </c>
      <c r="C18" s="1" t="s">
        <v>236</v>
      </c>
      <c r="D18" s="1" t="s">
        <v>36</v>
      </c>
      <c r="E18" s="1" t="s">
        <v>119</v>
      </c>
      <c r="F18" s="1" t="s">
        <v>113</v>
      </c>
      <c r="G18" s="1" t="s">
        <v>114</v>
      </c>
      <c r="H18" s="1" t="s">
        <v>132</v>
      </c>
      <c r="I18" s="1">
        <v>1</v>
      </c>
    </row>
    <row r="19" spans="2:11" x14ac:dyDescent="0.2">
      <c r="B19" s="17" t="s">
        <v>136</v>
      </c>
      <c r="C19" s="1" t="s">
        <v>236</v>
      </c>
      <c r="D19" s="1" t="s">
        <v>137</v>
      </c>
      <c r="E19" s="1" t="s">
        <v>119</v>
      </c>
      <c r="F19" s="1" t="s">
        <v>113</v>
      </c>
      <c r="G19" s="1" t="s">
        <v>114</v>
      </c>
      <c r="H19" s="1" t="s">
        <v>132</v>
      </c>
      <c r="I19" s="1">
        <v>1</v>
      </c>
      <c r="K19" s="1" t="s">
        <v>213</v>
      </c>
    </row>
    <row r="20" spans="2:11" x14ac:dyDescent="0.2">
      <c r="B20" s="17" t="s">
        <v>138</v>
      </c>
      <c r="C20" s="1" t="s">
        <v>236</v>
      </c>
      <c r="D20" s="1" t="s">
        <v>139</v>
      </c>
      <c r="E20" s="1" t="s">
        <v>119</v>
      </c>
      <c r="F20" s="1" t="s">
        <v>113</v>
      </c>
      <c r="G20" s="1" t="s">
        <v>114</v>
      </c>
      <c r="H20" s="1" t="s">
        <v>132</v>
      </c>
      <c r="I20" s="1">
        <v>1</v>
      </c>
      <c r="K20" s="1" t="s">
        <v>214</v>
      </c>
    </row>
    <row r="21" spans="2:11" x14ac:dyDescent="0.2">
      <c r="B21" s="17" t="s">
        <v>140</v>
      </c>
      <c r="C21" s="1" t="s">
        <v>236</v>
      </c>
      <c r="D21" s="1" t="s">
        <v>141</v>
      </c>
      <c r="E21" s="1" t="s">
        <v>119</v>
      </c>
      <c r="F21" s="1" t="s">
        <v>113</v>
      </c>
      <c r="G21" s="1" t="s">
        <v>114</v>
      </c>
      <c r="H21" s="1" t="s">
        <v>132</v>
      </c>
      <c r="I21" s="1">
        <v>1</v>
      </c>
      <c r="K21" s="1" t="s">
        <v>215</v>
      </c>
    </row>
    <row r="22" spans="2:11" x14ac:dyDescent="0.2">
      <c r="B22" s="17" t="s">
        <v>142</v>
      </c>
      <c r="C22" s="1" t="s">
        <v>236</v>
      </c>
      <c r="D22" s="1" t="s">
        <v>143</v>
      </c>
      <c r="E22" s="1" t="s">
        <v>119</v>
      </c>
      <c r="F22" s="1" t="s">
        <v>113</v>
      </c>
      <c r="G22" s="1" t="s">
        <v>114</v>
      </c>
      <c r="H22" s="1" t="s">
        <v>132</v>
      </c>
      <c r="I22" s="1">
        <v>1</v>
      </c>
      <c r="K22" s="1" t="s">
        <v>216</v>
      </c>
    </row>
    <row r="23" spans="2:11" x14ac:dyDescent="0.2">
      <c r="B23" s="17" t="s">
        <v>144</v>
      </c>
      <c r="C23" s="1" t="s">
        <v>236</v>
      </c>
      <c r="D23" s="1" t="s">
        <v>145</v>
      </c>
      <c r="E23" s="1" t="s">
        <v>119</v>
      </c>
      <c r="F23" s="1" t="s">
        <v>113</v>
      </c>
      <c r="G23" s="1" t="s">
        <v>114</v>
      </c>
      <c r="H23" s="1" t="s">
        <v>132</v>
      </c>
      <c r="I23" s="1">
        <v>1</v>
      </c>
      <c r="K23" s="1" t="s">
        <v>217</v>
      </c>
    </row>
    <row r="24" spans="2:11" x14ac:dyDescent="0.2">
      <c r="B24" s="17" t="s">
        <v>146</v>
      </c>
      <c r="C24" s="1" t="s">
        <v>236</v>
      </c>
      <c r="D24" s="1" t="s">
        <v>147</v>
      </c>
      <c r="E24" s="1" t="s">
        <v>119</v>
      </c>
      <c r="F24" s="1" t="s">
        <v>113</v>
      </c>
      <c r="G24" s="1" t="s">
        <v>114</v>
      </c>
      <c r="H24" s="1" t="s">
        <v>132</v>
      </c>
      <c r="I24" s="1">
        <v>1</v>
      </c>
      <c r="K24" s="1" t="s">
        <v>218</v>
      </c>
    </row>
    <row r="25" spans="2:11" x14ac:dyDescent="0.2">
      <c r="B25" s="17" t="s">
        <v>148</v>
      </c>
      <c r="C25" s="1" t="s">
        <v>237</v>
      </c>
      <c r="D25" s="1" t="s">
        <v>149</v>
      </c>
      <c r="E25" s="1" t="s">
        <v>119</v>
      </c>
      <c r="F25" s="1" t="s">
        <v>113</v>
      </c>
      <c r="G25" s="1" t="s">
        <v>114</v>
      </c>
      <c r="H25" s="1" t="s">
        <v>132</v>
      </c>
      <c r="I25" s="1">
        <v>1</v>
      </c>
      <c r="K25" s="1" t="s">
        <v>230</v>
      </c>
    </row>
    <row r="26" spans="2:11" x14ac:dyDescent="0.2">
      <c r="B26" s="17" t="s">
        <v>150</v>
      </c>
      <c r="C26" s="1" t="s">
        <v>238</v>
      </c>
      <c r="D26" s="1" t="s">
        <v>239</v>
      </c>
      <c r="E26" s="1" t="s">
        <v>119</v>
      </c>
      <c r="F26" s="1" t="s">
        <v>113</v>
      </c>
      <c r="G26" s="1" t="s">
        <v>114</v>
      </c>
      <c r="H26" s="1" t="s">
        <v>132</v>
      </c>
    </row>
    <row r="27" spans="2:11" x14ac:dyDescent="0.2">
      <c r="B27" s="17" t="s">
        <v>229</v>
      </c>
      <c r="C27" s="1" t="s">
        <v>238</v>
      </c>
      <c r="D27" s="1" t="s">
        <v>149</v>
      </c>
      <c r="E27" s="1" t="s">
        <v>119</v>
      </c>
      <c r="F27" s="1" t="s">
        <v>113</v>
      </c>
      <c r="G27" s="1" t="s">
        <v>114</v>
      </c>
      <c r="H27" s="1" t="s">
        <v>132</v>
      </c>
    </row>
    <row r="28" spans="2:11" x14ac:dyDescent="0.2">
      <c r="B28" s="17" t="s">
        <v>152</v>
      </c>
      <c r="C28" s="1" t="s">
        <v>238</v>
      </c>
      <c r="D28" s="1" t="s">
        <v>107</v>
      </c>
      <c r="E28" s="1" t="s">
        <v>119</v>
      </c>
      <c r="F28" s="1" t="s">
        <v>154</v>
      </c>
      <c r="G28" s="1" t="s">
        <v>107</v>
      </c>
      <c r="H28" s="1" t="s">
        <v>155</v>
      </c>
    </row>
    <row r="29" spans="2:11" x14ac:dyDescent="0.2">
      <c r="B29" s="17" t="s">
        <v>156</v>
      </c>
      <c r="C29" s="1" t="s">
        <v>240</v>
      </c>
      <c r="D29" s="1" t="s">
        <v>157</v>
      </c>
      <c r="E29" s="1" t="s">
        <v>119</v>
      </c>
      <c r="F29" s="1" t="s">
        <v>154</v>
      </c>
      <c r="G29" s="1" t="s">
        <v>107</v>
      </c>
      <c r="H29" s="1" t="s">
        <v>158</v>
      </c>
    </row>
    <row r="30" spans="2:11" x14ac:dyDescent="0.2">
      <c r="B30" s="17" t="s">
        <v>159</v>
      </c>
      <c r="C30" s="1" t="s">
        <v>240</v>
      </c>
      <c r="D30" s="1" t="s">
        <v>160</v>
      </c>
      <c r="E30" s="1" t="s">
        <v>119</v>
      </c>
      <c r="F30" s="1" t="s">
        <v>154</v>
      </c>
      <c r="G30" s="1" t="s">
        <v>107</v>
      </c>
      <c r="H30" s="1" t="s">
        <v>158</v>
      </c>
    </row>
    <row r="31" spans="2:11" x14ac:dyDescent="0.2">
      <c r="B31" s="17" t="s">
        <v>161</v>
      </c>
      <c r="C31" s="1" t="s">
        <v>240</v>
      </c>
      <c r="D31" s="1" t="s">
        <v>162</v>
      </c>
      <c r="E31" s="1" t="s">
        <v>119</v>
      </c>
      <c r="F31" s="1" t="s">
        <v>154</v>
      </c>
      <c r="G31" s="1" t="s">
        <v>107</v>
      </c>
      <c r="H31" s="1" t="s">
        <v>158</v>
      </c>
    </row>
    <row r="32" spans="2:11" x14ac:dyDescent="0.2">
      <c r="B32" s="18" t="s">
        <v>46</v>
      </c>
      <c r="C32" s="1" t="s">
        <v>231</v>
      </c>
      <c r="D32" s="1" t="s">
        <v>118</v>
      </c>
      <c r="E32" s="1" t="s">
        <v>163</v>
      </c>
      <c r="F32" s="1" t="s">
        <v>113</v>
      </c>
      <c r="H32" s="1" t="s">
        <v>164</v>
      </c>
    </row>
    <row r="33" spans="2:9" x14ac:dyDescent="0.2">
      <c r="B33" s="18" t="s">
        <v>165</v>
      </c>
      <c r="C33" s="1" t="s">
        <v>231</v>
      </c>
      <c r="D33" s="1" t="s">
        <v>122</v>
      </c>
      <c r="E33" s="1" t="s">
        <v>163</v>
      </c>
      <c r="F33" s="1" t="s">
        <v>113</v>
      </c>
      <c r="G33" s="1" t="s">
        <v>114</v>
      </c>
      <c r="H33" s="1" t="s">
        <v>166</v>
      </c>
    </row>
    <row r="34" spans="2:9" x14ac:dyDescent="0.2">
      <c r="B34" s="18" t="s">
        <v>50</v>
      </c>
      <c r="C34" s="1" t="s">
        <v>231</v>
      </c>
      <c r="D34" s="1" t="s">
        <v>124</v>
      </c>
      <c r="E34" s="1" t="s">
        <v>163</v>
      </c>
      <c r="F34" s="1" t="s">
        <v>113</v>
      </c>
      <c r="G34" s="1" t="s">
        <v>114</v>
      </c>
      <c r="H34" s="1" t="s">
        <v>167</v>
      </c>
    </row>
    <row r="35" spans="2:9" x14ac:dyDescent="0.2">
      <c r="B35" s="18" t="s">
        <v>54</v>
      </c>
      <c r="C35" s="1" t="s">
        <v>231</v>
      </c>
      <c r="D35" s="1" t="s">
        <v>126</v>
      </c>
      <c r="E35" s="1" t="s">
        <v>163</v>
      </c>
      <c r="F35" s="1" t="s">
        <v>113</v>
      </c>
      <c r="G35" s="1" t="s">
        <v>114</v>
      </c>
      <c r="H35" s="1" t="s">
        <v>168</v>
      </c>
    </row>
    <row r="36" spans="2:9" x14ac:dyDescent="0.2">
      <c r="B36" s="18" t="s">
        <v>58</v>
      </c>
      <c r="C36" s="1" t="s">
        <v>231</v>
      </c>
      <c r="D36" s="1" t="s">
        <v>129</v>
      </c>
      <c r="E36" s="1" t="s">
        <v>163</v>
      </c>
      <c r="F36" s="1" t="s">
        <v>113</v>
      </c>
      <c r="G36" s="1" t="s">
        <v>114</v>
      </c>
      <c r="H36" s="1" t="s">
        <v>169</v>
      </c>
    </row>
    <row r="37" spans="2:9" x14ac:dyDescent="0.2">
      <c r="B37" s="18" t="s">
        <v>170</v>
      </c>
      <c r="C37" s="1" t="s">
        <v>236</v>
      </c>
      <c r="D37" s="1" t="s">
        <v>33</v>
      </c>
      <c r="E37" s="1" t="s">
        <v>163</v>
      </c>
      <c r="F37" s="1" t="s">
        <v>113</v>
      </c>
      <c r="G37" s="1" t="s">
        <v>114</v>
      </c>
      <c r="H37" s="1" t="s">
        <v>132</v>
      </c>
      <c r="I37" s="1">
        <v>1</v>
      </c>
    </row>
    <row r="38" spans="2:9" x14ac:dyDescent="0.2">
      <c r="B38" s="18" t="s">
        <v>171</v>
      </c>
      <c r="C38" s="1" t="s">
        <v>236</v>
      </c>
      <c r="D38" s="1" t="s">
        <v>134</v>
      </c>
      <c r="E38" s="1" t="s">
        <v>163</v>
      </c>
      <c r="F38" s="1" t="s">
        <v>113</v>
      </c>
      <c r="G38" s="1" t="s">
        <v>114</v>
      </c>
      <c r="H38" s="1" t="s">
        <v>132</v>
      </c>
      <c r="I38" s="1">
        <v>1</v>
      </c>
    </row>
    <row r="39" spans="2:9" x14ac:dyDescent="0.2">
      <c r="B39" s="18" t="s">
        <v>172</v>
      </c>
      <c r="C39" s="1" t="s">
        <v>236</v>
      </c>
      <c r="D39" s="1" t="s">
        <v>36</v>
      </c>
      <c r="E39" s="1" t="s">
        <v>163</v>
      </c>
      <c r="F39" s="1" t="s">
        <v>113</v>
      </c>
      <c r="G39" s="1" t="s">
        <v>114</v>
      </c>
      <c r="H39" s="1" t="s">
        <v>132</v>
      </c>
      <c r="I39" s="1">
        <v>1</v>
      </c>
    </row>
    <row r="40" spans="2:9" x14ac:dyDescent="0.2">
      <c r="B40" s="18" t="s">
        <v>173</v>
      </c>
      <c r="C40" s="1" t="s">
        <v>236</v>
      </c>
      <c r="D40" s="1" t="s">
        <v>137</v>
      </c>
      <c r="E40" s="1" t="s">
        <v>163</v>
      </c>
      <c r="F40" s="1" t="s">
        <v>113</v>
      </c>
      <c r="G40" s="1" t="s">
        <v>114</v>
      </c>
      <c r="H40" s="1" t="s">
        <v>132</v>
      </c>
      <c r="I40" s="1">
        <v>1</v>
      </c>
    </row>
    <row r="41" spans="2:9" x14ac:dyDescent="0.2">
      <c r="B41" s="18" t="s">
        <v>174</v>
      </c>
      <c r="C41" s="1" t="s">
        <v>236</v>
      </c>
      <c r="D41" s="1" t="s">
        <v>139</v>
      </c>
      <c r="E41" s="1" t="s">
        <v>163</v>
      </c>
      <c r="F41" s="1" t="s">
        <v>113</v>
      </c>
      <c r="G41" s="1" t="s">
        <v>114</v>
      </c>
      <c r="H41" s="1" t="s">
        <v>132</v>
      </c>
      <c r="I41" s="1">
        <v>1</v>
      </c>
    </row>
    <row r="42" spans="2:9" x14ac:dyDescent="0.2">
      <c r="B42" s="18" t="s">
        <v>175</v>
      </c>
      <c r="C42" s="1" t="s">
        <v>236</v>
      </c>
      <c r="D42" s="1" t="s">
        <v>141</v>
      </c>
      <c r="E42" s="1" t="s">
        <v>163</v>
      </c>
      <c r="F42" s="1" t="s">
        <v>113</v>
      </c>
      <c r="G42" s="1" t="s">
        <v>114</v>
      </c>
      <c r="H42" s="1" t="s">
        <v>132</v>
      </c>
      <c r="I42" s="1">
        <v>1</v>
      </c>
    </row>
    <row r="43" spans="2:9" x14ac:dyDescent="0.2">
      <c r="B43" s="18" t="s">
        <v>176</v>
      </c>
      <c r="C43" s="1" t="s">
        <v>236</v>
      </c>
      <c r="D43" s="1" t="s">
        <v>143</v>
      </c>
      <c r="E43" s="1" t="s">
        <v>163</v>
      </c>
      <c r="F43" s="1" t="s">
        <v>113</v>
      </c>
      <c r="G43" s="1" t="s">
        <v>114</v>
      </c>
      <c r="H43" s="1" t="s">
        <v>132</v>
      </c>
      <c r="I43" s="1">
        <v>1</v>
      </c>
    </row>
    <row r="44" spans="2:9" x14ac:dyDescent="0.2">
      <c r="B44" s="18" t="s">
        <v>177</v>
      </c>
      <c r="C44" s="1" t="s">
        <v>236</v>
      </c>
      <c r="D44" s="1" t="s">
        <v>145</v>
      </c>
      <c r="E44" s="1" t="s">
        <v>163</v>
      </c>
      <c r="F44" s="1" t="s">
        <v>113</v>
      </c>
      <c r="G44" s="1" t="s">
        <v>114</v>
      </c>
      <c r="H44" s="1" t="s">
        <v>132</v>
      </c>
      <c r="I44" s="1">
        <v>1</v>
      </c>
    </row>
    <row r="45" spans="2:9" x14ac:dyDescent="0.2">
      <c r="B45" s="18" t="s">
        <v>178</v>
      </c>
      <c r="C45" s="1" t="s">
        <v>236</v>
      </c>
      <c r="D45" s="1" t="s">
        <v>147</v>
      </c>
      <c r="E45" s="1" t="s">
        <v>163</v>
      </c>
      <c r="F45" s="1" t="s">
        <v>113</v>
      </c>
      <c r="G45" s="1" t="s">
        <v>114</v>
      </c>
      <c r="H45" s="1" t="s">
        <v>132</v>
      </c>
      <c r="I45" s="1">
        <v>1</v>
      </c>
    </row>
    <row r="46" spans="2:9" x14ac:dyDescent="0.2">
      <c r="B46" s="18" t="s">
        <v>179</v>
      </c>
      <c r="C46" s="1" t="s">
        <v>237</v>
      </c>
      <c r="D46" s="1" t="s">
        <v>149</v>
      </c>
      <c r="E46" s="1" t="s">
        <v>163</v>
      </c>
      <c r="F46" s="1" t="s">
        <v>113</v>
      </c>
      <c r="G46" s="1" t="s">
        <v>114</v>
      </c>
      <c r="H46" s="1" t="s">
        <v>132</v>
      </c>
      <c r="I46" s="1">
        <v>1</v>
      </c>
    </row>
    <row r="47" spans="2:9" x14ac:dyDescent="0.2">
      <c r="B47" s="18" t="s">
        <v>180</v>
      </c>
      <c r="C47" s="1" t="s">
        <v>238</v>
      </c>
      <c r="D47" s="1" t="s">
        <v>151</v>
      </c>
      <c r="E47" s="1" t="s">
        <v>163</v>
      </c>
      <c r="F47" s="1" t="s">
        <v>113</v>
      </c>
      <c r="G47" s="1" t="s">
        <v>114</v>
      </c>
      <c r="H47" s="1" t="s">
        <v>132</v>
      </c>
    </row>
    <row r="48" spans="2:9" x14ac:dyDescent="0.2">
      <c r="B48" s="18" t="s">
        <v>241</v>
      </c>
      <c r="C48" s="1" t="s">
        <v>238</v>
      </c>
      <c r="D48" s="1" t="s">
        <v>149</v>
      </c>
      <c r="E48" s="1" t="s">
        <v>119</v>
      </c>
      <c r="F48" s="1" t="s">
        <v>113</v>
      </c>
      <c r="G48" s="1" t="s">
        <v>114</v>
      </c>
      <c r="H48" s="1" t="s">
        <v>132</v>
      </c>
    </row>
    <row r="49" spans="2:46" x14ac:dyDescent="0.2">
      <c r="B49" s="18" t="s">
        <v>181</v>
      </c>
      <c r="C49" s="1" t="s">
        <v>238</v>
      </c>
      <c r="D49" s="1" t="s">
        <v>153</v>
      </c>
      <c r="E49" s="1" t="s">
        <v>163</v>
      </c>
      <c r="F49" s="1" t="s">
        <v>154</v>
      </c>
      <c r="G49" s="1" t="s">
        <v>107</v>
      </c>
      <c r="H49" s="1" t="s">
        <v>155</v>
      </c>
    </row>
    <row r="50" spans="2:46" x14ac:dyDescent="0.2">
      <c r="B50" s="18" t="s">
        <v>182</v>
      </c>
      <c r="C50" s="1" t="s">
        <v>240</v>
      </c>
      <c r="D50" s="1" t="s">
        <v>157</v>
      </c>
      <c r="E50" s="1" t="s">
        <v>163</v>
      </c>
      <c r="F50" s="1" t="s">
        <v>154</v>
      </c>
      <c r="G50" s="1" t="s">
        <v>107</v>
      </c>
      <c r="H50" s="1" t="s">
        <v>158</v>
      </c>
    </row>
    <row r="51" spans="2:46" x14ac:dyDescent="0.2">
      <c r="B51" s="18" t="s">
        <v>183</v>
      </c>
      <c r="C51" s="1" t="s">
        <v>240</v>
      </c>
      <c r="D51" s="1" t="s">
        <v>160</v>
      </c>
      <c r="E51" s="1" t="s">
        <v>163</v>
      </c>
      <c r="F51" s="1" t="s">
        <v>154</v>
      </c>
      <c r="G51" s="1" t="s">
        <v>107</v>
      </c>
      <c r="H51" s="1" t="s">
        <v>158</v>
      </c>
    </row>
    <row r="52" spans="2:46" x14ac:dyDescent="0.2">
      <c r="B52" s="18" t="s">
        <v>184</v>
      </c>
      <c r="C52" s="1" t="s">
        <v>240</v>
      </c>
      <c r="D52" s="1" t="s">
        <v>162</v>
      </c>
      <c r="E52" s="1" t="s">
        <v>163</v>
      </c>
      <c r="F52" s="1" t="s">
        <v>154</v>
      </c>
      <c r="G52" s="1" t="s">
        <v>107</v>
      </c>
      <c r="H52" s="1" t="s">
        <v>158</v>
      </c>
    </row>
    <row r="54" spans="2:46" x14ac:dyDescent="0.2">
      <c r="B54" s="24" t="s">
        <v>139</v>
      </c>
    </row>
    <row r="55" spans="2:46" x14ac:dyDescent="0.2">
      <c r="C55" s="7" t="s">
        <v>234</v>
      </c>
      <c r="E55" s="1" t="s">
        <v>243</v>
      </c>
      <c r="M55" s="1" t="s">
        <v>244</v>
      </c>
      <c r="AJ55" s="7"/>
      <c r="AK55" s="7" t="s">
        <v>138</v>
      </c>
      <c r="AL55" s="7"/>
      <c r="AM55" s="7" t="s">
        <v>174</v>
      </c>
      <c r="AO55" s="7"/>
      <c r="AQ55" s="7" t="s">
        <v>138</v>
      </c>
      <c r="AR55" s="7"/>
      <c r="AS55" s="7" t="s">
        <v>174</v>
      </c>
    </row>
    <row r="56" spans="2:46" x14ac:dyDescent="0.2">
      <c r="C56" s="19" t="s">
        <v>199</v>
      </c>
      <c r="D56" s="6" t="s">
        <v>39</v>
      </c>
      <c r="E56" s="1" t="s">
        <v>192</v>
      </c>
      <c r="M56" s="24" t="s">
        <v>34</v>
      </c>
      <c r="N56" s="19" t="s">
        <v>199</v>
      </c>
      <c r="O56" s="7" t="b">
        <v>1</v>
      </c>
      <c r="P56" s="24" t="s">
        <v>35</v>
      </c>
      <c r="Q56" s="7" t="s">
        <v>221</v>
      </c>
      <c r="R56" s="26" t="s">
        <v>138</v>
      </c>
      <c r="S56" s="6" t="s">
        <v>39</v>
      </c>
      <c r="T56" s="26">
        <v>1</v>
      </c>
      <c r="U56" s="7" t="s">
        <v>193</v>
      </c>
      <c r="V56" s="26" t="s">
        <v>174</v>
      </c>
      <c r="W56" s="6" t="s">
        <v>39</v>
      </c>
      <c r="X56" s="7">
        <f>IF(T56=0,1,0)</f>
        <v>0</v>
      </c>
      <c r="Y56" s="7" t="s">
        <v>224</v>
      </c>
      <c r="Z56" s="24" t="s">
        <v>220</v>
      </c>
      <c r="AA56" s="7" t="s">
        <v>222</v>
      </c>
      <c r="AB56" s="7" t="str">
        <f>R56</f>
        <v>PSAR+</v>
      </c>
      <c r="AC56" s="6" t="s">
        <v>39</v>
      </c>
      <c r="AD56" s="7">
        <f>IF(T56=0,1,0)</f>
        <v>0</v>
      </c>
      <c r="AE56" s="7" t="s">
        <v>193</v>
      </c>
      <c r="AF56" s="7" t="str">
        <f>V56</f>
        <v>PSAR-</v>
      </c>
      <c r="AG56" s="6" t="s">
        <v>39</v>
      </c>
      <c r="AH56" s="7">
        <f>IF(AD56=0,1,0)</f>
        <v>1</v>
      </c>
      <c r="AI56" s="7" t="s">
        <v>223</v>
      </c>
      <c r="AJ56" s="7" t="s">
        <v>221</v>
      </c>
      <c r="AK56" s="26">
        <v>1</v>
      </c>
      <c r="AL56" s="7" t="s">
        <v>193</v>
      </c>
      <c r="AM56" s="7">
        <f>IF(AK56=0,1,0)</f>
        <v>0</v>
      </c>
      <c r="AN56" s="7" t="s">
        <v>224</v>
      </c>
      <c r="AO56" s="24" t="s">
        <v>220</v>
      </c>
      <c r="AP56" s="7" t="s">
        <v>222</v>
      </c>
      <c r="AQ56" s="7">
        <f>IF(AK56=0,1,0)</f>
        <v>0</v>
      </c>
      <c r="AR56" s="7" t="s">
        <v>193</v>
      </c>
      <c r="AS56" s="7">
        <f>IF(AQ56=0,1,0)</f>
        <v>1</v>
      </c>
      <c r="AT56" s="7" t="s">
        <v>223</v>
      </c>
    </row>
    <row r="57" spans="2:46" x14ac:dyDescent="0.2">
      <c r="M57" s="24" t="s">
        <v>34</v>
      </c>
      <c r="N57" s="19" t="s">
        <v>199</v>
      </c>
      <c r="O57" s="7" t="b">
        <v>0</v>
      </c>
      <c r="P57" s="24" t="s">
        <v>35</v>
      </c>
      <c r="Q57" s="7" t="s">
        <v>222</v>
      </c>
      <c r="R57" s="7" t="str">
        <f>R56</f>
        <v>PSAR+</v>
      </c>
      <c r="S57" s="6" t="s">
        <v>39</v>
      </c>
      <c r="T57" s="26">
        <v>1</v>
      </c>
      <c r="U57" s="7" t="s">
        <v>193</v>
      </c>
      <c r="V57" s="7" t="str">
        <f>V56</f>
        <v>PSAR-</v>
      </c>
      <c r="W57" s="6" t="s">
        <v>39</v>
      </c>
      <c r="X57" s="26">
        <v>1</v>
      </c>
      <c r="Y57" s="7" t="s">
        <v>224</v>
      </c>
      <c r="AJ57" s="7" t="s">
        <v>222</v>
      </c>
      <c r="AK57" s="26">
        <v>1</v>
      </c>
      <c r="AL57" s="7" t="s">
        <v>193</v>
      </c>
      <c r="AM57" s="26">
        <v>1</v>
      </c>
      <c r="AN57" s="7" t="s">
        <v>224</v>
      </c>
    </row>
    <row r="58" spans="2:46" x14ac:dyDescent="0.2">
      <c r="C58" s="20" t="s">
        <v>200</v>
      </c>
      <c r="D58" s="6" t="s">
        <v>39</v>
      </c>
      <c r="E58" s="1" t="s">
        <v>194</v>
      </c>
      <c r="M58" s="24" t="s">
        <v>34</v>
      </c>
      <c r="N58" s="20" t="s">
        <v>200</v>
      </c>
      <c r="O58" s="7" t="b">
        <v>1</v>
      </c>
      <c r="P58" s="24" t="s">
        <v>35</v>
      </c>
      <c r="Q58" s="7" t="s">
        <v>221</v>
      </c>
      <c r="R58" s="26" t="s">
        <v>185</v>
      </c>
      <c r="S58" s="6" t="s">
        <v>39</v>
      </c>
      <c r="T58" s="26">
        <v>1</v>
      </c>
      <c r="U58" s="7" t="s">
        <v>193</v>
      </c>
      <c r="V58" s="26" t="s">
        <v>189</v>
      </c>
      <c r="W58" s="6" t="s">
        <v>39</v>
      </c>
      <c r="X58" s="7">
        <f>IF(T58=0,1,0)</f>
        <v>0</v>
      </c>
      <c r="Y58" s="7" t="s">
        <v>224</v>
      </c>
      <c r="Z58" s="24" t="s">
        <v>220</v>
      </c>
      <c r="AA58" s="7" t="s">
        <v>222</v>
      </c>
      <c r="AB58" s="7" t="str">
        <f>R58</f>
        <v>PSD+</v>
      </c>
      <c r="AC58" s="6" t="s">
        <v>39</v>
      </c>
      <c r="AD58" s="7">
        <f>IF(T58=0,1,0)</f>
        <v>0</v>
      </c>
      <c r="AE58" s="7" t="s">
        <v>193</v>
      </c>
      <c r="AF58" s="7" t="str">
        <f>V58</f>
        <v>PSD-</v>
      </c>
      <c r="AG58" s="6" t="s">
        <v>39</v>
      </c>
      <c r="AH58" s="7">
        <f>IF(AD58=0,1,0)</f>
        <v>1</v>
      </c>
      <c r="AI58" s="7" t="s">
        <v>223</v>
      </c>
    </row>
    <row r="59" spans="2:46" x14ac:dyDescent="0.2">
      <c r="M59" s="24" t="s">
        <v>34</v>
      </c>
      <c r="N59" s="20" t="s">
        <v>200</v>
      </c>
      <c r="O59" s="7" t="b">
        <v>0</v>
      </c>
      <c r="P59" s="24" t="s">
        <v>35</v>
      </c>
      <c r="Q59" s="7" t="s">
        <v>222</v>
      </c>
      <c r="R59" s="7" t="str">
        <f>R58</f>
        <v>PSD+</v>
      </c>
      <c r="S59" s="6" t="s">
        <v>39</v>
      </c>
      <c r="T59" s="26">
        <v>1</v>
      </c>
      <c r="U59" s="7" t="s">
        <v>193</v>
      </c>
      <c r="V59" s="7" t="str">
        <f>V58</f>
        <v>PSD-</v>
      </c>
      <c r="W59" s="6" t="s">
        <v>39</v>
      </c>
      <c r="X59" s="26">
        <v>1</v>
      </c>
      <c r="Y59" s="7" t="s">
        <v>224</v>
      </c>
    </row>
    <row r="60" spans="2:46" x14ac:dyDescent="0.2">
      <c r="C60" s="21" t="s">
        <v>201</v>
      </c>
      <c r="D60" s="6" t="s">
        <v>39</v>
      </c>
      <c r="E60" s="1" t="s">
        <v>195</v>
      </c>
      <c r="M60" s="24" t="s">
        <v>34</v>
      </c>
      <c r="N60" s="21" t="s">
        <v>201</v>
      </c>
      <c r="O60" s="7" t="b">
        <v>1</v>
      </c>
      <c r="P60" s="24" t="s">
        <v>35</v>
      </c>
      <c r="Q60" s="7" t="s">
        <v>221</v>
      </c>
      <c r="R60" s="26" t="s">
        <v>187</v>
      </c>
      <c r="S60" s="6" t="s">
        <v>39</v>
      </c>
      <c r="T60" s="26">
        <v>1</v>
      </c>
      <c r="U60" s="7" t="s">
        <v>193</v>
      </c>
      <c r="V60" s="26" t="s">
        <v>190</v>
      </c>
      <c r="W60" s="6" t="s">
        <v>39</v>
      </c>
      <c r="X60" s="7">
        <f>IF(T60=0,1,0)</f>
        <v>0</v>
      </c>
      <c r="Y60" s="7" t="s">
        <v>224</v>
      </c>
      <c r="Z60" s="24" t="s">
        <v>220</v>
      </c>
      <c r="AA60" s="7" t="s">
        <v>222</v>
      </c>
      <c r="AB60" s="7" t="str">
        <f>R60</f>
        <v>PSF+</v>
      </c>
      <c r="AC60" s="6" t="s">
        <v>39</v>
      </c>
      <c r="AD60" s="7">
        <f>IF(T60=0,1,0)</f>
        <v>0</v>
      </c>
      <c r="AE60" s="7" t="s">
        <v>193</v>
      </c>
      <c r="AF60" s="7" t="str">
        <f>V60</f>
        <v>PSF-</v>
      </c>
      <c r="AG60" s="6" t="s">
        <v>39</v>
      </c>
      <c r="AH60" s="7">
        <f>IF(AD60=0,1,0)</f>
        <v>1</v>
      </c>
      <c r="AI60" s="7" t="s">
        <v>223</v>
      </c>
    </row>
    <row r="61" spans="2:46" x14ac:dyDescent="0.2">
      <c r="M61" s="24" t="s">
        <v>34</v>
      </c>
      <c r="N61" s="21" t="s">
        <v>201</v>
      </c>
      <c r="O61" s="7" t="b">
        <v>0</v>
      </c>
      <c r="P61" s="24" t="s">
        <v>35</v>
      </c>
      <c r="Q61" s="7" t="s">
        <v>222</v>
      </c>
      <c r="R61" s="7" t="str">
        <f>R60</f>
        <v>PSF+</v>
      </c>
      <c r="S61" s="6" t="s">
        <v>39</v>
      </c>
      <c r="T61" s="26">
        <v>1</v>
      </c>
      <c r="U61" s="7" t="s">
        <v>193</v>
      </c>
      <c r="V61" s="7" t="str">
        <f>V60</f>
        <v>PSF-</v>
      </c>
      <c r="W61" s="6" t="s">
        <v>39</v>
      </c>
      <c r="X61" s="26">
        <v>1</v>
      </c>
      <c r="Y61" s="7" t="s">
        <v>224</v>
      </c>
    </row>
    <row r="62" spans="2:46" x14ac:dyDescent="0.2">
      <c r="C62" s="22" t="s">
        <v>204</v>
      </c>
      <c r="D62" s="6" t="s">
        <v>39</v>
      </c>
      <c r="E62" s="1" t="s">
        <v>196</v>
      </c>
      <c r="M62" s="24" t="s">
        <v>34</v>
      </c>
      <c r="N62" s="22" t="s">
        <v>204</v>
      </c>
      <c r="O62" s="7" t="b">
        <v>1</v>
      </c>
      <c r="P62" s="24" t="s">
        <v>35</v>
      </c>
      <c r="Q62" s="7" t="s">
        <v>221</v>
      </c>
      <c r="R62" s="26" t="s">
        <v>202</v>
      </c>
      <c r="S62" s="6" t="s">
        <v>39</v>
      </c>
      <c r="T62" s="26">
        <v>1</v>
      </c>
      <c r="U62" s="7" t="s">
        <v>193</v>
      </c>
      <c r="V62" s="26" t="s">
        <v>203</v>
      </c>
      <c r="W62" s="6" t="s">
        <v>39</v>
      </c>
      <c r="X62" s="7">
        <f>IF(T62=0,1,0)</f>
        <v>0</v>
      </c>
      <c r="Y62" s="7" t="s">
        <v>224</v>
      </c>
      <c r="Z62" s="24" t="s">
        <v>220</v>
      </c>
      <c r="AA62" s="7" t="s">
        <v>222</v>
      </c>
      <c r="AB62" s="7" t="str">
        <f>R62</f>
        <v>PSFC+</v>
      </c>
      <c r="AC62" s="6" t="s">
        <v>39</v>
      </c>
      <c r="AD62" s="7">
        <f>IF(T62=0,1,0)</f>
        <v>0</v>
      </c>
      <c r="AE62" s="7" t="s">
        <v>193</v>
      </c>
      <c r="AF62" s="7" t="str">
        <f>V62</f>
        <v>PSFC-</v>
      </c>
      <c r="AG62" s="6" t="s">
        <v>39</v>
      </c>
      <c r="AH62" s="7">
        <f>IF(AD62=0,1,0)</f>
        <v>1</v>
      </c>
      <c r="AI62" s="7" t="s">
        <v>223</v>
      </c>
    </row>
    <row r="63" spans="2:46" x14ac:dyDescent="0.2">
      <c r="M63" s="24" t="s">
        <v>34</v>
      </c>
      <c r="N63" s="22" t="s">
        <v>204</v>
      </c>
      <c r="O63" s="7" t="b">
        <v>0</v>
      </c>
      <c r="P63" s="24" t="s">
        <v>35</v>
      </c>
      <c r="Q63" s="7" t="s">
        <v>222</v>
      </c>
      <c r="R63" s="7" t="str">
        <f>R62</f>
        <v>PSFC+</v>
      </c>
      <c r="S63" s="6" t="s">
        <v>39</v>
      </c>
      <c r="T63" s="26">
        <v>1</v>
      </c>
      <c r="U63" s="7" t="s">
        <v>193</v>
      </c>
      <c r="V63" s="7" t="str">
        <f>V62</f>
        <v>PSFC-</v>
      </c>
      <c r="W63" s="6" t="s">
        <v>39</v>
      </c>
      <c r="X63" s="26">
        <v>1</v>
      </c>
      <c r="Y63" s="7" t="s">
        <v>224</v>
      </c>
    </row>
    <row r="64" spans="2:46" x14ac:dyDescent="0.2">
      <c r="C64" s="23" t="s">
        <v>206</v>
      </c>
      <c r="D64" s="6" t="s">
        <v>39</v>
      </c>
      <c r="E64" s="1" t="s">
        <v>219</v>
      </c>
      <c r="G64" s="7"/>
      <c r="M64" s="24" t="s">
        <v>34</v>
      </c>
      <c r="N64" s="23" t="s">
        <v>206</v>
      </c>
      <c r="O64" s="6" t="s">
        <v>197</v>
      </c>
      <c r="P64" s="24" t="s">
        <v>35</v>
      </c>
      <c r="Q64" s="7" t="s">
        <v>221</v>
      </c>
      <c r="R64" s="26" t="s">
        <v>188</v>
      </c>
      <c r="S64" s="6" t="s">
        <v>39</v>
      </c>
      <c r="T64" s="32" t="s">
        <v>197</v>
      </c>
      <c r="U64" s="7" t="s">
        <v>193</v>
      </c>
      <c r="V64" s="26" t="s">
        <v>191</v>
      </c>
      <c r="W64" s="6" t="s">
        <v>39</v>
      </c>
      <c r="X64" s="7">
        <f>IF(T64=0,1,0)</f>
        <v>0</v>
      </c>
      <c r="Y64" s="7" t="s">
        <v>224</v>
      </c>
      <c r="Z64" s="24" t="s">
        <v>220</v>
      </c>
      <c r="AA64" s="7" t="s">
        <v>222</v>
      </c>
      <c r="AB64" s="7" t="str">
        <f>R64</f>
        <v>PSFCL+</v>
      </c>
      <c r="AC64" s="6" t="s">
        <v>39</v>
      </c>
      <c r="AD64" s="7">
        <f>IF(T64&gt;0,0,"=&gt;2")</f>
        <v>0</v>
      </c>
      <c r="AE64" s="7" t="s">
        <v>193</v>
      </c>
      <c r="AF64" s="7" t="str">
        <f>V64</f>
        <v>PSFCL-</v>
      </c>
      <c r="AG64" s="6" t="s">
        <v>39</v>
      </c>
      <c r="AH64" s="7" t="str">
        <f>IF(X64&gt;0,0,"=&gt;2")</f>
        <v>=&gt;2</v>
      </c>
      <c r="AI64" s="7" t="s">
        <v>223</v>
      </c>
    </row>
    <row r="65" spans="2:31" x14ac:dyDescent="0.2">
      <c r="M65" s="24" t="s">
        <v>34</v>
      </c>
      <c r="N65" s="23" t="s">
        <v>206</v>
      </c>
      <c r="O65" s="6" t="s">
        <v>39</v>
      </c>
      <c r="P65" s="7">
        <v>1</v>
      </c>
      <c r="Q65" s="24" t="s">
        <v>220</v>
      </c>
      <c r="R65" s="7">
        <v>0</v>
      </c>
      <c r="S65" s="24" t="s">
        <v>35</v>
      </c>
      <c r="T65" s="7" t="s">
        <v>222</v>
      </c>
      <c r="U65" s="7" t="str">
        <f>R64</f>
        <v>PSFCL+</v>
      </c>
      <c r="V65" s="6" t="s">
        <v>39</v>
      </c>
      <c r="W65" s="26">
        <v>1</v>
      </c>
      <c r="X65" s="7" t="s">
        <v>193</v>
      </c>
      <c r="Y65" s="7" t="str">
        <f>V64</f>
        <v>PSFCL-</v>
      </c>
      <c r="Z65" s="6" t="s">
        <v>39</v>
      </c>
      <c r="AA65" s="26">
        <v>1</v>
      </c>
      <c r="AB65" s="7" t="s">
        <v>224</v>
      </c>
    </row>
    <row r="66" spans="2:31" x14ac:dyDescent="0.2">
      <c r="B66" s="1" t="s">
        <v>273</v>
      </c>
      <c r="S66" s="7"/>
    </row>
    <row r="67" spans="2:31" x14ac:dyDescent="0.2">
      <c r="C67" s="24" t="s">
        <v>269</v>
      </c>
      <c r="D67" s="6" t="s">
        <v>39</v>
      </c>
      <c r="E67" s="7" t="s">
        <v>185</v>
      </c>
      <c r="F67" s="7" t="s">
        <v>186</v>
      </c>
      <c r="G67" s="7" t="s">
        <v>187</v>
      </c>
      <c r="H67" s="7" t="s">
        <v>186</v>
      </c>
      <c r="I67" s="7" t="s">
        <v>202</v>
      </c>
    </row>
    <row r="68" spans="2:31" x14ac:dyDescent="0.2">
      <c r="C68" s="24" t="s">
        <v>270</v>
      </c>
      <c r="D68" s="6" t="s">
        <v>39</v>
      </c>
      <c r="E68" s="7" t="s">
        <v>189</v>
      </c>
      <c r="F68" s="7" t="s">
        <v>186</v>
      </c>
      <c r="G68" s="7" t="s">
        <v>190</v>
      </c>
      <c r="H68" s="7" t="s">
        <v>186</v>
      </c>
      <c r="I68" s="7" t="s">
        <v>203</v>
      </c>
    </row>
    <row r="69" spans="2:31" x14ac:dyDescent="0.2">
      <c r="C69" s="24" t="s">
        <v>253</v>
      </c>
      <c r="D69" s="24" t="s">
        <v>34</v>
      </c>
      <c r="E69" s="7" t="s">
        <v>185</v>
      </c>
      <c r="F69" s="6" t="s">
        <v>39</v>
      </c>
      <c r="G69" s="7">
        <v>1</v>
      </c>
      <c r="H69" s="16" t="s">
        <v>35</v>
      </c>
      <c r="I69" s="1" t="s">
        <v>225</v>
      </c>
    </row>
    <row r="70" spans="2:31" x14ac:dyDescent="0.2">
      <c r="C70" s="16"/>
      <c r="D70" s="24" t="s">
        <v>34</v>
      </c>
      <c r="E70" s="7" t="s">
        <v>189</v>
      </c>
      <c r="F70" s="6" t="s">
        <v>39</v>
      </c>
      <c r="G70" s="7">
        <v>1</v>
      </c>
      <c r="H70" s="16" t="s">
        <v>35</v>
      </c>
      <c r="I70" s="1" t="s">
        <v>226</v>
      </c>
    </row>
    <row r="71" spans="2:31" x14ac:dyDescent="0.2">
      <c r="C71" s="24" t="s">
        <v>254</v>
      </c>
      <c r="D71" s="1" t="s">
        <v>246</v>
      </c>
      <c r="E71" s="7" t="s">
        <v>39</v>
      </c>
      <c r="F71" s="1" t="s">
        <v>34</v>
      </c>
      <c r="G71" s="7" t="s">
        <v>221</v>
      </c>
      <c r="I71" s="14" t="s">
        <v>247</v>
      </c>
      <c r="J71" s="7" t="s">
        <v>39</v>
      </c>
      <c r="K71" s="7">
        <v>0</v>
      </c>
      <c r="L71" s="7" t="s">
        <v>193</v>
      </c>
      <c r="N71" s="14" t="s">
        <v>248</v>
      </c>
      <c r="O71" s="7" t="s">
        <v>39</v>
      </c>
      <c r="P71" s="7">
        <v>1</v>
      </c>
      <c r="Q71" s="7" t="s">
        <v>224</v>
      </c>
      <c r="R71" s="7" t="s">
        <v>249</v>
      </c>
      <c r="S71" s="7">
        <v>1</v>
      </c>
      <c r="T71" s="7" t="s">
        <v>249</v>
      </c>
      <c r="U71" s="7">
        <v>0</v>
      </c>
      <c r="V71" s="7" t="s">
        <v>224</v>
      </c>
      <c r="Y71" s="5" t="s">
        <v>232</v>
      </c>
    </row>
    <row r="72" spans="2:31" x14ac:dyDescent="0.2">
      <c r="C72" s="24"/>
      <c r="D72" s="1" t="s">
        <v>250</v>
      </c>
      <c r="E72" s="7" t="s">
        <v>39</v>
      </c>
      <c r="F72" s="1" t="s">
        <v>34</v>
      </c>
      <c r="G72" s="7" t="s">
        <v>221</v>
      </c>
      <c r="I72" s="14" t="s">
        <v>251</v>
      </c>
      <c r="J72" s="7" t="s">
        <v>39</v>
      </c>
      <c r="K72" s="7">
        <v>0</v>
      </c>
      <c r="L72" s="7" t="s">
        <v>193</v>
      </c>
      <c r="N72" s="14" t="s">
        <v>252</v>
      </c>
      <c r="O72" s="7" t="s">
        <v>39</v>
      </c>
      <c r="P72" s="7">
        <v>1</v>
      </c>
      <c r="Q72" s="7" t="s">
        <v>224</v>
      </c>
      <c r="R72" s="7" t="s">
        <v>249</v>
      </c>
      <c r="S72" s="7">
        <v>1</v>
      </c>
      <c r="T72" s="7" t="s">
        <v>249</v>
      </c>
      <c r="U72" s="7">
        <v>0</v>
      </c>
      <c r="V72" s="7" t="s">
        <v>224</v>
      </c>
      <c r="Y72" s="5" t="s">
        <v>233</v>
      </c>
    </row>
    <row r="73" spans="2:31" x14ac:dyDescent="0.2">
      <c r="D73" s="16"/>
    </row>
    <row r="74" spans="2:31" x14ac:dyDescent="0.2">
      <c r="B74" s="1" t="s">
        <v>242</v>
      </c>
    </row>
    <row r="75" spans="2:31" x14ac:dyDescent="0.2">
      <c r="C75" s="1" t="s">
        <v>256</v>
      </c>
    </row>
    <row r="76" spans="2:31" x14ac:dyDescent="0.2">
      <c r="C76" s="1" t="s">
        <v>268</v>
      </c>
    </row>
    <row r="78" spans="2:31" x14ac:dyDescent="0.2">
      <c r="D78" s="25" t="s">
        <v>198</v>
      </c>
      <c r="E78" s="25" t="s">
        <v>199</v>
      </c>
      <c r="F78" s="25" t="s">
        <v>138</v>
      </c>
      <c r="G78" s="25" t="s">
        <v>174</v>
      </c>
      <c r="H78" s="25" t="s">
        <v>200</v>
      </c>
      <c r="I78" s="25" t="s">
        <v>185</v>
      </c>
      <c r="J78" s="25" t="s">
        <v>189</v>
      </c>
      <c r="K78" s="25" t="s">
        <v>185</v>
      </c>
      <c r="L78" s="25" t="s">
        <v>189</v>
      </c>
      <c r="M78" s="25" t="s">
        <v>201</v>
      </c>
      <c r="N78" s="25" t="s">
        <v>187</v>
      </c>
      <c r="O78" s="25" t="s">
        <v>190</v>
      </c>
      <c r="P78" s="25" t="s">
        <v>204</v>
      </c>
      <c r="Q78" s="35" t="s">
        <v>202</v>
      </c>
      <c r="R78" s="35" t="s">
        <v>203</v>
      </c>
      <c r="S78" s="25" t="s">
        <v>206</v>
      </c>
      <c r="T78" s="25" t="s">
        <v>188</v>
      </c>
      <c r="U78" s="25" t="s">
        <v>191</v>
      </c>
      <c r="W78" s="7" t="s">
        <v>234</v>
      </c>
      <c r="Y78" s="1" t="s">
        <v>243</v>
      </c>
      <c r="AE78" s="1" t="s">
        <v>274</v>
      </c>
    </row>
    <row r="79" spans="2:31" x14ac:dyDescent="0.2">
      <c r="D79" s="24" t="s">
        <v>205</v>
      </c>
      <c r="E79" s="27">
        <v>1</v>
      </c>
      <c r="F79" s="7"/>
      <c r="G79" s="7"/>
      <c r="H79" s="28">
        <v>1</v>
      </c>
      <c r="I79" s="36">
        <v>0</v>
      </c>
      <c r="J79" s="36">
        <v>0</v>
      </c>
      <c r="K79" s="7"/>
      <c r="L79" s="7"/>
      <c r="M79" s="29">
        <v>1</v>
      </c>
      <c r="N79" s="7"/>
      <c r="O79" s="7">
        <v>0</v>
      </c>
      <c r="P79" s="30">
        <v>1</v>
      </c>
      <c r="Q79" s="7"/>
      <c r="R79" s="7"/>
      <c r="S79" s="31">
        <v>2</v>
      </c>
      <c r="T79" s="36">
        <v>0</v>
      </c>
      <c r="U79" s="36">
        <v>0</v>
      </c>
      <c r="W79" s="19" t="s">
        <v>199</v>
      </c>
      <c r="X79" s="6" t="s">
        <v>39</v>
      </c>
      <c r="Y79" s="1" t="s">
        <v>192</v>
      </c>
      <c r="AE79" s="1" t="s">
        <v>275</v>
      </c>
    </row>
    <row r="80" spans="2:31" x14ac:dyDescent="0.2">
      <c r="D80" s="24">
        <v>1</v>
      </c>
      <c r="E80" s="7">
        <f>E79</f>
        <v>1</v>
      </c>
      <c r="F80" s="34">
        <f>IF(E80=0,1,IF(AND(M80=0,P80=1),K80,IF(AND(M80=0,P80=0),K80,IF(AND(M80=1,P80=0),K80*N80*Q80,IF(AND(M80=1,P80=1),K80*Q80)))))</f>
        <v>0</v>
      </c>
      <c r="G80" s="34">
        <f>IF(E80=0,1,IF(AND(M80=0,P80=1),L80,IF(AND(M80=0,P80=0),L80,IF(AND(M80=1,P80=0),L80*O80*R80,IF(AND(M80=1,P80=1),L80*R80)))))</f>
        <v>0</v>
      </c>
      <c r="H80" s="7">
        <f>H79</f>
        <v>1</v>
      </c>
      <c r="I80" s="26">
        <v>0</v>
      </c>
      <c r="J80" s="26">
        <v>0</v>
      </c>
      <c r="K80" s="7">
        <f t="shared" ref="K80:K91" si="0">IF(H80=0,1,I80)</f>
        <v>0</v>
      </c>
      <c r="L80" s="7">
        <f t="shared" ref="L80:L91" si="1">IF(H80=0,1,J80)</f>
        <v>0</v>
      </c>
      <c r="M80" s="7">
        <f>M79</f>
        <v>1</v>
      </c>
      <c r="N80" s="33">
        <f t="shared" ref="N80:N91" si="2">IF(M80=0,1,IF(AND(I79=0,I80=1),1,0))</f>
        <v>0</v>
      </c>
      <c r="O80" s="33">
        <f t="shared" ref="O80:O91" si="3">IF(M80=0,1,IF(AND(J79=0,J80=1),1,0))</f>
        <v>0</v>
      </c>
      <c r="P80" s="7">
        <f>P79</f>
        <v>1</v>
      </c>
      <c r="Q80" s="33">
        <f>IF(P80=0,1,IF(T80=0,0,IF(T80&lt;=S80,1,0)))</f>
        <v>0</v>
      </c>
      <c r="R80" s="33">
        <f t="shared" ref="R80:R91" si="4">IF(P80=0,1,IF(U80=0,0,IF(U80&lt;=S80,1,0)))</f>
        <v>0</v>
      </c>
      <c r="S80" s="7">
        <f>S79</f>
        <v>2</v>
      </c>
      <c r="T80" s="33">
        <f>IF(K80=0,0,IF(AND(K80=1,N80=1),S80,IF(AND(K80=1,N80=0,T79-1&gt;=0),T79-1,0)))</f>
        <v>0</v>
      </c>
      <c r="U80" s="33">
        <f>IF(L80=0,0,IF(AND(L80=1,O80=1),S80,IF(AND(L80=1,O80=0,U79-1&gt;=0),U79-1,0)))</f>
        <v>0</v>
      </c>
      <c r="AE80" s="1" t="s">
        <v>276</v>
      </c>
    </row>
    <row r="81" spans="3:31" x14ac:dyDescent="0.2">
      <c r="D81" s="24">
        <v>2</v>
      </c>
      <c r="E81" s="7">
        <f>E79</f>
        <v>1</v>
      </c>
      <c r="F81" s="6">
        <f>IF(E81=0,1,IF(AND(M81=0,P81=1),K81,IF(AND(M81=0,P81=0),K81,IF(AND(M81=1,P81=0),K81*N81*Q81,IF(AND(M81=1,P81=1),K81*Q81)))))</f>
        <v>1</v>
      </c>
      <c r="G81" s="6">
        <f>IF(E81=0,1,IF(AND(M81=0,P81=1),L81,IF(AND(M81=0,P81=0),L81,IF(AND(M81=1,P81=0),L81*O81*R81,IF(AND(M81=1,P81=1),L81*R81)))))</f>
        <v>0</v>
      </c>
      <c r="H81" s="7">
        <f>H79</f>
        <v>1</v>
      </c>
      <c r="I81" s="26">
        <v>1</v>
      </c>
      <c r="J81" s="7">
        <f>IF(I81=1,0,1)</f>
        <v>0</v>
      </c>
      <c r="K81" s="7">
        <f t="shared" si="0"/>
        <v>1</v>
      </c>
      <c r="L81" s="7">
        <f t="shared" si="1"/>
        <v>0</v>
      </c>
      <c r="M81" s="7">
        <f>M79</f>
        <v>1</v>
      </c>
      <c r="N81" s="7">
        <f t="shared" si="2"/>
        <v>1</v>
      </c>
      <c r="O81" s="7">
        <f t="shared" si="3"/>
        <v>0</v>
      </c>
      <c r="P81" s="7">
        <f>P79</f>
        <v>1</v>
      </c>
      <c r="Q81" s="7">
        <f t="shared" ref="Q81:Q91" si="5">IF(P81=0,1,IF(T81=0,0,IF(T81&lt;=S81,1,0)))</f>
        <v>1</v>
      </c>
      <c r="R81" s="7">
        <f t="shared" si="4"/>
        <v>0</v>
      </c>
      <c r="S81" s="7">
        <f>S79</f>
        <v>2</v>
      </c>
      <c r="T81" s="7">
        <f>IF(K81=0,0,IF(AND(K81=1,N81=1),S81,IF(AND(K81=1,N81=0,T80-1&gt;=0),T80-1,0)))</f>
        <v>2</v>
      </c>
      <c r="U81" s="7">
        <f t="shared" ref="U81:U91" si="6">IF(L81=0,0,IF(AND(L81=1,O81=1),S81,IF(AND(L81=1,O81=0,U80-1&gt;=0),U80-1,0)))</f>
        <v>0</v>
      </c>
      <c r="W81" s="20" t="s">
        <v>200</v>
      </c>
      <c r="X81" s="6" t="s">
        <v>39</v>
      </c>
      <c r="Y81" s="1" t="s">
        <v>194</v>
      </c>
      <c r="AE81" s="1" t="s">
        <v>277</v>
      </c>
    </row>
    <row r="82" spans="3:31" x14ac:dyDescent="0.2">
      <c r="D82" s="24">
        <v>3</v>
      </c>
      <c r="E82" s="7">
        <f>E79</f>
        <v>1</v>
      </c>
      <c r="F82" s="6">
        <f t="shared" ref="F82:F91" si="7">IF(E82=0,1,IF(AND(M82=0,P82=1),K82,IF(AND(M82=0,P82=0),K82,IF(AND(M82=1,P82=0),K82*N82*Q82,IF(AND(M82=1,P82=1),K82*Q82)))))</f>
        <v>1</v>
      </c>
      <c r="G82" s="6">
        <f t="shared" ref="G82:G91" si="8">IF(E82=0,1,IF(AND(M82=0,P82=1),L82,IF(AND(M82=0,P82=0),L82,IF(AND(M82=1,P82=0),L82*O82*R82,IF(AND(M82=1,P82=1),L82*R82)))))</f>
        <v>0</v>
      </c>
      <c r="H82" s="7">
        <f>H79</f>
        <v>1</v>
      </c>
      <c r="I82" s="26">
        <v>1</v>
      </c>
      <c r="J82" s="7">
        <f t="shared" ref="J82:J91" si="9">IF(I82=1,0,1)</f>
        <v>0</v>
      </c>
      <c r="K82" s="7">
        <f t="shared" si="0"/>
        <v>1</v>
      </c>
      <c r="L82" s="7">
        <f t="shared" si="1"/>
        <v>0</v>
      </c>
      <c r="M82" s="7">
        <f>M79</f>
        <v>1</v>
      </c>
      <c r="N82" s="7">
        <f t="shared" si="2"/>
        <v>0</v>
      </c>
      <c r="O82" s="7">
        <f t="shared" si="3"/>
        <v>0</v>
      </c>
      <c r="P82" s="7">
        <f>P79</f>
        <v>1</v>
      </c>
      <c r="Q82" s="7">
        <f t="shared" si="5"/>
        <v>1</v>
      </c>
      <c r="R82" s="7">
        <f t="shared" si="4"/>
        <v>0</v>
      </c>
      <c r="S82" s="7">
        <f>S79</f>
        <v>2</v>
      </c>
      <c r="T82" s="7">
        <f t="shared" ref="T82:T91" si="10">IF(K82=0,0,IF(AND(K82=1,N82=1),S82,IF(AND(K82=1,N82=0,T81-1&gt;=0),T81-1,0)))</f>
        <v>1</v>
      </c>
      <c r="U82" s="7">
        <f t="shared" si="6"/>
        <v>0</v>
      </c>
      <c r="AE82" s="1" t="s">
        <v>278</v>
      </c>
    </row>
    <row r="83" spans="3:31" x14ac:dyDescent="0.2">
      <c r="D83" s="24">
        <v>4</v>
      </c>
      <c r="E83" s="7">
        <f>E79</f>
        <v>1</v>
      </c>
      <c r="F83" s="6">
        <f t="shared" si="7"/>
        <v>0</v>
      </c>
      <c r="G83" s="6">
        <f t="shared" si="8"/>
        <v>0</v>
      </c>
      <c r="H83" s="7">
        <f>H79</f>
        <v>1</v>
      </c>
      <c r="I83" s="26">
        <v>1</v>
      </c>
      <c r="J83" s="7">
        <f t="shared" si="9"/>
        <v>0</v>
      </c>
      <c r="K83" s="7">
        <f t="shared" si="0"/>
        <v>1</v>
      </c>
      <c r="L83" s="7">
        <f t="shared" si="1"/>
        <v>0</v>
      </c>
      <c r="M83" s="7">
        <f>M79</f>
        <v>1</v>
      </c>
      <c r="N83" s="7">
        <f t="shared" si="2"/>
        <v>0</v>
      </c>
      <c r="O83" s="7">
        <f t="shared" si="3"/>
        <v>0</v>
      </c>
      <c r="P83" s="7">
        <f>P79</f>
        <v>1</v>
      </c>
      <c r="Q83" s="7">
        <f t="shared" si="5"/>
        <v>0</v>
      </c>
      <c r="R83" s="7">
        <f t="shared" si="4"/>
        <v>0</v>
      </c>
      <c r="S83" s="7">
        <f>S79</f>
        <v>2</v>
      </c>
      <c r="T83" s="7">
        <f t="shared" si="10"/>
        <v>0</v>
      </c>
      <c r="U83" s="7">
        <f t="shared" si="6"/>
        <v>0</v>
      </c>
      <c r="W83" s="21" t="s">
        <v>201</v>
      </c>
      <c r="X83" s="6" t="s">
        <v>39</v>
      </c>
      <c r="Y83" s="1" t="s">
        <v>195</v>
      </c>
      <c r="AE83" s="1" t="s">
        <v>279</v>
      </c>
    </row>
    <row r="84" spans="3:31" x14ac:dyDescent="0.2">
      <c r="D84" s="24">
        <v>5</v>
      </c>
      <c r="E84" s="7">
        <f>E79</f>
        <v>1</v>
      </c>
      <c r="F84" s="6">
        <f t="shared" si="7"/>
        <v>0</v>
      </c>
      <c r="G84" s="6">
        <f t="shared" si="8"/>
        <v>0</v>
      </c>
      <c r="H84" s="7">
        <f>H79</f>
        <v>1</v>
      </c>
      <c r="I84" s="26">
        <v>1</v>
      </c>
      <c r="J84" s="7">
        <f t="shared" si="9"/>
        <v>0</v>
      </c>
      <c r="K84" s="7">
        <f t="shared" si="0"/>
        <v>1</v>
      </c>
      <c r="L84" s="7">
        <f t="shared" si="1"/>
        <v>0</v>
      </c>
      <c r="M84" s="7">
        <f>M79</f>
        <v>1</v>
      </c>
      <c r="N84" s="7">
        <f t="shared" si="2"/>
        <v>0</v>
      </c>
      <c r="O84" s="7">
        <f t="shared" si="3"/>
        <v>0</v>
      </c>
      <c r="P84" s="7">
        <f>P79</f>
        <v>1</v>
      </c>
      <c r="Q84" s="7">
        <f t="shared" si="5"/>
        <v>0</v>
      </c>
      <c r="R84" s="7">
        <f t="shared" si="4"/>
        <v>0</v>
      </c>
      <c r="S84" s="7">
        <f>S79</f>
        <v>2</v>
      </c>
      <c r="T84" s="7">
        <f t="shared" si="10"/>
        <v>0</v>
      </c>
      <c r="U84" s="7">
        <f t="shared" si="6"/>
        <v>0</v>
      </c>
      <c r="AE84" s="1" t="s">
        <v>280</v>
      </c>
    </row>
    <row r="85" spans="3:31" x14ac:dyDescent="0.2">
      <c r="D85" s="24">
        <v>6</v>
      </c>
      <c r="E85" s="7">
        <f>E79</f>
        <v>1</v>
      </c>
      <c r="F85" s="6">
        <f t="shared" si="7"/>
        <v>0</v>
      </c>
      <c r="G85" s="6">
        <f t="shared" si="8"/>
        <v>0</v>
      </c>
      <c r="H85" s="7">
        <f>H79</f>
        <v>1</v>
      </c>
      <c r="I85" s="26">
        <v>1</v>
      </c>
      <c r="J85" s="7">
        <f t="shared" si="9"/>
        <v>0</v>
      </c>
      <c r="K85" s="7">
        <f t="shared" si="0"/>
        <v>1</v>
      </c>
      <c r="L85" s="7">
        <f t="shared" si="1"/>
        <v>0</v>
      </c>
      <c r="M85" s="7">
        <f>M79</f>
        <v>1</v>
      </c>
      <c r="N85" s="7">
        <f t="shared" si="2"/>
        <v>0</v>
      </c>
      <c r="O85" s="7">
        <f t="shared" si="3"/>
        <v>0</v>
      </c>
      <c r="P85" s="7">
        <f>P79</f>
        <v>1</v>
      </c>
      <c r="Q85" s="7">
        <f t="shared" si="5"/>
        <v>0</v>
      </c>
      <c r="R85" s="7">
        <f t="shared" si="4"/>
        <v>0</v>
      </c>
      <c r="S85" s="7">
        <f>S79</f>
        <v>2</v>
      </c>
      <c r="T85" s="7">
        <f t="shared" si="10"/>
        <v>0</v>
      </c>
      <c r="U85" s="7">
        <f t="shared" si="6"/>
        <v>0</v>
      </c>
      <c r="W85" s="22" t="s">
        <v>204</v>
      </c>
      <c r="X85" s="6" t="s">
        <v>39</v>
      </c>
      <c r="Y85" s="1" t="s">
        <v>196</v>
      </c>
    </row>
    <row r="86" spans="3:31" x14ac:dyDescent="0.2">
      <c r="D86" s="24">
        <v>7</v>
      </c>
      <c r="E86" s="7">
        <f>E79</f>
        <v>1</v>
      </c>
      <c r="F86" s="6">
        <f t="shared" si="7"/>
        <v>0</v>
      </c>
      <c r="G86" s="6">
        <f t="shared" si="8"/>
        <v>1</v>
      </c>
      <c r="H86" s="7">
        <f>H79</f>
        <v>1</v>
      </c>
      <c r="I86" s="26">
        <v>0</v>
      </c>
      <c r="J86" s="7">
        <f t="shared" si="9"/>
        <v>1</v>
      </c>
      <c r="K86" s="7">
        <f t="shared" si="0"/>
        <v>0</v>
      </c>
      <c r="L86" s="7">
        <f t="shared" si="1"/>
        <v>1</v>
      </c>
      <c r="M86" s="7">
        <f>M79</f>
        <v>1</v>
      </c>
      <c r="N86" s="7">
        <f t="shared" si="2"/>
        <v>0</v>
      </c>
      <c r="O86" s="7">
        <f t="shared" si="3"/>
        <v>1</v>
      </c>
      <c r="P86" s="7">
        <f>P79</f>
        <v>1</v>
      </c>
      <c r="Q86" s="7">
        <f t="shared" si="5"/>
        <v>0</v>
      </c>
      <c r="R86" s="7">
        <f t="shared" si="4"/>
        <v>1</v>
      </c>
      <c r="S86" s="7">
        <f>S79</f>
        <v>2</v>
      </c>
      <c r="T86" s="7">
        <f t="shared" si="10"/>
        <v>0</v>
      </c>
      <c r="U86" s="7">
        <f t="shared" si="6"/>
        <v>2</v>
      </c>
    </row>
    <row r="87" spans="3:31" x14ac:dyDescent="0.2">
      <c r="D87" s="24">
        <v>8</v>
      </c>
      <c r="E87" s="7">
        <f>E80</f>
        <v>1</v>
      </c>
      <c r="F87" s="6">
        <f t="shared" si="7"/>
        <v>0</v>
      </c>
      <c r="G87" s="6">
        <f t="shared" si="8"/>
        <v>1</v>
      </c>
      <c r="H87" s="7">
        <f>H80</f>
        <v>1</v>
      </c>
      <c r="I87" s="26">
        <v>0</v>
      </c>
      <c r="J87" s="7">
        <f t="shared" si="9"/>
        <v>1</v>
      </c>
      <c r="K87" s="7">
        <f t="shared" si="0"/>
        <v>0</v>
      </c>
      <c r="L87" s="7">
        <f t="shared" si="1"/>
        <v>1</v>
      </c>
      <c r="M87" s="7">
        <f>M80</f>
        <v>1</v>
      </c>
      <c r="N87" s="7">
        <f t="shared" si="2"/>
        <v>0</v>
      </c>
      <c r="O87" s="7">
        <f t="shared" si="3"/>
        <v>0</v>
      </c>
      <c r="P87" s="7">
        <f>P80</f>
        <v>1</v>
      </c>
      <c r="Q87" s="7">
        <f t="shared" si="5"/>
        <v>0</v>
      </c>
      <c r="R87" s="7">
        <f t="shared" si="4"/>
        <v>1</v>
      </c>
      <c r="S87" s="7">
        <f>S80</f>
        <v>2</v>
      </c>
      <c r="T87" s="7">
        <f t="shared" si="10"/>
        <v>0</v>
      </c>
      <c r="U87" s="7">
        <f t="shared" si="6"/>
        <v>1</v>
      </c>
      <c r="W87" s="23" t="s">
        <v>206</v>
      </c>
      <c r="X87" s="6" t="s">
        <v>39</v>
      </c>
      <c r="Y87" s="1" t="s">
        <v>219</v>
      </c>
    </row>
    <row r="88" spans="3:31" x14ac:dyDescent="0.2">
      <c r="D88" s="24">
        <v>9</v>
      </c>
      <c r="E88" s="7">
        <f>E81</f>
        <v>1</v>
      </c>
      <c r="F88" s="6">
        <f t="shared" si="7"/>
        <v>0</v>
      </c>
      <c r="G88" s="6">
        <f t="shared" si="8"/>
        <v>0</v>
      </c>
      <c r="H88" s="7">
        <f>H81</f>
        <v>1</v>
      </c>
      <c r="I88" s="26">
        <v>0</v>
      </c>
      <c r="J88" s="7">
        <f t="shared" si="9"/>
        <v>1</v>
      </c>
      <c r="K88" s="7">
        <f t="shared" si="0"/>
        <v>0</v>
      </c>
      <c r="L88" s="7">
        <f t="shared" si="1"/>
        <v>1</v>
      </c>
      <c r="M88" s="7">
        <f>M81</f>
        <v>1</v>
      </c>
      <c r="N88" s="7">
        <f t="shared" si="2"/>
        <v>0</v>
      </c>
      <c r="O88" s="7">
        <f t="shared" si="3"/>
        <v>0</v>
      </c>
      <c r="P88" s="7">
        <f>P81</f>
        <v>1</v>
      </c>
      <c r="Q88" s="7">
        <f t="shared" si="5"/>
        <v>0</v>
      </c>
      <c r="R88" s="7">
        <f t="shared" si="4"/>
        <v>0</v>
      </c>
      <c r="S88" s="7">
        <f>S81</f>
        <v>2</v>
      </c>
      <c r="T88" s="7">
        <f t="shared" si="10"/>
        <v>0</v>
      </c>
      <c r="U88" s="7">
        <f t="shared" si="6"/>
        <v>0</v>
      </c>
    </row>
    <row r="89" spans="3:31" x14ac:dyDescent="0.2">
      <c r="D89" s="24">
        <v>10</v>
      </c>
      <c r="E89" s="7">
        <f>E79</f>
        <v>1</v>
      </c>
      <c r="F89" s="6">
        <f t="shared" si="7"/>
        <v>0</v>
      </c>
      <c r="G89" s="6">
        <f t="shared" si="8"/>
        <v>0</v>
      </c>
      <c r="H89" s="7">
        <f>H79</f>
        <v>1</v>
      </c>
      <c r="I89" s="26">
        <v>0</v>
      </c>
      <c r="J89" s="7">
        <f t="shared" si="9"/>
        <v>1</v>
      </c>
      <c r="K89" s="7">
        <f t="shared" si="0"/>
        <v>0</v>
      </c>
      <c r="L89" s="7">
        <f t="shared" si="1"/>
        <v>1</v>
      </c>
      <c r="M89" s="7">
        <f>M79</f>
        <v>1</v>
      </c>
      <c r="N89" s="7">
        <f t="shared" si="2"/>
        <v>0</v>
      </c>
      <c r="O89" s="7">
        <f t="shared" si="3"/>
        <v>0</v>
      </c>
      <c r="P89" s="7">
        <f>P79</f>
        <v>1</v>
      </c>
      <c r="Q89" s="7">
        <f t="shared" si="5"/>
        <v>0</v>
      </c>
      <c r="R89" s="7">
        <f t="shared" si="4"/>
        <v>0</v>
      </c>
      <c r="S89" s="7">
        <f>S79</f>
        <v>2</v>
      </c>
      <c r="T89" s="7">
        <f t="shared" si="10"/>
        <v>0</v>
      </c>
      <c r="U89" s="7">
        <f t="shared" si="6"/>
        <v>0</v>
      </c>
    </row>
    <row r="90" spans="3:31" x14ac:dyDescent="0.2">
      <c r="D90" s="24">
        <v>11</v>
      </c>
      <c r="E90" s="7">
        <f>E80</f>
        <v>1</v>
      </c>
      <c r="F90" s="6">
        <f t="shared" si="7"/>
        <v>0</v>
      </c>
      <c r="G90" s="6">
        <f t="shared" si="8"/>
        <v>0</v>
      </c>
      <c r="H90" s="7">
        <f>H80</f>
        <v>1</v>
      </c>
      <c r="I90" s="26">
        <v>0</v>
      </c>
      <c r="J90" s="7">
        <f t="shared" si="9"/>
        <v>1</v>
      </c>
      <c r="K90" s="7">
        <f t="shared" si="0"/>
        <v>0</v>
      </c>
      <c r="L90" s="7">
        <f t="shared" si="1"/>
        <v>1</v>
      </c>
      <c r="M90" s="7">
        <f>M80</f>
        <v>1</v>
      </c>
      <c r="N90" s="7">
        <f t="shared" si="2"/>
        <v>0</v>
      </c>
      <c r="O90" s="7">
        <f t="shared" si="3"/>
        <v>0</v>
      </c>
      <c r="P90" s="7">
        <f>P80</f>
        <v>1</v>
      </c>
      <c r="Q90" s="7">
        <f t="shared" si="5"/>
        <v>0</v>
      </c>
      <c r="R90" s="7">
        <f t="shared" si="4"/>
        <v>0</v>
      </c>
      <c r="S90" s="7">
        <f>S80</f>
        <v>2</v>
      </c>
      <c r="T90" s="7">
        <f t="shared" si="10"/>
        <v>0</v>
      </c>
      <c r="U90" s="7">
        <f t="shared" si="6"/>
        <v>0</v>
      </c>
    </row>
    <row r="91" spans="3:31" x14ac:dyDescent="0.2">
      <c r="D91" s="24">
        <v>12</v>
      </c>
      <c r="E91" s="7">
        <f>E81</f>
        <v>1</v>
      </c>
      <c r="F91" s="6">
        <f t="shared" si="7"/>
        <v>0</v>
      </c>
      <c r="G91" s="6">
        <f t="shared" si="8"/>
        <v>0</v>
      </c>
      <c r="H91" s="7">
        <f>H81</f>
        <v>1</v>
      </c>
      <c r="I91" s="26">
        <v>0</v>
      </c>
      <c r="J91" s="7">
        <f t="shared" si="9"/>
        <v>1</v>
      </c>
      <c r="K91" s="7">
        <f t="shared" si="0"/>
        <v>0</v>
      </c>
      <c r="L91" s="7">
        <f t="shared" si="1"/>
        <v>1</v>
      </c>
      <c r="M91" s="7">
        <f>M81</f>
        <v>1</v>
      </c>
      <c r="N91" s="7">
        <f t="shared" si="2"/>
        <v>0</v>
      </c>
      <c r="O91" s="7">
        <f t="shared" si="3"/>
        <v>0</v>
      </c>
      <c r="P91" s="7">
        <f>P81</f>
        <v>1</v>
      </c>
      <c r="Q91" s="7">
        <f t="shared" si="5"/>
        <v>0</v>
      </c>
      <c r="R91" s="7">
        <f t="shared" si="4"/>
        <v>0</v>
      </c>
      <c r="S91" s="7">
        <f>S81</f>
        <v>2</v>
      </c>
      <c r="T91" s="7">
        <f t="shared" si="10"/>
        <v>0</v>
      </c>
      <c r="U91" s="7">
        <f t="shared" si="6"/>
        <v>0</v>
      </c>
    </row>
    <row r="93" spans="3:31" x14ac:dyDescent="0.2">
      <c r="C93" s="1" t="s">
        <v>262</v>
      </c>
    </row>
    <row r="94" spans="3:31" x14ac:dyDescent="0.2">
      <c r="D94" s="7" t="str">
        <f>F78</f>
        <v>PSAR+</v>
      </c>
      <c r="E94" s="41" t="s">
        <v>271</v>
      </c>
    </row>
    <row r="95" spans="3:31" x14ac:dyDescent="0.2">
      <c r="D95" s="1" t="str">
        <f>G78</f>
        <v>PSAR-</v>
      </c>
      <c r="E95" s="41" t="s">
        <v>272</v>
      </c>
      <c r="Q95" s="1" t="s">
        <v>281</v>
      </c>
    </row>
    <row r="96" spans="3:31" x14ac:dyDescent="0.2">
      <c r="D96" s="1" t="s">
        <v>187</v>
      </c>
      <c r="E96" s="41" t="s">
        <v>260</v>
      </c>
    </row>
    <row r="97" spans="3:11" x14ac:dyDescent="0.2">
      <c r="D97" s="1" t="s">
        <v>190</v>
      </c>
      <c r="E97" s="41" t="s">
        <v>261</v>
      </c>
    </row>
    <row r="98" spans="3:11" x14ac:dyDescent="0.2">
      <c r="D98" s="1" t="s">
        <v>202</v>
      </c>
      <c r="E98" s="41" t="s">
        <v>263</v>
      </c>
    </row>
    <row r="99" spans="3:11" x14ac:dyDescent="0.2">
      <c r="D99" s="1" t="s">
        <v>203</v>
      </c>
      <c r="E99" s="41" t="s">
        <v>264</v>
      </c>
    </row>
    <row r="100" spans="3:11" x14ac:dyDescent="0.2">
      <c r="D100" s="1" t="s">
        <v>188</v>
      </c>
      <c r="E100" s="41" t="s">
        <v>265</v>
      </c>
    </row>
    <row r="101" spans="3:11" x14ac:dyDescent="0.2">
      <c r="D101" s="1" t="s">
        <v>191</v>
      </c>
      <c r="E101" s="42" t="s">
        <v>266</v>
      </c>
    </row>
    <row r="104" spans="3:11" x14ac:dyDescent="0.2">
      <c r="C104" s="1" t="s">
        <v>267</v>
      </c>
    </row>
    <row r="105" spans="3:11" x14ac:dyDescent="0.2">
      <c r="C105" s="1" t="s">
        <v>255</v>
      </c>
      <c r="D105" s="7"/>
      <c r="E105" s="6"/>
      <c r="F105" s="7"/>
    </row>
    <row r="106" spans="3:11" x14ac:dyDescent="0.2">
      <c r="D106" s="7"/>
      <c r="E106" s="6"/>
      <c r="F106" s="7"/>
      <c r="J106" s="1" t="s">
        <v>187</v>
      </c>
      <c r="K106" s="37" t="s">
        <v>257</v>
      </c>
    </row>
    <row r="107" spans="3:11" x14ac:dyDescent="0.2">
      <c r="D107" s="25" t="s">
        <v>205</v>
      </c>
      <c r="E107" s="25" t="s">
        <v>185</v>
      </c>
      <c r="F107" s="25" t="s">
        <v>187</v>
      </c>
      <c r="G107" s="25" t="s">
        <v>189</v>
      </c>
      <c r="H107" s="25" t="s">
        <v>190</v>
      </c>
      <c r="J107" s="1" t="s">
        <v>190</v>
      </c>
      <c r="K107" s="38" t="s">
        <v>258</v>
      </c>
    </row>
    <row r="108" spans="3:11" x14ac:dyDescent="0.2">
      <c r="E108" s="36">
        <v>0</v>
      </c>
      <c r="F108" s="36"/>
      <c r="G108" s="36">
        <v>0</v>
      </c>
      <c r="H108" s="36"/>
    </row>
    <row r="109" spans="3:11" x14ac:dyDescent="0.2">
      <c r="D109" s="7">
        <v>1</v>
      </c>
      <c r="E109" s="26">
        <v>0</v>
      </c>
      <c r="F109" s="39">
        <f>IF(AND(E108=0,E109=1),1,0)</f>
        <v>0</v>
      </c>
      <c r="G109" s="7">
        <f>IF(E109=0,1,0)</f>
        <v>1</v>
      </c>
      <c r="H109" s="40">
        <f>IF(AND(G108=0,G109=1),1,0)</f>
        <v>1</v>
      </c>
    </row>
    <row r="110" spans="3:11" x14ac:dyDescent="0.2">
      <c r="D110" s="7">
        <v>2</v>
      </c>
      <c r="E110" s="26">
        <v>0</v>
      </c>
      <c r="F110" s="7">
        <f t="shared" ref="F110:F118" si="11">IF(AND(E109=0,E110=1),1,0)</f>
        <v>0</v>
      </c>
      <c r="G110" s="7">
        <f t="shared" ref="G110:G115" si="12">IF(E110=0,1,0)</f>
        <v>1</v>
      </c>
      <c r="H110" s="7">
        <f>IF(AND(G109=0,G110=1),1,0)</f>
        <v>0</v>
      </c>
    </row>
    <row r="111" spans="3:11" x14ac:dyDescent="0.2">
      <c r="D111" s="7">
        <v>3</v>
      </c>
      <c r="E111" s="26">
        <v>1</v>
      </c>
      <c r="F111" s="7">
        <f t="shared" si="11"/>
        <v>1</v>
      </c>
      <c r="G111" s="7">
        <f t="shared" si="12"/>
        <v>0</v>
      </c>
      <c r="H111" s="7">
        <f t="shared" ref="H111:H118" si="13">IF(AND(G110=0,G111=1),1,0)</f>
        <v>0</v>
      </c>
    </row>
    <row r="112" spans="3:11" x14ac:dyDescent="0.2">
      <c r="D112" s="7">
        <v>4</v>
      </c>
      <c r="E112" s="26">
        <v>1</v>
      </c>
      <c r="F112" s="7">
        <f t="shared" si="11"/>
        <v>0</v>
      </c>
      <c r="G112" s="7">
        <f t="shared" si="12"/>
        <v>0</v>
      </c>
      <c r="H112" s="7">
        <f t="shared" si="13"/>
        <v>0</v>
      </c>
    </row>
    <row r="113" spans="2:8" x14ac:dyDescent="0.2">
      <c r="D113" s="7">
        <v>5</v>
      </c>
      <c r="E113" s="26">
        <v>1</v>
      </c>
      <c r="F113" s="7">
        <f t="shared" si="11"/>
        <v>0</v>
      </c>
      <c r="G113" s="7">
        <f t="shared" si="12"/>
        <v>0</v>
      </c>
      <c r="H113" s="7">
        <f t="shared" si="13"/>
        <v>0</v>
      </c>
    </row>
    <row r="114" spans="2:8" x14ac:dyDescent="0.2">
      <c r="D114" s="7">
        <v>6</v>
      </c>
      <c r="E114" s="26">
        <v>0</v>
      </c>
      <c r="F114" s="7">
        <f t="shared" si="11"/>
        <v>0</v>
      </c>
      <c r="G114" s="7">
        <f t="shared" si="12"/>
        <v>1</v>
      </c>
      <c r="H114" s="7">
        <f t="shared" si="13"/>
        <v>1</v>
      </c>
    </row>
    <row r="115" spans="2:8" x14ac:dyDescent="0.2">
      <c r="D115" s="7">
        <v>7</v>
      </c>
      <c r="E115" s="26">
        <v>0</v>
      </c>
      <c r="F115" s="7">
        <f t="shared" si="11"/>
        <v>0</v>
      </c>
      <c r="G115" s="7">
        <f t="shared" si="12"/>
        <v>1</v>
      </c>
      <c r="H115" s="7">
        <f t="shared" si="13"/>
        <v>0</v>
      </c>
    </row>
    <row r="116" spans="2:8" x14ac:dyDescent="0.2">
      <c r="D116" s="7">
        <v>8</v>
      </c>
      <c r="E116" s="26">
        <v>0</v>
      </c>
      <c r="F116" s="7">
        <f t="shared" si="11"/>
        <v>0</v>
      </c>
      <c r="G116" s="7">
        <f t="shared" ref="G116:G118" si="14">IF(E116=0,1,0)</f>
        <v>1</v>
      </c>
      <c r="H116" s="7">
        <f t="shared" si="13"/>
        <v>0</v>
      </c>
    </row>
    <row r="117" spans="2:8" x14ac:dyDescent="0.2">
      <c r="D117" s="7">
        <v>9</v>
      </c>
      <c r="E117" s="26">
        <v>0</v>
      </c>
      <c r="F117" s="7">
        <f t="shared" si="11"/>
        <v>0</v>
      </c>
      <c r="G117" s="7">
        <f t="shared" si="14"/>
        <v>1</v>
      </c>
      <c r="H117" s="7">
        <f t="shared" si="13"/>
        <v>0</v>
      </c>
    </row>
    <row r="118" spans="2:8" x14ac:dyDescent="0.2">
      <c r="D118" s="7">
        <v>10</v>
      </c>
      <c r="E118" s="26">
        <v>0</v>
      </c>
      <c r="F118" s="7">
        <f t="shared" si="11"/>
        <v>0</v>
      </c>
      <c r="G118" s="7">
        <f t="shared" si="14"/>
        <v>1</v>
      </c>
      <c r="H118" s="7">
        <f t="shared" si="13"/>
        <v>0</v>
      </c>
    </row>
    <row r="120" spans="2:8" x14ac:dyDescent="0.2">
      <c r="B120" s="1" t="s">
        <v>273</v>
      </c>
    </row>
    <row r="121" spans="2:8" x14ac:dyDescent="0.2">
      <c r="B121" s="1" t="s">
        <v>282</v>
      </c>
      <c r="C121" s="1" t="s">
        <v>291</v>
      </c>
    </row>
    <row r="122" spans="2:8" x14ac:dyDescent="0.2">
      <c r="B122" s="1" t="s">
        <v>283</v>
      </c>
      <c r="C122" s="1" t="s">
        <v>292</v>
      </c>
    </row>
    <row r="123" spans="2:8" x14ac:dyDescent="0.2">
      <c r="B123" s="1" t="s">
        <v>293</v>
      </c>
      <c r="C123" s="1" t="s">
        <v>294</v>
      </c>
    </row>
    <row r="124" spans="2:8" x14ac:dyDescent="0.2">
      <c r="B124" s="1" t="s">
        <v>295</v>
      </c>
      <c r="C124" s="1" t="s">
        <v>296</v>
      </c>
      <c r="H124" s="43"/>
    </row>
    <row r="125" spans="2:8" x14ac:dyDescent="0.2">
      <c r="B125" s="1" t="s">
        <v>298</v>
      </c>
      <c r="C125" s="1" t="s">
        <v>297</v>
      </c>
    </row>
    <row r="126" spans="2:8" x14ac:dyDescent="0.2">
      <c r="B126" s="1" t="s">
        <v>299</v>
      </c>
      <c r="C126" s="1" t="s">
        <v>286</v>
      </c>
    </row>
    <row r="127" spans="2:8" x14ac:dyDescent="0.2">
      <c r="B127" s="1" t="s">
        <v>301</v>
      </c>
      <c r="C127" s="1" t="s">
        <v>300</v>
      </c>
    </row>
    <row r="129" spans="2:4" x14ac:dyDescent="0.2">
      <c r="B129" s="1" t="s">
        <v>288</v>
      </c>
      <c r="C129" s="1" t="s">
        <v>287</v>
      </c>
    </row>
    <row r="130" spans="2:4" x14ac:dyDescent="0.2">
      <c r="B130" s="1" t="s">
        <v>290</v>
      </c>
      <c r="C130" s="1" t="s">
        <v>289</v>
      </c>
    </row>
    <row r="132" spans="2:4" x14ac:dyDescent="0.2">
      <c r="B132" s="1" t="s">
        <v>302</v>
      </c>
      <c r="C132" s="1" t="s">
        <v>305</v>
      </c>
    </row>
    <row r="133" spans="2:4" x14ac:dyDescent="0.2">
      <c r="C133" s="1" t="s">
        <v>303</v>
      </c>
    </row>
    <row r="134" spans="2:4" x14ac:dyDescent="0.2">
      <c r="B134" s="1" t="s">
        <v>304</v>
      </c>
      <c r="C134" s="1" t="s">
        <v>306</v>
      </c>
    </row>
    <row r="135" spans="2:4" x14ac:dyDescent="0.2">
      <c r="C135" s="1" t="s">
        <v>307</v>
      </c>
    </row>
    <row r="136" spans="2:4" x14ac:dyDescent="0.2">
      <c r="B136" s="1" t="s">
        <v>308</v>
      </c>
      <c r="C136" s="1" t="s">
        <v>309</v>
      </c>
    </row>
    <row r="137" spans="2:4" x14ac:dyDescent="0.2">
      <c r="C137" s="1" t="s">
        <v>310</v>
      </c>
    </row>
    <row r="138" spans="2:4" x14ac:dyDescent="0.2">
      <c r="C138" s="1" t="s">
        <v>311</v>
      </c>
    </row>
    <row r="139" spans="2:4" x14ac:dyDescent="0.2">
      <c r="C139" s="1" t="s">
        <v>312</v>
      </c>
    </row>
    <row r="140" spans="2:4" x14ac:dyDescent="0.2">
      <c r="C140" s="1">
        <v>1</v>
      </c>
      <c r="D140" s="1" t="s">
        <v>313</v>
      </c>
    </row>
    <row r="141" spans="2:4" x14ac:dyDescent="0.2">
      <c r="C141" s="1">
        <v>2</v>
      </c>
      <c r="D141" s="1" t="s">
        <v>314</v>
      </c>
    </row>
    <row r="142" spans="2:4" x14ac:dyDescent="0.2">
      <c r="D142" s="1" t="s">
        <v>315</v>
      </c>
    </row>
    <row r="143" spans="2:4" x14ac:dyDescent="0.2">
      <c r="D143" s="1" t="s">
        <v>316</v>
      </c>
    </row>
    <row r="144" spans="2:4" x14ac:dyDescent="0.2">
      <c r="D144" s="1" t="s">
        <v>317</v>
      </c>
    </row>
    <row r="145" spans="2:14" x14ac:dyDescent="0.2">
      <c r="B145" s="1" t="s">
        <v>318</v>
      </c>
      <c r="C145" s="1" t="s">
        <v>319</v>
      </c>
    </row>
    <row r="146" spans="2:14" x14ac:dyDescent="0.2">
      <c r="B146" s="1" t="s">
        <v>285</v>
      </c>
      <c r="C146" s="1" t="s">
        <v>320</v>
      </c>
    </row>
    <row r="147" spans="2:14" x14ac:dyDescent="0.2">
      <c r="B147" s="1" t="s">
        <v>284</v>
      </c>
      <c r="C147" s="1" t="s">
        <v>321</v>
      </c>
    </row>
    <row r="148" spans="2:14" x14ac:dyDescent="0.2">
      <c r="B148" s="1" t="s">
        <v>285</v>
      </c>
      <c r="C148" s="1" t="s">
        <v>322</v>
      </c>
    </row>
    <row r="149" spans="2:14" x14ac:dyDescent="0.2">
      <c r="B149" s="1" t="s">
        <v>284</v>
      </c>
      <c r="C149" s="1" t="s">
        <v>323</v>
      </c>
    </row>
    <row r="150" spans="2:14" x14ac:dyDescent="0.2">
      <c r="B150" s="1" t="s">
        <v>285</v>
      </c>
      <c r="C150" s="1" t="s">
        <v>324</v>
      </c>
    </row>
    <row r="153" spans="2:14" ht="19" x14ac:dyDescent="0.25">
      <c r="B153" s="44" t="s">
        <v>344</v>
      </c>
      <c r="C153"/>
      <c r="D153"/>
      <c r="E153"/>
    </row>
    <row r="154" spans="2:14" x14ac:dyDescent="0.2">
      <c r="B154"/>
      <c r="C154"/>
      <c r="D154"/>
      <c r="E154"/>
    </row>
    <row r="155" spans="2:14" x14ac:dyDescent="0.2">
      <c r="C155" s="45" t="s">
        <v>325</v>
      </c>
      <c r="F155" s="45" t="s">
        <v>326</v>
      </c>
      <c r="K155" s="45" t="s">
        <v>327</v>
      </c>
      <c r="N155" s="45" t="s">
        <v>108</v>
      </c>
    </row>
    <row r="156" spans="2:14" ht="17" x14ac:dyDescent="0.25">
      <c r="C156" s="46" t="s">
        <v>328</v>
      </c>
      <c r="F156" t="s">
        <v>329</v>
      </c>
      <c r="K156" t="s">
        <v>329</v>
      </c>
      <c r="N156" t="s">
        <v>330</v>
      </c>
    </row>
    <row r="157" spans="2:14" ht="17" x14ac:dyDescent="0.25">
      <c r="C157" s="46" t="s">
        <v>331</v>
      </c>
      <c r="F157" t="s">
        <v>332</v>
      </c>
      <c r="K157" t="s">
        <v>333</v>
      </c>
      <c r="N157" t="s">
        <v>334</v>
      </c>
    </row>
    <row r="158" spans="2:14" ht="17" x14ac:dyDescent="0.25">
      <c r="C158" s="46" t="s">
        <v>335</v>
      </c>
      <c r="F158" t="s">
        <v>332</v>
      </c>
      <c r="K158" t="s">
        <v>336</v>
      </c>
      <c r="N158" t="s">
        <v>337</v>
      </c>
    </row>
    <row r="159" spans="2:14" ht="17" x14ac:dyDescent="0.25">
      <c r="C159" s="46" t="s">
        <v>338</v>
      </c>
      <c r="F159" t="s">
        <v>333</v>
      </c>
      <c r="K159" t="s">
        <v>339</v>
      </c>
      <c r="N159" t="s">
        <v>340</v>
      </c>
    </row>
    <row r="160" spans="2:14" ht="17" x14ac:dyDescent="0.25">
      <c r="C160" s="46" t="s">
        <v>341</v>
      </c>
      <c r="F160" t="s">
        <v>333</v>
      </c>
      <c r="K160" t="s">
        <v>342</v>
      </c>
      <c r="N160" t="s">
        <v>343</v>
      </c>
    </row>
    <row r="162" spans="3:3" ht="17" x14ac:dyDescent="0.25">
      <c r="C162" t="s">
        <v>345</v>
      </c>
    </row>
    <row r="164" spans="3:3" ht="19" x14ac:dyDescent="0.25">
      <c r="C164" s="44" t="s">
        <v>346</v>
      </c>
    </row>
    <row r="165" spans="3:3" ht="17" x14ac:dyDescent="0.25">
      <c r="C165" t="s">
        <v>347</v>
      </c>
    </row>
    <row r="166" spans="3:3" ht="17" x14ac:dyDescent="0.25">
      <c r="C166" t="s">
        <v>348</v>
      </c>
    </row>
    <row r="167" spans="3:3" ht="17" x14ac:dyDescent="0.25">
      <c r="C167" t="s">
        <v>349</v>
      </c>
    </row>
    <row r="168" spans="3:3" x14ac:dyDescent="0.2">
      <c r="C168" t="s">
        <v>350</v>
      </c>
    </row>
    <row r="169" spans="3:3" ht="17" x14ac:dyDescent="0.25">
      <c r="C169" s="46" t="s">
        <v>331</v>
      </c>
    </row>
    <row r="170" spans="3:3" ht="17" x14ac:dyDescent="0.25">
      <c r="C170" s="46" t="s">
        <v>335</v>
      </c>
    </row>
    <row r="171" spans="3:3" ht="17" x14ac:dyDescent="0.25">
      <c r="C171" s="46" t="s">
        <v>351</v>
      </c>
    </row>
    <row r="172" spans="3:3" x14ac:dyDescent="0.2">
      <c r="C172" t="s">
        <v>352</v>
      </c>
    </row>
    <row r="173" spans="3:3" ht="17" x14ac:dyDescent="0.25">
      <c r="C173" s="46" t="s">
        <v>353</v>
      </c>
    </row>
    <row r="174" spans="3:3" x14ac:dyDescent="0.2">
      <c r="C174" t="s">
        <v>354</v>
      </c>
    </row>
    <row r="175" spans="3:3" x14ac:dyDescent="0.2">
      <c r="C175"/>
    </row>
    <row r="176" spans="3:3" ht="19" x14ac:dyDescent="0.25">
      <c r="C176" s="44" t="s">
        <v>355</v>
      </c>
    </row>
    <row r="177" spans="3:3" x14ac:dyDescent="0.2">
      <c r="C177"/>
    </row>
    <row r="178" spans="3:3" x14ac:dyDescent="0.2">
      <c r="C178" s="45" t="s">
        <v>356</v>
      </c>
    </row>
    <row r="179" spans="3:3" x14ac:dyDescent="0.2">
      <c r="C179" t="s">
        <v>357</v>
      </c>
    </row>
    <row r="180" spans="3:3" x14ac:dyDescent="0.2">
      <c r="C180" t="s">
        <v>358</v>
      </c>
    </row>
    <row r="181" spans="3:3" x14ac:dyDescent="0.2">
      <c r="C181" s="45" t="s">
        <v>359</v>
      </c>
    </row>
    <row r="182" spans="3:3" x14ac:dyDescent="0.2">
      <c r="C182" t="s">
        <v>360</v>
      </c>
    </row>
    <row r="183" spans="3:3" x14ac:dyDescent="0.2">
      <c r="C183" t="s">
        <v>361</v>
      </c>
    </row>
    <row r="184" spans="3:3" x14ac:dyDescent="0.2">
      <c r="C184" s="45" t="s">
        <v>362</v>
      </c>
    </row>
    <row r="185" spans="3:3" x14ac:dyDescent="0.2">
      <c r="C185" t="s">
        <v>363</v>
      </c>
    </row>
    <row r="186" spans="3:3" x14ac:dyDescent="0.2">
      <c r="C186" t="s">
        <v>364</v>
      </c>
    </row>
    <row r="187" spans="3:3" x14ac:dyDescent="0.2">
      <c r="C187" s="45" t="s">
        <v>365</v>
      </c>
    </row>
    <row r="188" spans="3:3" x14ac:dyDescent="0.2">
      <c r="C188" t="s">
        <v>366</v>
      </c>
    </row>
    <row r="189" spans="3:3" ht="17" x14ac:dyDescent="0.25">
      <c r="C189" s="46" t="s">
        <v>367</v>
      </c>
    </row>
    <row r="190" spans="3:3" ht="17" x14ac:dyDescent="0.25">
      <c r="C190" s="46" t="s">
        <v>368</v>
      </c>
    </row>
    <row r="191" spans="3:3" x14ac:dyDescent="0.2">
      <c r="C191" t="s">
        <v>369</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13C29-24CF-B945-A3B1-7BABBD9DE13A}">
  <sheetPr codeName="Sheet2"/>
  <dimension ref="B2:B64"/>
  <sheetViews>
    <sheetView workbookViewId="0"/>
  </sheetViews>
  <sheetFormatPr baseColWidth="10" defaultRowHeight="16" x14ac:dyDescent="0.2"/>
  <sheetData>
    <row r="2" spans="2:2" ht="19" x14ac:dyDescent="0.25">
      <c r="B2" s="44" t="s">
        <v>375</v>
      </c>
    </row>
    <row r="4" spans="2:2" x14ac:dyDescent="0.2">
      <c r="B4" t="s">
        <v>376</v>
      </c>
    </row>
    <row r="6" spans="2:2" ht="17" x14ac:dyDescent="0.25">
      <c r="B6" s="46" t="s">
        <v>370</v>
      </c>
    </row>
    <row r="7" spans="2:2" ht="17" x14ac:dyDescent="0.25">
      <c r="B7" s="46" t="s">
        <v>371</v>
      </c>
    </row>
    <row r="8" spans="2:2" ht="17" x14ac:dyDescent="0.25">
      <c r="B8" s="46" t="s">
        <v>372</v>
      </c>
    </row>
    <row r="10" spans="2:2" ht="17" x14ac:dyDescent="0.25">
      <c r="B10" t="s">
        <v>377</v>
      </c>
    </row>
    <row r="14" spans="2:2" ht="19" x14ac:dyDescent="0.25">
      <c r="B14" s="44" t="s">
        <v>378</v>
      </c>
    </row>
    <row r="16" spans="2:2" ht="17" x14ac:dyDescent="0.25">
      <c r="B16" s="46" t="s">
        <v>370</v>
      </c>
    </row>
    <row r="17" spans="2:2" ht="17" x14ac:dyDescent="0.25">
      <c r="B17" s="46" t="s">
        <v>371</v>
      </c>
    </row>
    <row r="18" spans="2:2" ht="17" x14ac:dyDescent="0.25">
      <c r="B18" s="46" t="s">
        <v>373</v>
      </c>
    </row>
    <row r="22" spans="2:2" ht="19" x14ac:dyDescent="0.25">
      <c r="B22" s="44" t="s">
        <v>379</v>
      </c>
    </row>
    <row r="24" spans="2:2" ht="17" x14ac:dyDescent="0.25">
      <c r="B24" t="s">
        <v>380</v>
      </c>
    </row>
    <row r="26" spans="2:2" ht="17" x14ac:dyDescent="0.25">
      <c r="B26" s="46" t="s">
        <v>370</v>
      </c>
    </row>
    <row r="27" spans="2:2" ht="17" x14ac:dyDescent="0.25">
      <c r="B27" s="46" t="s">
        <v>371</v>
      </c>
    </row>
    <row r="28" spans="2:2" ht="17" x14ac:dyDescent="0.25">
      <c r="B28" s="46" t="s">
        <v>381</v>
      </c>
    </row>
    <row r="30" spans="2:2" x14ac:dyDescent="0.2">
      <c r="B30" t="s">
        <v>382</v>
      </c>
    </row>
    <row r="31" spans="2:2" x14ac:dyDescent="0.2">
      <c r="B31" s="47" t="s">
        <v>383</v>
      </c>
    </row>
    <row r="35" spans="2:2" ht="19" x14ac:dyDescent="0.25">
      <c r="B35" s="44" t="s">
        <v>384</v>
      </c>
    </row>
    <row r="37" spans="2:2" x14ac:dyDescent="0.2">
      <c r="B37" t="s">
        <v>385</v>
      </c>
    </row>
    <row r="39" spans="2:2" ht="17" x14ac:dyDescent="0.25">
      <c r="B39" s="46" t="s">
        <v>370</v>
      </c>
    </row>
    <row r="40" spans="2:2" ht="17" x14ac:dyDescent="0.25">
      <c r="B40" s="46" t="s">
        <v>371</v>
      </c>
    </row>
    <row r="41" spans="2:2" ht="17" x14ac:dyDescent="0.25">
      <c r="B41" s="46" t="s">
        <v>374</v>
      </c>
    </row>
    <row r="43" spans="2:2" x14ac:dyDescent="0.2">
      <c r="B43" t="s">
        <v>386</v>
      </c>
    </row>
    <row r="45" spans="2:2" ht="17" x14ac:dyDescent="0.25">
      <c r="B45" s="46" t="s">
        <v>387</v>
      </c>
    </row>
    <row r="46" spans="2:2" ht="17" x14ac:dyDescent="0.25">
      <c r="B46" s="46" t="s">
        <v>371</v>
      </c>
    </row>
    <row r="47" spans="2:2" ht="17" x14ac:dyDescent="0.25">
      <c r="B47" s="46" t="s">
        <v>388</v>
      </c>
    </row>
    <row r="48" spans="2:2" ht="17" x14ac:dyDescent="0.25">
      <c r="B48" s="46" t="s">
        <v>389</v>
      </c>
    </row>
    <row r="52" spans="2:2" ht="19" x14ac:dyDescent="0.25">
      <c r="B52" s="44" t="s">
        <v>390</v>
      </c>
    </row>
    <row r="54" spans="2:2" ht="17" x14ac:dyDescent="0.25">
      <c r="B54" s="46" t="s">
        <v>370</v>
      </c>
    </row>
    <row r="55" spans="2:2" ht="17" x14ac:dyDescent="0.25">
      <c r="B55" s="46" t="s">
        <v>371</v>
      </c>
    </row>
    <row r="56" spans="2:2" ht="17" x14ac:dyDescent="0.25">
      <c r="B56" s="46" t="s">
        <v>391</v>
      </c>
    </row>
    <row r="60" spans="2:2" ht="17" x14ac:dyDescent="0.25">
      <c r="B60" t="s">
        <v>392</v>
      </c>
    </row>
    <row r="62" spans="2:2" ht="17" x14ac:dyDescent="0.25">
      <c r="B62" s="46" t="s">
        <v>370</v>
      </c>
    </row>
    <row r="63" spans="2:2" ht="17" x14ac:dyDescent="0.25">
      <c r="B63" s="46" t="s">
        <v>371</v>
      </c>
    </row>
    <row r="64" spans="2:2" ht="17" x14ac:dyDescent="0.25">
      <c r="B64" s="46" t="s">
        <v>381</v>
      </c>
    </row>
  </sheetData>
  <hyperlinks>
    <hyperlink ref="B31" r:id="rId1" location="history" display="https://pypi.org/project/mplfinance/ - history" xr:uid="{D9EFE715-9A39-DB48-B894-EFD588CBCB8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92978-8E9B-EE46-884A-63074827F060}">
  <sheetPr codeName="Sheet3"/>
  <dimension ref="B2:J12"/>
  <sheetViews>
    <sheetView workbookViewId="0"/>
  </sheetViews>
  <sheetFormatPr baseColWidth="10" defaultRowHeight="16" x14ac:dyDescent="0.2"/>
  <sheetData>
    <row r="2" spans="2:10" ht="19" x14ac:dyDescent="0.25">
      <c r="B2" s="44" t="s">
        <v>393</v>
      </c>
    </row>
    <row r="4" spans="2:10" x14ac:dyDescent="0.2">
      <c r="B4" s="45" t="s">
        <v>394</v>
      </c>
      <c r="C4" s="45" t="s">
        <v>395</v>
      </c>
      <c r="D4" s="45" t="s">
        <v>396</v>
      </c>
      <c r="E4" s="45" t="s">
        <v>397</v>
      </c>
      <c r="F4" s="45" t="s">
        <v>398</v>
      </c>
      <c r="G4" s="45" t="s">
        <v>399</v>
      </c>
      <c r="H4" s="45" t="s">
        <v>400</v>
      </c>
      <c r="I4" s="45" t="s">
        <v>401</v>
      </c>
      <c r="J4" s="45" t="s">
        <v>402</v>
      </c>
    </row>
    <row r="5" spans="2:10" ht="17" x14ac:dyDescent="0.25">
      <c r="B5" s="46" t="s">
        <v>403</v>
      </c>
      <c r="C5" t="s">
        <v>404</v>
      </c>
      <c r="D5">
        <v>2</v>
      </c>
      <c r="E5" s="46" t="s">
        <v>405</v>
      </c>
      <c r="F5">
        <v>0.7</v>
      </c>
      <c r="G5" t="s">
        <v>406</v>
      </c>
      <c r="H5" t="s">
        <v>407</v>
      </c>
      <c r="I5" t="s">
        <v>408</v>
      </c>
      <c r="J5" t="s">
        <v>409</v>
      </c>
    </row>
    <row r="6" spans="2:10" ht="17" x14ac:dyDescent="0.25">
      <c r="B6" s="46" t="s">
        <v>410</v>
      </c>
      <c r="C6" t="s">
        <v>411</v>
      </c>
      <c r="D6">
        <v>1.2</v>
      </c>
      <c r="E6" s="46" t="s">
        <v>412</v>
      </c>
      <c r="F6">
        <v>0.3</v>
      </c>
      <c r="G6" t="s">
        <v>342</v>
      </c>
      <c r="H6" t="s">
        <v>413</v>
      </c>
      <c r="I6" t="s">
        <v>414</v>
      </c>
      <c r="J6" t="s">
        <v>415</v>
      </c>
    </row>
    <row r="7" spans="2:10" ht="17" x14ac:dyDescent="0.25">
      <c r="B7" s="46" t="s">
        <v>416</v>
      </c>
      <c r="C7" t="s">
        <v>417</v>
      </c>
      <c r="D7">
        <v>2</v>
      </c>
      <c r="E7" s="46" t="s">
        <v>405</v>
      </c>
      <c r="F7">
        <v>0.7</v>
      </c>
      <c r="G7" t="s">
        <v>406</v>
      </c>
      <c r="H7" t="s">
        <v>407</v>
      </c>
      <c r="I7" t="s">
        <v>418</v>
      </c>
      <c r="J7" t="s">
        <v>419</v>
      </c>
    </row>
    <row r="8" spans="2:10" ht="17" x14ac:dyDescent="0.25">
      <c r="B8" s="46" t="s">
        <v>420</v>
      </c>
      <c r="C8" t="s">
        <v>421</v>
      </c>
      <c r="D8">
        <v>3</v>
      </c>
      <c r="E8" s="46" t="s">
        <v>405</v>
      </c>
      <c r="F8">
        <v>0.8</v>
      </c>
      <c r="G8" t="s">
        <v>422</v>
      </c>
      <c r="H8" t="s">
        <v>413</v>
      </c>
      <c r="I8" t="s">
        <v>423</v>
      </c>
      <c r="J8" t="s">
        <v>424</v>
      </c>
    </row>
    <row r="9" spans="2:10" ht="17" x14ac:dyDescent="0.25">
      <c r="B9" s="46" t="s">
        <v>425</v>
      </c>
      <c r="C9" t="s">
        <v>426</v>
      </c>
      <c r="D9">
        <v>3.5</v>
      </c>
      <c r="E9" s="46" t="s">
        <v>427</v>
      </c>
      <c r="F9">
        <v>0.9</v>
      </c>
      <c r="G9" t="s">
        <v>342</v>
      </c>
      <c r="H9" t="s">
        <v>413</v>
      </c>
      <c r="I9" t="s">
        <v>423</v>
      </c>
      <c r="J9" t="s">
        <v>428</v>
      </c>
    </row>
    <row r="10" spans="2:10" ht="17" x14ac:dyDescent="0.25">
      <c r="B10" s="46" t="s">
        <v>429</v>
      </c>
      <c r="C10" t="s">
        <v>430</v>
      </c>
      <c r="D10">
        <v>1.5</v>
      </c>
      <c r="E10" s="46" t="s">
        <v>412</v>
      </c>
      <c r="F10">
        <v>0.5</v>
      </c>
      <c r="G10" t="s">
        <v>342</v>
      </c>
      <c r="H10" t="s">
        <v>407</v>
      </c>
      <c r="I10" t="s">
        <v>414</v>
      </c>
      <c r="J10" t="s">
        <v>431</v>
      </c>
    </row>
    <row r="11" spans="2:10" ht="17" x14ac:dyDescent="0.25">
      <c r="B11" s="46" t="s">
        <v>432</v>
      </c>
      <c r="C11" t="s">
        <v>421</v>
      </c>
      <c r="D11">
        <v>2.5</v>
      </c>
      <c r="E11" s="46" t="s">
        <v>433</v>
      </c>
      <c r="F11">
        <v>0.6</v>
      </c>
      <c r="G11" t="s">
        <v>406</v>
      </c>
      <c r="H11" t="s">
        <v>413</v>
      </c>
      <c r="I11" t="s">
        <v>423</v>
      </c>
      <c r="J11" t="s">
        <v>434</v>
      </c>
    </row>
    <row r="12" spans="2:10" ht="17" x14ac:dyDescent="0.25">
      <c r="B12" s="46" t="s">
        <v>435</v>
      </c>
      <c r="C12" t="s">
        <v>417</v>
      </c>
      <c r="D12">
        <v>1.8</v>
      </c>
      <c r="E12" s="46" t="s">
        <v>405</v>
      </c>
      <c r="F12">
        <v>0.6</v>
      </c>
      <c r="G12" t="s">
        <v>406</v>
      </c>
      <c r="H12" t="s">
        <v>407</v>
      </c>
      <c r="I12" t="s">
        <v>414</v>
      </c>
      <c r="J12" t="s">
        <v>436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BAE6C-407B-4848-B56F-73D18877BFFC}">
  <sheetPr codeName="Sheet4"/>
  <dimension ref="B2:B1392"/>
  <sheetViews>
    <sheetView workbookViewId="0">
      <selection activeCell="B2" sqref="B2"/>
    </sheetView>
  </sheetViews>
  <sheetFormatPr baseColWidth="10" defaultRowHeight="16" x14ac:dyDescent="0.2"/>
  <sheetData>
    <row r="2" spans="2:2" x14ac:dyDescent="0.2">
      <c r="B2" s="51">
        <v>45834</v>
      </c>
    </row>
    <row r="4" spans="2:2" x14ac:dyDescent="0.2">
      <c r="B4" s="48" t="s">
        <v>437</v>
      </c>
    </row>
    <row r="5" spans="2:2" x14ac:dyDescent="0.2">
      <c r="B5" s="49" t="s">
        <v>438</v>
      </c>
    </row>
    <row r="6" spans="2:2" x14ac:dyDescent="0.2">
      <c r="B6" s="49" t="s">
        <v>439</v>
      </c>
    </row>
    <row r="7" spans="2:2" x14ac:dyDescent="0.2">
      <c r="B7" s="49" t="s">
        <v>440</v>
      </c>
    </row>
    <row r="8" spans="2:2" x14ac:dyDescent="0.2">
      <c r="B8" s="49" t="s">
        <v>441</v>
      </c>
    </row>
    <row r="9" spans="2:2" x14ac:dyDescent="0.2">
      <c r="B9" s="49" t="s">
        <v>442</v>
      </c>
    </row>
    <row r="10" spans="2:2" x14ac:dyDescent="0.2">
      <c r="B10" s="49" t="s">
        <v>443</v>
      </c>
    </row>
    <row r="11" spans="2:2" x14ac:dyDescent="0.2">
      <c r="B11" s="49" t="s">
        <v>444</v>
      </c>
    </row>
    <row r="12" spans="2:2" x14ac:dyDescent="0.2">
      <c r="B12" s="49" t="s">
        <v>445</v>
      </c>
    </row>
    <row r="13" spans="2:2" x14ac:dyDescent="0.2">
      <c r="B13" s="49" t="s">
        <v>446</v>
      </c>
    </row>
    <row r="14" spans="2:2" x14ac:dyDescent="0.2">
      <c r="B14" s="49" t="s">
        <v>447</v>
      </c>
    </row>
    <row r="15" spans="2:2" x14ac:dyDescent="0.2">
      <c r="B15" s="49" t="s">
        <v>448</v>
      </c>
    </row>
    <row r="16" spans="2:2" x14ac:dyDescent="0.2">
      <c r="B16" s="49" t="s">
        <v>449</v>
      </c>
    </row>
    <row r="17" spans="2:2" x14ac:dyDescent="0.2">
      <c r="B17" s="48" t="s">
        <v>450</v>
      </c>
    </row>
    <row r="18" spans="2:2" x14ac:dyDescent="0.2">
      <c r="B18" s="49" t="s">
        <v>451</v>
      </c>
    </row>
    <row r="19" spans="2:2" x14ac:dyDescent="0.2">
      <c r="B19" s="49" t="s">
        <v>452</v>
      </c>
    </row>
    <row r="20" spans="2:2" x14ac:dyDescent="0.2">
      <c r="B20" s="49" t="s">
        <v>453</v>
      </c>
    </row>
    <row r="21" spans="2:2" x14ac:dyDescent="0.2">
      <c r="B21" s="48" t="s">
        <v>450</v>
      </c>
    </row>
    <row r="22" spans="2:2" x14ac:dyDescent="0.2">
      <c r="B22" s="49" t="s">
        <v>454</v>
      </c>
    </row>
    <row r="23" spans="2:2" x14ac:dyDescent="0.2">
      <c r="B23" s="49" t="s">
        <v>455</v>
      </c>
    </row>
    <row r="24" spans="2:2" x14ac:dyDescent="0.2">
      <c r="B24" s="48" t="s">
        <v>456</v>
      </c>
    </row>
    <row r="25" spans="2:2" x14ac:dyDescent="0.2">
      <c r="B25" s="48" t="s">
        <v>450</v>
      </c>
    </row>
    <row r="26" spans="2:2" x14ac:dyDescent="0.2">
      <c r="B26" s="49" t="s">
        <v>457</v>
      </c>
    </row>
    <row r="27" spans="2:2" x14ac:dyDescent="0.2">
      <c r="B27" s="49" t="s">
        <v>458</v>
      </c>
    </row>
    <row r="28" spans="2:2" x14ac:dyDescent="0.2">
      <c r="B28" s="49" t="s">
        <v>459</v>
      </c>
    </row>
    <row r="29" spans="2:2" x14ac:dyDescent="0.2">
      <c r="B29" s="49" t="s">
        <v>460</v>
      </c>
    </row>
    <row r="30" spans="2:2" x14ac:dyDescent="0.2">
      <c r="B30" s="48" t="s">
        <v>456</v>
      </c>
    </row>
    <row r="31" spans="2:2" x14ac:dyDescent="0.2">
      <c r="B31" s="48" t="s">
        <v>456</v>
      </c>
    </row>
    <row r="32" spans="2:2" x14ac:dyDescent="0.2">
      <c r="B32" s="48" t="s">
        <v>450</v>
      </c>
    </row>
    <row r="33" spans="2:2" x14ac:dyDescent="0.2">
      <c r="B33" s="49" t="s">
        <v>461</v>
      </c>
    </row>
    <row r="34" spans="2:2" x14ac:dyDescent="0.2">
      <c r="B34" s="49" t="s">
        <v>462</v>
      </c>
    </row>
    <row r="35" spans="2:2" x14ac:dyDescent="0.2">
      <c r="B35" s="49" t="s">
        <v>463</v>
      </c>
    </row>
    <row r="36" spans="2:2" x14ac:dyDescent="0.2">
      <c r="B36" s="49" t="s">
        <v>464</v>
      </c>
    </row>
    <row r="37" spans="2:2" x14ac:dyDescent="0.2">
      <c r="B37" s="49" t="s">
        <v>465</v>
      </c>
    </row>
    <row r="38" spans="2:2" x14ac:dyDescent="0.2">
      <c r="B38" s="49" t="s">
        <v>466</v>
      </c>
    </row>
    <row r="39" spans="2:2" x14ac:dyDescent="0.2">
      <c r="B39" s="49" t="s">
        <v>467</v>
      </c>
    </row>
    <row r="40" spans="2:2" x14ac:dyDescent="0.2">
      <c r="B40" s="49" t="s">
        <v>468</v>
      </c>
    </row>
    <row r="41" spans="2:2" x14ac:dyDescent="0.2">
      <c r="B41" s="49" t="s">
        <v>469</v>
      </c>
    </row>
    <row r="42" spans="2:2" x14ac:dyDescent="0.2">
      <c r="B42" s="49" t="s">
        <v>443</v>
      </c>
    </row>
    <row r="43" spans="2:2" x14ac:dyDescent="0.2">
      <c r="B43" s="49" t="s">
        <v>470</v>
      </c>
    </row>
    <row r="44" spans="2:2" x14ac:dyDescent="0.2">
      <c r="B44" s="49" t="s">
        <v>471</v>
      </c>
    </row>
    <row r="45" spans="2:2" x14ac:dyDescent="0.2">
      <c r="B45" s="49" t="s">
        <v>472</v>
      </c>
    </row>
    <row r="46" spans="2:2" x14ac:dyDescent="0.2">
      <c r="B46" s="48" t="s">
        <v>450</v>
      </c>
    </row>
    <row r="47" spans="2:2" x14ac:dyDescent="0.2">
      <c r="B47" s="49" t="s">
        <v>473</v>
      </c>
    </row>
    <row r="48" spans="2:2" x14ac:dyDescent="0.2">
      <c r="B48" s="49" t="s">
        <v>474</v>
      </c>
    </row>
    <row r="49" spans="2:2" x14ac:dyDescent="0.2">
      <c r="B49" s="48" t="s">
        <v>450</v>
      </c>
    </row>
    <row r="50" spans="2:2" x14ac:dyDescent="0.2">
      <c r="B50" s="49" t="s">
        <v>475</v>
      </c>
    </row>
    <row r="51" spans="2:2" x14ac:dyDescent="0.2">
      <c r="B51" s="49" t="s">
        <v>476</v>
      </c>
    </row>
    <row r="53" spans="2:2" x14ac:dyDescent="0.2">
      <c r="B53" s="49" t="s">
        <v>477</v>
      </c>
    </row>
    <row r="54" spans="2:2" x14ac:dyDescent="0.2">
      <c r="B54" s="49" t="s">
        <v>478</v>
      </c>
    </row>
    <row r="55" spans="2:2" x14ac:dyDescent="0.2">
      <c r="B55" s="49" t="s">
        <v>479</v>
      </c>
    </row>
    <row r="56" spans="2:2" x14ac:dyDescent="0.2">
      <c r="B56" s="49" t="s">
        <v>480</v>
      </c>
    </row>
    <row r="57" spans="2:2" x14ac:dyDescent="0.2">
      <c r="B57" s="49" t="s">
        <v>481</v>
      </c>
    </row>
    <row r="58" spans="2:2" x14ac:dyDescent="0.2">
      <c r="B58" s="49" t="s">
        <v>482</v>
      </c>
    </row>
    <row r="60" spans="2:2" x14ac:dyDescent="0.2">
      <c r="B60" s="49" t="s">
        <v>483</v>
      </c>
    </row>
    <row r="61" spans="2:2" x14ac:dyDescent="0.2">
      <c r="B61" s="49" t="s">
        <v>484</v>
      </c>
    </row>
    <row r="62" spans="2:2" x14ac:dyDescent="0.2">
      <c r="B62" s="49" t="s">
        <v>485</v>
      </c>
    </row>
    <row r="63" spans="2:2" x14ac:dyDescent="0.2">
      <c r="B63" s="49" t="s">
        <v>486</v>
      </c>
    </row>
    <row r="64" spans="2:2" x14ac:dyDescent="0.2">
      <c r="B64" s="49" t="s">
        <v>487</v>
      </c>
    </row>
    <row r="66" spans="2:2" x14ac:dyDescent="0.2">
      <c r="B66" s="49" t="s">
        <v>488</v>
      </c>
    </row>
    <row r="67" spans="2:2" x14ac:dyDescent="0.2">
      <c r="B67" s="49" t="s">
        <v>489</v>
      </c>
    </row>
    <row r="68" spans="2:2" x14ac:dyDescent="0.2">
      <c r="B68" s="49" t="s">
        <v>490</v>
      </c>
    </row>
    <row r="69" spans="2:2" x14ac:dyDescent="0.2">
      <c r="B69" s="49" t="s">
        <v>491</v>
      </c>
    </row>
    <row r="70" spans="2:2" x14ac:dyDescent="0.2">
      <c r="B70" s="49" t="s">
        <v>492</v>
      </c>
    </row>
    <row r="71" spans="2:2" x14ac:dyDescent="0.2">
      <c r="B71" s="49" t="s">
        <v>493</v>
      </c>
    </row>
    <row r="72" spans="2:2" x14ac:dyDescent="0.2">
      <c r="B72" s="49" t="s">
        <v>494</v>
      </c>
    </row>
    <row r="73" spans="2:2" x14ac:dyDescent="0.2">
      <c r="B73" s="49" t="s">
        <v>495</v>
      </c>
    </row>
    <row r="74" spans="2:2" x14ac:dyDescent="0.2">
      <c r="B74" s="49" t="s">
        <v>496</v>
      </c>
    </row>
    <row r="75" spans="2:2" x14ac:dyDescent="0.2">
      <c r="B75" s="49" t="s">
        <v>497</v>
      </c>
    </row>
    <row r="76" spans="2:2" x14ac:dyDescent="0.2">
      <c r="B76" s="49" t="s">
        <v>498</v>
      </c>
    </row>
    <row r="78" spans="2:2" x14ac:dyDescent="0.2">
      <c r="B78" s="49" t="s">
        <v>499</v>
      </c>
    </row>
    <row r="79" spans="2:2" x14ac:dyDescent="0.2">
      <c r="B79" s="49" t="s">
        <v>500</v>
      </c>
    </row>
    <row r="80" spans="2:2" x14ac:dyDescent="0.2">
      <c r="B80" s="49" t="s">
        <v>501</v>
      </c>
    </row>
    <row r="81" spans="2:2" x14ac:dyDescent="0.2">
      <c r="B81" s="49" t="s">
        <v>502</v>
      </c>
    </row>
    <row r="82" spans="2:2" x14ac:dyDescent="0.2">
      <c r="B82" s="49" t="s">
        <v>503</v>
      </c>
    </row>
    <row r="83" spans="2:2" x14ac:dyDescent="0.2">
      <c r="B83" s="49" t="s">
        <v>504</v>
      </c>
    </row>
    <row r="84" spans="2:2" x14ac:dyDescent="0.2">
      <c r="B84" s="49" t="s">
        <v>505</v>
      </c>
    </row>
    <row r="85" spans="2:2" x14ac:dyDescent="0.2">
      <c r="B85" s="49" t="s">
        <v>506</v>
      </c>
    </row>
    <row r="86" spans="2:2" x14ac:dyDescent="0.2">
      <c r="B86" s="48" t="s">
        <v>507</v>
      </c>
    </row>
    <row r="87" spans="2:2" x14ac:dyDescent="0.2">
      <c r="B87" s="48" t="s">
        <v>508</v>
      </c>
    </row>
    <row r="88" spans="2:2" x14ac:dyDescent="0.2">
      <c r="B88" s="48" t="s">
        <v>509</v>
      </c>
    </row>
    <row r="89" spans="2:2" x14ac:dyDescent="0.2">
      <c r="B89" s="48" t="s">
        <v>510</v>
      </c>
    </row>
    <row r="91" spans="2:2" x14ac:dyDescent="0.2">
      <c r="B91" s="49" t="s">
        <v>511</v>
      </c>
    </row>
    <row r="92" spans="2:2" x14ac:dyDescent="0.2">
      <c r="B92" s="49" t="s">
        <v>512</v>
      </c>
    </row>
    <row r="93" spans="2:2" x14ac:dyDescent="0.2">
      <c r="B93" s="49" t="s">
        <v>513</v>
      </c>
    </row>
    <row r="94" spans="2:2" x14ac:dyDescent="0.2">
      <c r="B94" s="49" t="s">
        <v>514</v>
      </c>
    </row>
    <row r="96" spans="2:2" x14ac:dyDescent="0.2">
      <c r="B96" s="49" t="s">
        <v>515</v>
      </c>
    </row>
    <row r="97" spans="2:2" x14ac:dyDescent="0.2">
      <c r="B97" s="49" t="s">
        <v>516</v>
      </c>
    </row>
    <row r="98" spans="2:2" x14ac:dyDescent="0.2">
      <c r="B98" s="49" t="s">
        <v>517</v>
      </c>
    </row>
    <row r="99" spans="2:2" x14ac:dyDescent="0.2">
      <c r="B99" s="49" t="s">
        <v>518</v>
      </c>
    </row>
    <row r="100" spans="2:2" x14ac:dyDescent="0.2">
      <c r="B100" s="49" t="s">
        <v>519</v>
      </c>
    </row>
    <row r="101" spans="2:2" x14ac:dyDescent="0.2">
      <c r="B101" s="49" t="s">
        <v>520</v>
      </c>
    </row>
    <row r="102" spans="2:2" x14ac:dyDescent="0.2">
      <c r="B102" s="49" t="s">
        <v>521</v>
      </c>
    </row>
    <row r="103" spans="2:2" x14ac:dyDescent="0.2">
      <c r="B103" s="49" t="s">
        <v>522</v>
      </c>
    </row>
    <row r="104" spans="2:2" x14ac:dyDescent="0.2">
      <c r="B104" s="49" t="s">
        <v>523</v>
      </c>
    </row>
    <row r="105" spans="2:2" x14ac:dyDescent="0.2">
      <c r="B105" s="49" t="s">
        <v>524</v>
      </c>
    </row>
    <row r="107" spans="2:2" x14ac:dyDescent="0.2">
      <c r="B107" s="49" t="s">
        <v>525</v>
      </c>
    </row>
    <row r="108" spans="2:2" x14ac:dyDescent="0.2">
      <c r="B108" s="49" t="s">
        <v>526</v>
      </c>
    </row>
    <row r="109" spans="2:2" x14ac:dyDescent="0.2">
      <c r="B109" s="49" t="s">
        <v>527</v>
      </c>
    </row>
    <row r="110" spans="2:2" x14ac:dyDescent="0.2">
      <c r="B110" s="49" t="s">
        <v>528</v>
      </c>
    </row>
    <row r="111" spans="2:2" x14ac:dyDescent="0.2">
      <c r="B111" s="49" t="s">
        <v>529</v>
      </c>
    </row>
    <row r="112" spans="2:2" x14ac:dyDescent="0.2">
      <c r="B112" s="49" t="s">
        <v>530</v>
      </c>
    </row>
    <row r="113" spans="2:2" x14ac:dyDescent="0.2">
      <c r="B113" s="49" t="s">
        <v>531</v>
      </c>
    </row>
    <row r="115" spans="2:2" x14ac:dyDescent="0.2">
      <c r="B115" s="49" t="s">
        <v>532</v>
      </c>
    </row>
    <row r="116" spans="2:2" x14ac:dyDescent="0.2">
      <c r="B116" s="49" t="s">
        <v>533</v>
      </c>
    </row>
    <row r="117" spans="2:2" x14ac:dyDescent="0.2">
      <c r="B117" s="49" t="s">
        <v>534</v>
      </c>
    </row>
    <row r="118" spans="2:2" x14ac:dyDescent="0.2">
      <c r="B118" s="49" t="s">
        <v>535</v>
      </c>
    </row>
    <row r="119" spans="2:2" x14ac:dyDescent="0.2">
      <c r="B119" s="49" t="s">
        <v>536</v>
      </c>
    </row>
    <row r="121" spans="2:2" x14ac:dyDescent="0.2">
      <c r="B121" s="48" t="s">
        <v>450</v>
      </c>
    </row>
    <row r="122" spans="2:2" x14ac:dyDescent="0.2">
      <c r="B122" s="49" t="s">
        <v>537</v>
      </c>
    </row>
    <row r="123" spans="2:2" x14ac:dyDescent="0.2">
      <c r="B123" s="49" t="s">
        <v>476</v>
      </c>
    </row>
    <row r="125" spans="2:2" x14ac:dyDescent="0.2">
      <c r="B125" s="49" t="s">
        <v>477</v>
      </c>
    </row>
    <row r="126" spans="2:2" x14ac:dyDescent="0.2">
      <c r="B126" s="49" t="s">
        <v>478</v>
      </c>
    </row>
    <row r="127" spans="2:2" x14ac:dyDescent="0.2">
      <c r="B127" s="49" t="s">
        <v>479</v>
      </c>
    </row>
    <row r="128" spans="2:2" x14ac:dyDescent="0.2">
      <c r="B128" s="49" t="s">
        <v>480</v>
      </c>
    </row>
    <row r="129" spans="2:2" x14ac:dyDescent="0.2">
      <c r="B129" s="49" t="s">
        <v>481</v>
      </c>
    </row>
    <row r="130" spans="2:2" x14ac:dyDescent="0.2">
      <c r="B130" s="49" t="s">
        <v>482</v>
      </c>
    </row>
    <row r="132" spans="2:2" x14ac:dyDescent="0.2">
      <c r="B132" s="49" t="s">
        <v>483</v>
      </c>
    </row>
    <row r="133" spans="2:2" x14ac:dyDescent="0.2">
      <c r="B133" s="49" t="s">
        <v>484</v>
      </c>
    </row>
    <row r="134" spans="2:2" x14ac:dyDescent="0.2">
      <c r="B134" s="49" t="s">
        <v>485</v>
      </c>
    </row>
    <row r="135" spans="2:2" x14ac:dyDescent="0.2">
      <c r="B135" s="49" t="s">
        <v>486</v>
      </c>
    </row>
    <row r="136" spans="2:2" x14ac:dyDescent="0.2">
      <c r="B136" s="49" t="s">
        <v>538</v>
      </c>
    </row>
    <row r="138" spans="2:2" x14ac:dyDescent="0.2">
      <c r="B138" s="49" t="s">
        <v>539</v>
      </c>
    </row>
    <row r="139" spans="2:2" x14ac:dyDescent="0.2">
      <c r="B139" s="49" t="s">
        <v>540</v>
      </c>
    </row>
    <row r="140" spans="2:2" x14ac:dyDescent="0.2">
      <c r="B140" s="49" t="s">
        <v>522</v>
      </c>
    </row>
    <row r="141" spans="2:2" x14ac:dyDescent="0.2">
      <c r="B141" s="49" t="s">
        <v>523</v>
      </c>
    </row>
    <row r="142" spans="2:2" x14ac:dyDescent="0.2">
      <c r="B142" s="49" t="s">
        <v>524</v>
      </c>
    </row>
    <row r="144" spans="2:2" x14ac:dyDescent="0.2">
      <c r="B144" s="49" t="s">
        <v>515</v>
      </c>
    </row>
    <row r="145" spans="2:2" x14ac:dyDescent="0.2">
      <c r="B145" s="49" t="s">
        <v>516</v>
      </c>
    </row>
    <row r="146" spans="2:2" x14ac:dyDescent="0.2">
      <c r="B146" s="49" t="s">
        <v>517</v>
      </c>
    </row>
    <row r="147" spans="2:2" x14ac:dyDescent="0.2">
      <c r="B147" s="49" t="s">
        <v>541</v>
      </c>
    </row>
    <row r="148" spans="2:2" x14ac:dyDescent="0.2">
      <c r="B148" s="49" t="s">
        <v>542</v>
      </c>
    </row>
    <row r="150" spans="2:2" x14ac:dyDescent="0.2">
      <c r="B150" s="49" t="s">
        <v>511</v>
      </c>
    </row>
    <row r="151" spans="2:2" x14ac:dyDescent="0.2">
      <c r="B151" s="49" t="s">
        <v>512</v>
      </c>
    </row>
    <row r="152" spans="2:2" x14ac:dyDescent="0.2">
      <c r="B152" s="49" t="s">
        <v>513</v>
      </c>
    </row>
    <row r="153" spans="2:2" x14ac:dyDescent="0.2">
      <c r="B153" s="49" t="s">
        <v>514</v>
      </c>
    </row>
    <row r="155" spans="2:2" x14ac:dyDescent="0.2">
      <c r="B155" s="49" t="s">
        <v>543</v>
      </c>
    </row>
    <row r="156" spans="2:2" x14ac:dyDescent="0.2">
      <c r="B156" s="49" t="s">
        <v>488</v>
      </c>
    </row>
    <row r="157" spans="2:2" x14ac:dyDescent="0.2">
      <c r="B157" s="49" t="s">
        <v>490</v>
      </c>
    </row>
    <row r="158" spans="2:2" x14ac:dyDescent="0.2">
      <c r="B158" s="49" t="s">
        <v>491</v>
      </c>
    </row>
    <row r="159" spans="2:2" x14ac:dyDescent="0.2">
      <c r="B159" s="49" t="s">
        <v>492</v>
      </c>
    </row>
    <row r="160" spans="2:2" x14ac:dyDescent="0.2">
      <c r="B160" s="49" t="s">
        <v>493</v>
      </c>
    </row>
    <row r="161" spans="2:2" x14ac:dyDescent="0.2">
      <c r="B161" s="49" t="s">
        <v>494</v>
      </c>
    </row>
    <row r="162" spans="2:2" x14ac:dyDescent="0.2">
      <c r="B162" s="49" t="s">
        <v>495</v>
      </c>
    </row>
    <row r="163" spans="2:2" x14ac:dyDescent="0.2">
      <c r="B163" s="49" t="s">
        <v>496</v>
      </c>
    </row>
    <row r="164" spans="2:2" x14ac:dyDescent="0.2">
      <c r="B164" s="49" t="s">
        <v>544</v>
      </c>
    </row>
    <row r="165" spans="2:2" x14ac:dyDescent="0.2">
      <c r="B165" s="49" t="s">
        <v>545</v>
      </c>
    </row>
    <row r="167" spans="2:2" x14ac:dyDescent="0.2">
      <c r="B167" s="49" t="s">
        <v>499</v>
      </c>
    </row>
    <row r="168" spans="2:2" x14ac:dyDescent="0.2">
      <c r="B168" s="49" t="s">
        <v>500</v>
      </c>
    </row>
    <row r="169" spans="2:2" x14ac:dyDescent="0.2">
      <c r="B169" s="49" t="s">
        <v>501</v>
      </c>
    </row>
    <row r="170" spans="2:2" x14ac:dyDescent="0.2">
      <c r="B170" s="49" t="s">
        <v>502</v>
      </c>
    </row>
    <row r="171" spans="2:2" x14ac:dyDescent="0.2">
      <c r="B171" s="49" t="s">
        <v>546</v>
      </c>
    </row>
    <row r="172" spans="2:2" x14ac:dyDescent="0.2">
      <c r="B172" s="49" t="s">
        <v>547</v>
      </c>
    </row>
    <row r="173" spans="2:2" x14ac:dyDescent="0.2">
      <c r="B173" s="49" t="s">
        <v>505</v>
      </c>
    </row>
    <row r="174" spans="2:2" x14ac:dyDescent="0.2">
      <c r="B174" s="49" t="s">
        <v>506</v>
      </c>
    </row>
    <row r="175" spans="2:2" x14ac:dyDescent="0.2">
      <c r="B175" s="48" t="s">
        <v>507</v>
      </c>
    </row>
    <row r="176" spans="2:2" x14ac:dyDescent="0.2">
      <c r="B176" s="48" t="s">
        <v>508</v>
      </c>
    </row>
    <row r="177" spans="2:2" x14ac:dyDescent="0.2">
      <c r="B177" s="48" t="s">
        <v>509</v>
      </c>
    </row>
    <row r="178" spans="2:2" x14ac:dyDescent="0.2">
      <c r="B178" s="48" t="s">
        <v>510</v>
      </c>
    </row>
    <row r="180" spans="2:2" x14ac:dyDescent="0.2">
      <c r="B180" s="49" t="s">
        <v>548</v>
      </c>
    </row>
    <row r="181" spans="2:2" x14ac:dyDescent="0.2">
      <c r="B181" s="49" t="s">
        <v>526</v>
      </c>
    </row>
    <row r="182" spans="2:2" x14ac:dyDescent="0.2">
      <c r="B182" s="49" t="s">
        <v>527</v>
      </c>
    </row>
    <row r="183" spans="2:2" x14ac:dyDescent="0.2">
      <c r="B183" s="49" t="s">
        <v>528</v>
      </c>
    </row>
    <row r="184" spans="2:2" x14ac:dyDescent="0.2">
      <c r="B184" s="49" t="s">
        <v>529</v>
      </c>
    </row>
    <row r="185" spans="2:2" x14ac:dyDescent="0.2">
      <c r="B185" s="49" t="s">
        <v>549</v>
      </c>
    </row>
    <row r="186" spans="2:2" x14ac:dyDescent="0.2">
      <c r="B186" s="49" t="s">
        <v>531</v>
      </c>
    </row>
    <row r="188" spans="2:2" x14ac:dyDescent="0.2">
      <c r="B188" s="49" t="s">
        <v>550</v>
      </c>
    </row>
    <row r="189" spans="2:2" x14ac:dyDescent="0.2">
      <c r="B189" s="49" t="s">
        <v>533</v>
      </c>
    </row>
    <row r="190" spans="2:2" x14ac:dyDescent="0.2">
      <c r="B190" s="49" t="s">
        <v>534</v>
      </c>
    </row>
    <row r="191" spans="2:2" x14ac:dyDescent="0.2">
      <c r="B191" s="49" t="s">
        <v>535</v>
      </c>
    </row>
    <row r="192" spans="2:2" x14ac:dyDescent="0.2">
      <c r="B192" s="49" t="s">
        <v>536</v>
      </c>
    </row>
    <row r="193" spans="2:2" x14ac:dyDescent="0.2">
      <c r="B193" s="48" t="s">
        <v>450</v>
      </c>
    </row>
    <row r="194" spans="2:2" x14ac:dyDescent="0.2">
      <c r="B194" s="49" t="s">
        <v>551</v>
      </c>
    </row>
    <row r="195" spans="2:2" x14ac:dyDescent="0.2">
      <c r="B195" s="49" t="s">
        <v>476</v>
      </c>
    </row>
    <row r="197" spans="2:2" x14ac:dyDescent="0.2">
      <c r="B197" s="49" t="s">
        <v>479</v>
      </c>
    </row>
    <row r="198" spans="2:2" x14ac:dyDescent="0.2">
      <c r="B198" s="49" t="s">
        <v>477</v>
      </c>
    </row>
    <row r="199" spans="2:2" x14ac:dyDescent="0.2">
      <c r="B199" s="49" t="s">
        <v>478</v>
      </c>
    </row>
    <row r="200" spans="2:2" x14ac:dyDescent="0.2">
      <c r="B200" s="49" t="s">
        <v>480</v>
      </c>
    </row>
    <row r="202" spans="2:2" x14ac:dyDescent="0.2">
      <c r="B202" s="49" t="s">
        <v>483</v>
      </c>
    </row>
    <row r="203" spans="2:2" x14ac:dyDescent="0.2">
      <c r="B203" s="49" t="s">
        <v>484</v>
      </c>
    </row>
    <row r="204" spans="2:2" x14ac:dyDescent="0.2">
      <c r="B204" s="49" t="s">
        <v>485</v>
      </c>
    </row>
    <row r="205" spans="2:2" x14ac:dyDescent="0.2">
      <c r="B205" s="49" t="s">
        <v>486</v>
      </c>
    </row>
    <row r="206" spans="2:2" x14ac:dyDescent="0.2">
      <c r="B206" s="49" t="s">
        <v>487</v>
      </c>
    </row>
    <row r="208" spans="2:2" x14ac:dyDescent="0.2">
      <c r="B208" s="49" t="s">
        <v>552</v>
      </c>
    </row>
    <row r="209" spans="2:2" x14ac:dyDescent="0.2">
      <c r="B209" s="49" t="s">
        <v>553</v>
      </c>
    </row>
    <row r="210" spans="2:2" x14ac:dyDescent="0.2">
      <c r="B210" s="49" t="s">
        <v>488</v>
      </c>
    </row>
    <row r="211" spans="2:2" x14ac:dyDescent="0.2">
      <c r="B211" s="49" t="s">
        <v>490</v>
      </c>
    </row>
    <row r="212" spans="2:2" x14ac:dyDescent="0.2">
      <c r="B212" s="49" t="s">
        <v>489</v>
      </c>
    </row>
    <row r="213" spans="2:2" x14ac:dyDescent="0.2">
      <c r="B213" s="49" t="s">
        <v>491</v>
      </c>
    </row>
    <row r="214" spans="2:2" x14ac:dyDescent="0.2">
      <c r="B214" s="49" t="s">
        <v>494</v>
      </c>
    </row>
    <row r="215" spans="2:2" x14ac:dyDescent="0.2">
      <c r="B215" s="49" t="s">
        <v>495</v>
      </c>
    </row>
    <row r="216" spans="2:2" x14ac:dyDescent="0.2">
      <c r="B216" s="49" t="s">
        <v>496</v>
      </c>
    </row>
    <row r="217" spans="2:2" x14ac:dyDescent="0.2">
      <c r="B217" s="49" t="s">
        <v>497</v>
      </c>
    </row>
    <row r="218" spans="2:2" x14ac:dyDescent="0.2">
      <c r="B218" s="49" t="s">
        <v>498</v>
      </c>
    </row>
    <row r="220" spans="2:2" x14ac:dyDescent="0.2">
      <c r="B220" s="49" t="s">
        <v>499</v>
      </c>
    </row>
    <row r="221" spans="2:2" x14ac:dyDescent="0.2">
      <c r="B221" s="49" t="s">
        <v>500</v>
      </c>
    </row>
    <row r="222" spans="2:2" x14ac:dyDescent="0.2">
      <c r="B222" s="49" t="s">
        <v>501</v>
      </c>
    </row>
    <row r="223" spans="2:2" x14ac:dyDescent="0.2">
      <c r="B223" s="49" t="s">
        <v>502</v>
      </c>
    </row>
    <row r="224" spans="2:2" x14ac:dyDescent="0.2">
      <c r="B224" s="49" t="s">
        <v>554</v>
      </c>
    </row>
    <row r="225" spans="2:2" x14ac:dyDescent="0.2">
      <c r="B225" s="49" t="s">
        <v>555</v>
      </c>
    </row>
    <row r="226" spans="2:2" x14ac:dyDescent="0.2">
      <c r="B226" s="49" t="s">
        <v>505</v>
      </c>
    </row>
    <row r="227" spans="2:2" x14ac:dyDescent="0.2">
      <c r="B227" s="49" t="s">
        <v>506</v>
      </c>
    </row>
    <row r="228" spans="2:2" x14ac:dyDescent="0.2">
      <c r="B228" s="48" t="s">
        <v>507</v>
      </c>
    </row>
    <row r="229" spans="2:2" x14ac:dyDescent="0.2">
      <c r="B229" s="48" t="s">
        <v>508</v>
      </c>
    </row>
    <row r="230" spans="2:2" x14ac:dyDescent="0.2">
      <c r="B230" s="48" t="s">
        <v>509</v>
      </c>
    </row>
    <row r="231" spans="2:2" x14ac:dyDescent="0.2">
      <c r="B231" s="48" t="s">
        <v>510</v>
      </c>
    </row>
    <row r="233" spans="2:2" x14ac:dyDescent="0.2">
      <c r="B233" s="49" t="s">
        <v>511</v>
      </c>
    </row>
    <row r="234" spans="2:2" x14ac:dyDescent="0.2">
      <c r="B234" s="49" t="s">
        <v>512</v>
      </c>
    </row>
    <row r="235" spans="2:2" x14ac:dyDescent="0.2">
      <c r="B235" s="49" t="s">
        <v>513</v>
      </c>
    </row>
    <row r="236" spans="2:2" x14ac:dyDescent="0.2">
      <c r="B236" s="49" t="s">
        <v>514</v>
      </c>
    </row>
    <row r="238" spans="2:2" x14ac:dyDescent="0.2">
      <c r="B238" s="49" t="s">
        <v>515</v>
      </c>
    </row>
    <row r="239" spans="2:2" x14ac:dyDescent="0.2">
      <c r="B239" s="49" t="s">
        <v>516</v>
      </c>
    </row>
    <row r="240" spans="2:2" x14ac:dyDescent="0.2">
      <c r="B240" s="49" t="s">
        <v>556</v>
      </c>
    </row>
    <row r="241" spans="2:2" x14ac:dyDescent="0.2">
      <c r="B241" s="49" t="s">
        <v>518</v>
      </c>
    </row>
    <row r="242" spans="2:2" x14ac:dyDescent="0.2">
      <c r="B242" s="49" t="s">
        <v>519</v>
      </c>
    </row>
    <row r="243" spans="2:2" x14ac:dyDescent="0.2">
      <c r="B243" s="49" t="s">
        <v>520</v>
      </c>
    </row>
    <row r="244" spans="2:2" x14ac:dyDescent="0.2">
      <c r="B244" s="49" t="s">
        <v>521</v>
      </c>
    </row>
    <row r="245" spans="2:2" x14ac:dyDescent="0.2">
      <c r="B245" s="49" t="s">
        <v>522</v>
      </c>
    </row>
    <row r="246" spans="2:2" x14ac:dyDescent="0.2">
      <c r="B246" s="49" t="s">
        <v>523</v>
      </c>
    </row>
    <row r="247" spans="2:2" x14ac:dyDescent="0.2">
      <c r="B247" s="49" t="s">
        <v>524</v>
      </c>
    </row>
    <row r="249" spans="2:2" x14ac:dyDescent="0.2">
      <c r="B249" s="49" t="s">
        <v>525</v>
      </c>
    </row>
    <row r="250" spans="2:2" x14ac:dyDescent="0.2">
      <c r="B250" s="49" t="s">
        <v>526</v>
      </c>
    </row>
    <row r="251" spans="2:2" x14ac:dyDescent="0.2">
      <c r="B251" s="49" t="s">
        <v>530</v>
      </c>
    </row>
    <row r="252" spans="2:2" x14ac:dyDescent="0.2">
      <c r="B252" s="49" t="s">
        <v>531</v>
      </c>
    </row>
    <row r="254" spans="2:2" x14ac:dyDescent="0.2">
      <c r="B254" s="49" t="s">
        <v>550</v>
      </c>
    </row>
    <row r="255" spans="2:2" x14ac:dyDescent="0.2">
      <c r="B255" s="49" t="s">
        <v>533</v>
      </c>
    </row>
    <row r="256" spans="2:2" x14ac:dyDescent="0.2">
      <c r="B256" s="49" t="s">
        <v>534</v>
      </c>
    </row>
    <row r="257" spans="2:2" x14ac:dyDescent="0.2">
      <c r="B257" s="49" t="s">
        <v>557</v>
      </c>
    </row>
    <row r="258" spans="2:2" x14ac:dyDescent="0.2">
      <c r="B258" s="49" t="s">
        <v>536</v>
      </c>
    </row>
    <row r="260" spans="2:2" x14ac:dyDescent="0.2">
      <c r="B260" s="48" t="s">
        <v>450</v>
      </c>
    </row>
    <row r="261" spans="2:2" x14ac:dyDescent="0.2">
      <c r="B261" s="49" t="s">
        <v>558</v>
      </c>
    </row>
    <row r="262" spans="2:2" x14ac:dyDescent="0.2">
      <c r="B262" s="49" t="s">
        <v>476</v>
      </c>
    </row>
    <row r="264" spans="2:2" x14ac:dyDescent="0.2">
      <c r="B264" s="49" t="s">
        <v>479</v>
      </c>
    </row>
    <row r="265" spans="2:2" x14ac:dyDescent="0.2">
      <c r="B265" s="49" t="s">
        <v>477</v>
      </c>
    </row>
    <row r="266" spans="2:2" x14ac:dyDescent="0.2">
      <c r="B266" s="49" t="s">
        <v>478</v>
      </c>
    </row>
    <row r="267" spans="2:2" x14ac:dyDescent="0.2">
      <c r="B267" s="49" t="s">
        <v>480</v>
      </c>
    </row>
    <row r="269" spans="2:2" x14ac:dyDescent="0.2">
      <c r="B269" s="49" t="s">
        <v>483</v>
      </c>
    </row>
    <row r="270" spans="2:2" x14ac:dyDescent="0.2">
      <c r="B270" s="49" t="s">
        <v>484</v>
      </c>
    </row>
    <row r="271" spans="2:2" x14ac:dyDescent="0.2">
      <c r="B271" s="49" t="s">
        <v>485</v>
      </c>
    </row>
    <row r="272" spans="2:2" x14ac:dyDescent="0.2">
      <c r="B272" s="49" t="s">
        <v>486</v>
      </c>
    </row>
    <row r="273" spans="2:2" x14ac:dyDescent="0.2">
      <c r="B273" s="49" t="s">
        <v>487</v>
      </c>
    </row>
    <row r="275" spans="2:2" x14ac:dyDescent="0.2">
      <c r="B275" s="49" t="s">
        <v>520</v>
      </c>
    </row>
    <row r="276" spans="2:2" x14ac:dyDescent="0.2">
      <c r="B276" s="49" t="s">
        <v>521</v>
      </c>
    </row>
    <row r="277" spans="2:2" x14ac:dyDescent="0.2">
      <c r="B277" s="49" t="s">
        <v>522</v>
      </c>
    </row>
    <row r="278" spans="2:2" x14ac:dyDescent="0.2">
      <c r="B278" s="49" t="s">
        <v>523</v>
      </c>
    </row>
    <row r="279" spans="2:2" x14ac:dyDescent="0.2">
      <c r="B279" s="49" t="s">
        <v>524</v>
      </c>
    </row>
    <row r="281" spans="2:2" x14ac:dyDescent="0.2">
      <c r="B281" s="49" t="s">
        <v>559</v>
      </c>
    </row>
    <row r="282" spans="2:2" x14ac:dyDescent="0.2">
      <c r="B282" s="49" t="s">
        <v>516</v>
      </c>
    </row>
    <row r="283" spans="2:2" x14ac:dyDescent="0.2">
      <c r="B283" s="49" t="s">
        <v>556</v>
      </c>
    </row>
    <row r="284" spans="2:2" x14ac:dyDescent="0.2">
      <c r="B284" s="49" t="s">
        <v>518</v>
      </c>
    </row>
    <row r="285" spans="2:2" x14ac:dyDescent="0.2">
      <c r="B285" s="49" t="s">
        <v>519</v>
      </c>
    </row>
    <row r="287" spans="2:2" x14ac:dyDescent="0.2">
      <c r="B287" s="49" t="s">
        <v>511</v>
      </c>
    </row>
    <row r="288" spans="2:2" x14ac:dyDescent="0.2">
      <c r="B288" s="49" t="s">
        <v>513</v>
      </c>
    </row>
    <row r="289" spans="2:2" x14ac:dyDescent="0.2">
      <c r="B289" s="49" t="s">
        <v>512</v>
      </c>
    </row>
    <row r="290" spans="2:2" x14ac:dyDescent="0.2">
      <c r="B290" s="49" t="s">
        <v>514</v>
      </c>
    </row>
    <row r="292" spans="2:2" x14ac:dyDescent="0.2">
      <c r="B292" s="49" t="s">
        <v>552</v>
      </c>
    </row>
    <row r="293" spans="2:2" x14ac:dyDescent="0.2">
      <c r="B293" s="49" t="s">
        <v>553</v>
      </c>
    </row>
    <row r="294" spans="2:2" x14ac:dyDescent="0.2">
      <c r="B294" s="49" t="s">
        <v>488</v>
      </c>
    </row>
    <row r="295" spans="2:2" x14ac:dyDescent="0.2">
      <c r="B295" s="49" t="s">
        <v>490</v>
      </c>
    </row>
    <row r="296" spans="2:2" x14ac:dyDescent="0.2">
      <c r="B296" s="49" t="s">
        <v>489</v>
      </c>
    </row>
    <row r="297" spans="2:2" x14ac:dyDescent="0.2">
      <c r="B297" s="49" t="s">
        <v>491</v>
      </c>
    </row>
    <row r="298" spans="2:2" x14ac:dyDescent="0.2">
      <c r="B298" s="49" t="s">
        <v>494</v>
      </c>
    </row>
    <row r="299" spans="2:2" x14ac:dyDescent="0.2">
      <c r="B299" s="49" t="s">
        <v>560</v>
      </c>
    </row>
    <row r="300" spans="2:2" x14ac:dyDescent="0.2">
      <c r="B300" s="49" t="s">
        <v>496</v>
      </c>
    </row>
    <row r="301" spans="2:2" x14ac:dyDescent="0.2">
      <c r="B301" s="49" t="s">
        <v>497</v>
      </c>
    </row>
    <row r="302" spans="2:2" x14ac:dyDescent="0.2">
      <c r="B302" s="49" t="s">
        <v>498</v>
      </c>
    </row>
    <row r="304" spans="2:2" x14ac:dyDescent="0.2">
      <c r="B304" s="49" t="s">
        <v>499</v>
      </c>
    </row>
    <row r="305" spans="2:2" x14ac:dyDescent="0.2">
      <c r="B305" s="49" t="s">
        <v>561</v>
      </c>
    </row>
    <row r="306" spans="2:2" x14ac:dyDescent="0.2">
      <c r="B306" s="49" t="s">
        <v>501</v>
      </c>
    </row>
    <row r="307" spans="2:2" x14ac:dyDescent="0.2">
      <c r="B307" s="49" t="s">
        <v>502</v>
      </c>
    </row>
    <row r="308" spans="2:2" x14ac:dyDescent="0.2">
      <c r="B308" s="49" t="s">
        <v>554</v>
      </c>
    </row>
    <row r="309" spans="2:2" x14ac:dyDescent="0.2">
      <c r="B309" s="49" t="s">
        <v>555</v>
      </c>
    </row>
    <row r="310" spans="2:2" x14ac:dyDescent="0.2">
      <c r="B310" s="49" t="s">
        <v>505</v>
      </c>
    </row>
    <row r="311" spans="2:2" x14ac:dyDescent="0.2">
      <c r="B311" s="49" t="s">
        <v>506</v>
      </c>
    </row>
    <row r="312" spans="2:2" x14ac:dyDescent="0.2">
      <c r="B312" s="48" t="s">
        <v>507</v>
      </c>
    </row>
    <row r="313" spans="2:2" x14ac:dyDescent="0.2">
      <c r="B313" s="48" t="s">
        <v>508</v>
      </c>
    </row>
    <row r="314" spans="2:2" x14ac:dyDescent="0.2">
      <c r="B314" s="48" t="s">
        <v>509</v>
      </c>
    </row>
    <row r="315" spans="2:2" x14ac:dyDescent="0.2">
      <c r="B315" s="48" t="s">
        <v>510</v>
      </c>
    </row>
    <row r="316" spans="2:2" x14ac:dyDescent="0.2">
      <c r="B316" s="49" t="s">
        <v>548</v>
      </c>
    </row>
    <row r="317" spans="2:2" x14ac:dyDescent="0.2">
      <c r="B317" s="49" t="s">
        <v>526</v>
      </c>
    </row>
    <row r="318" spans="2:2" x14ac:dyDescent="0.2">
      <c r="B318" s="49" t="s">
        <v>530</v>
      </c>
    </row>
    <row r="319" spans="2:2" x14ac:dyDescent="0.2">
      <c r="B319" s="49" t="s">
        <v>531</v>
      </c>
    </row>
    <row r="321" spans="2:2" x14ac:dyDescent="0.2">
      <c r="B321" s="49" t="s">
        <v>532</v>
      </c>
    </row>
    <row r="322" spans="2:2" x14ac:dyDescent="0.2">
      <c r="B322" s="49" t="s">
        <v>533</v>
      </c>
    </row>
    <row r="323" spans="2:2" x14ac:dyDescent="0.2">
      <c r="B323" s="49" t="s">
        <v>534</v>
      </c>
    </row>
    <row r="324" spans="2:2" x14ac:dyDescent="0.2">
      <c r="B324" s="49" t="s">
        <v>562</v>
      </c>
    </row>
    <row r="325" spans="2:2" x14ac:dyDescent="0.2">
      <c r="B325" s="49" t="s">
        <v>536</v>
      </c>
    </row>
    <row r="326" spans="2:2" x14ac:dyDescent="0.2">
      <c r="B326" s="48" t="s">
        <v>450</v>
      </c>
    </row>
    <row r="327" spans="2:2" x14ac:dyDescent="0.2">
      <c r="B327" s="49" t="s">
        <v>563</v>
      </c>
    </row>
    <row r="328" spans="2:2" x14ac:dyDescent="0.2">
      <c r="B328" s="49" t="s">
        <v>564</v>
      </c>
    </row>
    <row r="329" spans="2:2" x14ac:dyDescent="0.2">
      <c r="B329" s="49" t="s">
        <v>479</v>
      </c>
    </row>
    <row r="330" spans="2:2" x14ac:dyDescent="0.2">
      <c r="B330" s="49" t="s">
        <v>477</v>
      </c>
    </row>
    <row r="331" spans="2:2" x14ac:dyDescent="0.2">
      <c r="B331" s="49" t="s">
        <v>565</v>
      </c>
    </row>
    <row r="332" spans="2:2" x14ac:dyDescent="0.2">
      <c r="B332" s="49" t="s">
        <v>566</v>
      </c>
    </row>
    <row r="333" spans="2:2" x14ac:dyDescent="0.2">
      <c r="B333" s="49" t="s">
        <v>539</v>
      </c>
    </row>
    <row r="334" spans="2:2" x14ac:dyDescent="0.2">
      <c r="B334" s="49" t="s">
        <v>567</v>
      </c>
    </row>
    <row r="335" spans="2:2" x14ac:dyDescent="0.2">
      <c r="B335" s="49" t="s">
        <v>568</v>
      </c>
    </row>
    <row r="336" spans="2:2" x14ac:dyDescent="0.2">
      <c r="B336" s="49" t="s">
        <v>569</v>
      </c>
    </row>
    <row r="337" spans="2:2" x14ac:dyDescent="0.2">
      <c r="B337" s="49" t="s">
        <v>524</v>
      </c>
    </row>
    <row r="338" spans="2:2" x14ac:dyDescent="0.2">
      <c r="B338" s="49" t="s">
        <v>515</v>
      </c>
    </row>
    <row r="339" spans="2:2" x14ac:dyDescent="0.2">
      <c r="B339" s="49" t="s">
        <v>516</v>
      </c>
    </row>
    <row r="340" spans="2:2" x14ac:dyDescent="0.2">
      <c r="B340" s="49" t="s">
        <v>518</v>
      </c>
    </row>
    <row r="341" spans="2:2" x14ac:dyDescent="0.2">
      <c r="B341" s="49" t="s">
        <v>556</v>
      </c>
    </row>
    <row r="342" spans="2:2" x14ac:dyDescent="0.2">
      <c r="B342" s="49" t="s">
        <v>511</v>
      </c>
    </row>
    <row r="343" spans="2:2" x14ac:dyDescent="0.2">
      <c r="B343" s="49" t="s">
        <v>570</v>
      </c>
    </row>
    <row r="344" spans="2:2" x14ac:dyDescent="0.2">
      <c r="B344" s="49" t="s">
        <v>543</v>
      </c>
    </row>
    <row r="345" spans="2:2" x14ac:dyDescent="0.2">
      <c r="B345" s="49" t="s">
        <v>488</v>
      </c>
    </row>
    <row r="346" spans="2:2" x14ac:dyDescent="0.2">
      <c r="B346" s="49" t="s">
        <v>491</v>
      </c>
    </row>
    <row r="347" spans="2:2" x14ac:dyDescent="0.2">
      <c r="B347" s="49" t="s">
        <v>571</v>
      </c>
    </row>
    <row r="348" spans="2:2" x14ac:dyDescent="0.2">
      <c r="B348" s="49" t="s">
        <v>494</v>
      </c>
    </row>
    <row r="349" spans="2:2" x14ac:dyDescent="0.2">
      <c r="B349" s="49" t="s">
        <v>572</v>
      </c>
    </row>
    <row r="350" spans="2:2" x14ac:dyDescent="0.2">
      <c r="B350" s="49" t="s">
        <v>490</v>
      </c>
    </row>
    <row r="351" spans="2:2" x14ac:dyDescent="0.2">
      <c r="B351" s="49" t="s">
        <v>544</v>
      </c>
    </row>
    <row r="352" spans="2:2" x14ac:dyDescent="0.2">
      <c r="B352" s="49" t="s">
        <v>573</v>
      </c>
    </row>
    <row r="353" spans="2:2" x14ac:dyDescent="0.2">
      <c r="B353" s="49" t="s">
        <v>545</v>
      </c>
    </row>
    <row r="354" spans="2:2" x14ac:dyDescent="0.2">
      <c r="B354" s="49" t="s">
        <v>499</v>
      </c>
    </row>
    <row r="355" spans="2:2" x14ac:dyDescent="0.2">
      <c r="B355" s="49" t="s">
        <v>500</v>
      </c>
    </row>
    <row r="356" spans="2:2" x14ac:dyDescent="0.2">
      <c r="B356" s="49" t="s">
        <v>501</v>
      </c>
    </row>
    <row r="357" spans="2:2" x14ac:dyDescent="0.2">
      <c r="B357" s="49" t="s">
        <v>502</v>
      </c>
    </row>
    <row r="358" spans="2:2" x14ac:dyDescent="0.2">
      <c r="B358" s="49" t="s">
        <v>574</v>
      </c>
    </row>
    <row r="359" spans="2:2" x14ac:dyDescent="0.2">
      <c r="B359" s="49" t="s">
        <v>504</v>
      </c>
    </row>
    <row r="360" spans="2:2" x14ac:dyDescent="0.2">
      <c r="B360" s="49" t="s">
        <v>505</v>
      </c>
    </row>
    <row r="361" spans="2:2" x14ac:dyDescent="0.2">
      <c r="B361" s="49" t="s">
        <v>506</v>
      </c>
    </row>
    <row r="362" spans="2:2" x14ac:dyDescent="0.2">
      <c r="B362" s="48" t="s">
        <v>507</v>
      </c>
    </row>
    <row r="363" spans="2:2" x14ac:dyDescent="0.2">
      <c r="B363" s="48" t="s">
        <v>508</v>
      </c>
    </row>
    <row r="364" spans="2:2" x14ac:dyDescent="0.2">
      <c r="B364" s="48" t="s">
        <v>509</v>
      </c>
    </row>
    <row r="365" spans="2:2" x14ac:dyDescent="0.2">
      <c r="B365" s="48" t="s">
        <v>510</v>
      </c>
    </row>
    <row r="366" spans="2:2" x14ac:dyDescent="0.2">
      <c r="B366" s="49" t="s">
        <v>548</v>
      </c>
    </row>
    <row r="367" spans="2:2" x14ac:dyDescent="0.2">
      <c r="B367" s="49" t="s">
        <v>526</v>
      </c>
    </row>
    <row r="368" spans="2:2" x14ac:dyDescent="0.2">
      <c r="B368" s="49" t="s">
        <v>575</v>
      </c>
    </row>
    <row r="369" spans="2:2" x14ac:dyDescent="0.2">
      <c r="B369" s="49" t="s">
        <v>576</v>
      </c>
    </row>
    <row r="370" spans="2:2" x14ac:dyDescent="0.2">
      <c r="B370" s="48" t="s">
        <v>450</v>
      </c>
    </row>
    <row r="371" spans="2:2" x14ac:dyDescent="0.2">
      <c r="B371" s="49" t="s">
        <v>577</v>
      </c>
    </row>
    <row r="372" spans="2:2" x14ac:dyDescent="0.2">
      <c r="B372" s="49" t="s">
        <v>564</v>
      </c>
    </row>
    <row r="373" spans="2:2" x14ac:dyDescent="0.2">
      <c r="B373" s="49" t="s">
        <v>479</v>
      </c>
    </row>
    <row r="374" spans="2:2" x14ac:dyDescent="0.2">
      <c r="B374" s="49" t="s">
        <v>477</v>
      </c>
    </row>
    <row r="375" spans="2:2" x14ac:dyDescent="0.2">
      <c r="B375" s="49" t="s">
        <v>565</v>
      </c>
    </row>
    <row r="376" spans="2:2" x14ac:dyDescent="0.2">
      <c r="B376" s="49" t="s">
        <v>483</v>
      </c>
    </row>
    <row r="377" spans="2:2" x14ac:dyDescent="0.2">
      <c r="B377" s="49" t="s">
        <v>484</v>
      </c>
    </row>
    <row r="378" spans="2:2" x14ac:dyDescent="0.2">
      <c r="B378" s="49" t="s">
        <v>485</v>
      </c>
    </row>
    <row r="379" spans="2:2" x14ac:dyDescent="0.2">
      <c r="B379" s="49" t="s">
        <v>539</v>
      </c>
    </row>
    <row r="380" spans="2:2" x14ac:dyDescent="0.2">
      <c r="B380" s="49" t="s">
        <v>521</v>
      </c>
    </row>
    <row r="381" spans="2:2" x14ac:dyDescent="0.2">
      <c r="B381" s="49" t="s">
        <v>578</v>
      </c>
    </row>
    <row r="382" spans="2:2" x14ac:dyDescent="0.2">
      <c r="B382" s="49" t="s">
        <v>579</v>
      </c>
    </row>
    <row r="383" spans="2:2" x14ac:dyDescent="0.2">
      <c r="B383" s="49" t="s">
        <v>515</v>
      </c>
    </row>
    <row r="384" spans="2:2" x14ac:dyDescent="0.2">
      <c r="B384" s="49" t="s">
        <v>516</v>
      </c>
    </row>
    <row r="385" spans="2:2" x14ac:dyDescent="0.2">
      <c r="B385" s="49" t="s">
        <v>580</v>
      </c>
    </row>
    <row r="386" spans="2:2" x14ac:dyDescent="0.2">
      <c r="B386" s="49" t="s">
        <v>511</v>
      </c>
    </row>
    <row r="387" spans="2:2" x14ac:dyDescent="0.2">
      <c r="B387" s="49" t="s">
        <v>581</v>
      </c>
    </row>
    <row r="388" spans="2:2" x14ac:dyDescent="0.2">
      <c r="B388" s="49" t="s">
        <v>543</v>
      </c>
    </row>
    <row r="389" spans="2:2" x14ac:dyDescent="0.2">
      <c r="B389" s="49" t="s">
        <v>488</v>
      </c>
    </row>
    <row r="390" spans="2:2" x14ac:dyDescent="0.2">
      <c r="B390" s="49" t="s">
        <v>491</v>
      </c>
    </row>
    <row r="391" spans="2:2" x14ac:dyDescent="0.2">
      <c r="B391" s="49" t="s">
        <v>571</v>
      </c>
    </row>
    <row r="392" spans="2:2" x14ac:dyDescent="0.2">
      <c r="B392" s="49" t="s">
        <v>490</v>
      </c>
    </row>
    <row r="393" spans="2:2" x14ac:dyDescent="0.2">
      <c r="B393" s="49" t="s">
        <v>544</v>
      </c>
    </row>
    <row r="394" spans="2:2" x14ac:dyDescent="0.2">
      <c r="B394" s="49" t="s">
        <v>573</v>
      </c>
    </row>
    <row r="395" spans="2:2" x14ac:dyDescent="0.2">
      <c r="B395" s="49" t="s">
        <v>498</v>
      </c>
    </row>
    <row r="396" spans="2:2" x14ac:dyDescent="0.2">
      <c r="B396" s="49" t="s">
        <v>494</v>
      </c>
    </row>
    <row r="397" spans="2:2" x14ac:dyDescent="0.2">
      <c r="B397" s="49" t="s">
        <v>560</v>
      </c>
    </row>
    <row r="399" spans="2:2" x14ac:dyDescent="0.2">
      <c r="B399" s="49" t="s">
        <v>499</v>
      </c>
    </row>
    <row r="400" spans="2:2" x14ac:dyDescent="0.2">
      <c r="B400" s="49" t="s">
        <v>500</v>
      </c>
    </row>
    <row r="401" spans="2:2" x14ac:dyDescent="0.2">
      <c r="B401" s="49" t="s">
        <v>501</v>
      </c>
    </row>
    <row r="402" spans="2:2" x14ac:dyDescent="0.2">
      <c r="B402" s="49" t="s">
        <v>502</v>
      </c>
    </row>
    <row r="403" spans="2:2" x14ac:dyDescent="0.2">
      <c r="B403" s="49" t="s">
        <v>582</v>
      </c>
    </row>
    <row r="404" spans="2:2" x14ac:dyDescent="0.2">
      <c r="B404" s="49" t="s">
        <v>504</v>
      </c>
    </row>
    <row r="405" spans="2:2" x14ac:dyDescent="0.2">
      <c r="B405" s="49" t="s">
        <v>505</v>
      </c>
    </row>
    <row r="406" spans="2:2" x14ac:dyDescent="0.2">
      <c r="B406" s="49" t="s">
        <v>583</v>
      </c>
    </row>
    <row r="408" spans="2:2" x14ac:dyDescent="0.2">
      <c r="B408" s="49" t="s">
        <v>548</v>
      </c>
    </row>
    <row r="409" spans="2:2" x14ac:dyDescent="0.2">
      <c r="B409" s="49" t="s">
        <v>584</v>
      </c>
    </row>
    <row r="410" spans="2:2" x14ac:dyDescent="0.2">
      <c r="B410" s="49" t="s">
        <v>575</v>
      </c>
    </row>
    <row r="411" spans="2:2" x14ac:dyDescent="0.2">
      <c r="B411" s="49" t="s">
        <v>585</v>
      </c>
    </row>
    <row r="412" spans="2:2" x14ac:dyDescent="0.2">
      <c r="B412" s="48" t="s">
        <v>450</v>
      </c>
    </row>
    <row r="413" spans="2:2" x14ac:dyDescent="0.2">
      <c r="B413" s="49" t="s">
        <v>586</v>
      </c>
    </row>
    <row r="414" spans="2:2" x14ac:dyDescent="0.2">
      <c r="B414" s="49" t="s">
        <v>564</v>
      </c>
    </row>
    <row r="415" spans="2:2" x14ac:dyDescent="0.2">
      <c r="B415" s="49" t="s">
        <v>479</v>
      </c>
    </row>
    <row r="416" spans="2:2" x14ac:dyDescent="0.2">
      <c r="B416" s="49" t="s">
        <v>477</v>
      </c>
    </row>
    <row r="417" spans="2:2" x14ac:dyDescent="0.2">
      <c r="B417" s="49" t="s">
        <v>478</v>
      </c>
    </row>
    <row r="418" spans="2:2" x14ac:dyDescent="0.2">
      <c r="B418" s="49" t="s">
        <v>566</v>
      </c>
    </row>
    <row r="419" spans="2:2" x14ac:dyDescent="0.2">
      <c r="B419" s="49" t="s">
        <v>539</v>
      </c>
    </row>
    <row r="420" spans="2:2" x14ac:dyDescent="0.2">
      <c r="B420" s="49" t="s">
        <v>540</v>
      </c>
    </row>
    <row r="421" spans="2:2" x14ac:dyDescent="0.2">
      <c r="B421" s="49" t="s">
        <v>522</v>
      </c>
    </row>
    <row r="422" spans="2:2" x14ac:dyDescent="0.2">
      <c r="B422" s="49" t="s">
        <v>523</v>
      </c>
    </row>
    <row r="423" spans="2:2" x14ac:dyDescent="0.2">
      <c r="B423" s="49" t="s">
        <v>515</v>
      </c>
    </row>
    <row r="424" spans="2:2" x14ac:dyDescent="0.2">
      <c r="B424" s="49" t="s">
        <v>516</v>
      </c>
    </row>
    <row r="425" spans="2:2" x14ac:dyDescent="0.2">
      <c r="B425" s="49" t="s">
        <v>541</v>
      </c>
    </row>
    <row r="426" spans="2:2" x14ac:dyDescent="0.2">
      <c r="B426" s="49" t="s">
        <v>587</v>
      </c>
    </row>
    <row r="427" spans="2:2" x14ac:dyDescent="0.2">
      <c r="B427" s="49" t="s">
        <v>543</v>
      </c>
    </row>
    <row r="428" spans="2:2" x14ac:dyDescent="0.2">
      <c r="B428" s="49" t="s">
        <v>588</v>
      </c>
    </row>
    <row r="429" spans="2:2" x14ac:dyDescent="0.2">
      <c r="B429" s="49" t="s">
        <v>491</v>
      </c>
    </row>
    <row r="430" spans="2:2" x14ac:dyDescent="0.2">
      <c r="B430" s="49" t="s">
        <v>571</v>
      </c>
    </row>
    <row r="431" spans="2:2" x14ac:dyDescent="0.2">
      <c r="B431" s="49" t="s">
        <v>490</v>
      </c>
    </row>
    <row r="432" spans="2:2" x14ac:dyDescent="0.2">
      <c r="B432" s="49" t="s">
        <v>497</v>
      </c>
    </row>
    <row r="433" spans="2:2" x14ac:dyDescent="0.2">
      <c r="B433" s="49" t="s">
        <v>589</v>
      </c>
    </row>
    <row r="434" spans="2:2" x14ac:dyDescent="0.2">
      <c r="B434" s="49" t="s">
        <v>501</v>
      </c>
    </row>
    <row r="435" spans="2:2" x14ac:dyDescent="0.2">
      <c r="B435" s="49" t="s">
        <v>499</v>
      </c>
    </row>
    <row r="436" spans="2:2" x14ac:dyDescent="0.2">
      <c r="B436" s="49" t="s">
        <v>500</v>
      </c>
    </row>
    <row r="437" spans="2:2" x14ac:dyDescent="0.2">
      <c r="B437" s="49" t="s">
        <v>590</v>
      </c>
    </row>
    <row r="438" spans="2:2" x14ac:dyDescent="0.2">
      <c r="B438" s="49" t="s">
        <v>591</v>
      </c>
    </row>
    <row r="439" spans="2:2" x14ac:dyDescent="0.2">
      <c r="B439" s="49" t="s">
        <v>504</v>
      </c>
    </row>
    <row r="440" spans="2:2" x14ac:dyDescent="0.2">
      <c r="B440" s="49" t="s">
        <v>505</v>
      </c>
    </row>
    <row r="441" spans="2:2" x14ac:dyDescent="0.2">
      <c r="B441" s="49" t="s">
        <v>592</v>
      </c>
    </row>
    <row r="443" spans="2:2" x14ac:dyDescent="0.2">
      <c r="B443" s="49" t="s">
        <v>548</v>
      </c>
    </row>
    <row r="444" spans="2:2" x14ac:dyDescent="0.2">
      <c r="B444" s="49" t="s">
        <v>593</v>
      </c>
    </row>
    <row r="445" spans="2:2" x14ac:dyDescent="0.2">
      <c r="B445" s="49" t="s">
        <v>594</v>
      </c>
    </row>
    <row r="446" spans="2:2" x14ac:dyDescent="0.2">
      <c r="B446" s="49" t="s">
        <v>595</v>
      </c>
    </row>
    <row r="447" spans="2:2" x14ac:dyDescent="0.2">
      <c r="B447" s="48" t="s">
        <v>456</v>
      </c>
    </row>
    <row r="448" spans="2:2" x14ac:dyDescent="0.2">
      <c r="B448" s="48" t="s">
        <v>450</v>
      </c>
    </row>
    <row r="449" spans="2:2" x14ac:dyDescent="0.2">
      <c r="B449" s="49" t="s">
        <v>596</v>
      </c>
    </row>
    <row r="451" spans="2:2" x14ac:dyDescent="0.2">
      <c r="B451" s="49" t="s">
        <v>597</v>
      </c>
    </row>
    <row r="452" spans="2:2" x14ac:dyDescent="0.2">
      <c r="B452" s="49" t="s">
        <v>598</v>
      </c>
    </row>
    <row r="453" spans="2:2" x14ac:dyDescent="0.2">
      <c r="B453" s="49" t="s">
        <v>599</v>
      </c>
    </row>
    <row r="454" spans="2:2" x14ac:dyDescent="0.2">
      <c r="B454" s="49" t="s">
        <v>600</v>
      </c>
    </row>
    <row r="455" spans="2:2" x14ac:dyDescent="0.2">
      <c r="B455" s="49" t="s">
        <v>601</v>
      </c>
    </row>
    <row r="456" spans="2:2" x14ac:dyDescent="0.2">
      <c r="B456" s="49" t="s">
        <v>602</v>
      </c>
    </row>
    <row r="457" spans="2:2" x14ac:dyDescent="0.2">
      <c r="B457" s="49" t="s">
        <v>603</v>
      </c>
    </row>
    <row r="458" spans="2:2" x14ac:dyDescent="0.2">
      <c r="B458" s="49" t="s">
        <v>604</v>
      </c>
    </row>
    <row r="459" spans="2:2" x14ac:dyDescent="0.2">
      <c r="B459" s="49" t="s">
        <v>605</v>
      </c>
    </row>
    <row r="460" spans="2:2" x14ac:dyDescent="0.2">
      <c r="B460" s="49" t="s">
        <v>606</v>
      </c>
    </row>
    <row r="461" spans="2:2" x14ac:dyDescent="0.2">
      <c r="B461" s="49" t="s">
        <v>607</v>
      </c>
    </row>
    <row r="462" spans="2:2" x14ac:dyDescent="0.2">
      <c r="B462" s="49" t="s">
        <v>608</v>
      </c>
    </row>
    <row r="463" spans="2:2" x14ac:dyDescent="0.2">
      <c r="B463" s="49" t="s">
        <v>609</v>
      </c>
    </row>
    <row r="464" spans="2:2" x14ac:dyDescent="0.2">
      <c r="B464" s="49" t="s">
        <v>610</v>
      </c>
    </row>
    <row r="465" spans="2:2" x14ac:dyDescent="0.2">
      <c r="B465" s="49" t="s">
        <v>611</v>
      </c>
    </row>
    <row r="466" spans="2:2" x14ac:dyDescent="0.2">
      <c r="B466" s="49" t="s">
        <v>612</v>
      </c>
    </row>
    <row r="467" spans="2:2" x14ac:dyDescent="0.2">
      <c r="B467" s="49" t="s">
        <v>613</v>
      </c>
    </row>
    <row r="468" spans="2:2" x14ac:dyDescent="0.2">
      <c r="B468" s="48" t="s">
        <v>450</v>
      </c>
    </row>
    <row r="469" spans="2:2" x14ac:dyDescent="0.2">
      <c r="B469" s="49" t="s">
        <v>614</v>
      </c>
    </row>
    <row r="470" spans="2:2" x14ac:dyDescent="0.2">
      <c r="B470" s="49" t="s">
        <v>615</v>
      </c>
    </row>
    <row r="471" spans="2:2" x14ac:dyDescent="0.2">
      <c r="B471" s="49" t="s">
        <v>616</v>
      </c>
    </row>
    <row r="472" spans="2:2" x14ac:dyDescent="0.2">
      <c r="B472" s="49" t="s">
        <v>617</v>
      </c>
    </row>
    <row r="473" spans="2:2" x14ac:dyDescent="0.2">
      <c r="B473" s="49" t="s">
        <v>618</v>
      </c>
    </row>
    <row r="474" spans="2:2" x14ac:dyDescent="0.2">
      <c r="B474" s="48" t="s">
        <v>456</v>
      </c>
    </row>
    <row r="475" spans="2:2" x14ac:dyDescent="0.2">
      <c r="B475" s="48" t="s">
        <v>450</v>
      </c>
    </row>
    <row r="476" spans="2:2" x14ac:dyDescent="0.2">
      <c r="B476" s="49" t="s">
        <v>619</v>
      </c>
    </row>
    <row r="477" spans="2:2" x14ac:dyDescent="0.2">
      <c r="B477" s="49" t="s">
        <v>620</v>
      </c>
    </row>
    <row r="478" spans="2:2" x14ac:dyDescent="0.2">
      <c r="B478" s="49" t="s">
        <v>621</v>
      </c>
    </row>
    <row r="479" spans="2:2" x14ac:dyDescent="0.2">
      <c r="B479" s="49" t="s">
        <v>606</v>
      </c>
    </row>
    <row r="480" spans="2:2" x14ac:dyDescent="0.2">
      <c r="B480" s="49" t="s">
        <v>622</v>
      </c>
    </row>
    <row r="481" spans="2:2" x14ac:dyDescent="0.2">
      <c r="B481" s="49" t="s">
        <v>623</v>
      </c>
    </row>
    <row r="482" spans="2:2" x14ac:dyDescent="0.2">
      <c r="B482" s="49" t="s">
        <v>624</v>
      </c>
    </row>
    <row r="483" spans="2:2" x14ac:dyDescent="0.2">
      <c r="B483" s="48" t="s">
        <v>450</v>
      </c>
    </row>
    <row r="484" spans="2:2" x14ac:dyDescent="0.2">
      <c r="B484" s="49" t="s">
        <v>625</v>
      </c>
    </row>
    <row r="485" spans="2:2" x14ac:dyDescent="0.2">
      <c r="B485" s="49" t="s">
        <v>621</v>
      </c>
    </row>
    <row r="486" spans="2:2" x14ac:dyDescent="0.2">
      <c r="B486" s="49" t="s">
        <v>606</v>
      </c>
    </row>
    <row r="487" spans="2:2" x14ac:dyDescent="0.2">
      <c r="B487" s="49" t="s">
        <v>626</v>
      </c>
    </row>
    <row r="488" spans="2:2" x14ac:dyDescent="0.2">
      <c r="B488" s="49" t="s">
        <v>623</v>
      </c>
    </row>
    <row r="489" spans="2:2" x14ac:dyDescent="0.2">
      <c r="B489" s="49" t="s">
        <v>624</v>
      </c>
    </row>
    <row r="490" spans="2:2" x14ac:dyDescent="0.2">
      <c r="B490" s="48" t="s">
        <v>450</v>
      </c>
    </row>
    <row r="491" spans="2:2" x14ac:dyDescent="0.2">
      <c r="B491" s="49" t="s">
        <v>627</v>
      </c>
    </row>
    <row r="492" spans="2:2" x14ac:dyDescent="0.2">
      <c r="B492" s="49" t="s">
        <v>628</v>
      </c>
    </row>
    <row r="493" spans="2:2" x14ac:dyDescent="0.2">
      <c r="B493" s="49" t="s">
        <v>629</v>
      </c>
    </row>
    <row r="494" spans="2:2" x14ac:dyDescent="0.2">
      <c r="B494" s="48" t="s">
        <v>450</v>
      </c>
    </row>
    <row r="495" spans="2:2" x14ac:dyDescent="0.2">
      <c r="B495" s="49" t="s">
        <v>630</v>
      </c>
    </row>
    <row r="496" spans="2:2" x14ac:dyDescent="0.2">
      <c r="B496" s="49" t="s">
        <v>629</v>
      </c>
    </row>
    <row r="497" spans="2:2" x14ac:dyDescent="0.2">
      <c r="B497" s="48" t="s">
        <v>450</v>
      </c>
    </row>
    <row r="498" spans="2:2" x14ac:dyDescent="0.2">
      <c r="B498" s="49" t="s">
        <v>631</v>
      </c>
    </row>
    <row r="499" spans="2:2" x14ac:dyDescent="0.2">
      <c r="B499" s="49" t="s">
        <v>629</v>
      </c>
    </row>
    <row r="500" spans="2:2" x14ac:dyDescent="0.2">
      <c r="B500" s="48" t="s">
        <v>450</v>
      </c>
    </row>
    <row r="501" spans="2:2" x14ac:dyDescent="0.2">
      <c r="B501" s="49" t="s">
        <v>632</v>
      </c>
    </row>
    <row r="502" spans="2:2" x14ac:dyDescent="0.2">
      <c r="B502" s="49" t="s">
        <v>629</v>
      </c>
    </row>
    <row r="503" spans="2:2" x14ac:dyDescent="0.2">
      <c r="B503" s="48" t="s">
        <v>456</v>
      </c>
    </row>
    <row r="504" spans="2:2" x14ac:dyDescent="0.2">
      <c r="B504" s="48" t="s">
        <v>450</v>
      </c>
    </row>
    <row r="505" spans="2:2" x14ac:dyDescent="0.2">
      <c r="B505" s="49" t="s">
        <v>633</v>
      </c>
    </row>
    <row r="506" spans="2:2" x14ac:dyDescent="0.2">
      <c r="B506" s="49" t="s">
        <v>634</v>
      </c>
    </row>
    <row r="507" spans="2:2" x14ac:dyDescent="0.2">
      <c r="B507" s="49" t="s">
        <v>635</v>
      </c>
    </row>
    <row r="508" spans="2:2" x14ac:dyDescent="0.2">
      <c r="B508" s="48" t="s">
        <v>450</v>
      </c>
    </row>
    <row r="510" spans="2:2" x14ac:dyDescent="0.2">
      <c r="B510" s="49" t="s">
        <v>636</v>
      </c>
    </row>
    <row r="511" spans="2:2" x14ac:dyDescent="0.2">
      <c r="B511" s="49" t="s">
        <v>637</v>
      </c>
    </row>
    <row r="512" spans="2:2" x14ac:dyDescent="0.2">
      <c r="B512" s="49" t="s">
        <v>638</v>
      </c>
    </row>
    <row r="513" spans="2:2" x14ac:dyDescent="0.2">
      <c r="B513" s="49" t="s">
        <v>639</v>
      </c>
    </row>
    <row r="514" spans="2:2" x14ac:dyDescent="0.2">
      <c r="B514" s="49" t="s">
        <v>640</v>
      </c>
    </row>
    <row r="515" spans="2:2" x14ac:dyDescent="0.2">
      <c r="B515" s="49" t="s">
        <v>641</v>
      </c>
    </row>
    <row r="516" spans="2:2" x14ac:dyDescent="0.2">
      <c r="B516" s="49" t="s">
        <v>642</v>
      </c>
    </row>
    <row r="517" spans="2:2" x14ac:dyDescent="0.2">
      <c r="B517" s="49" t="s">
        <v>643</v>
      </c>
    </row>
    <row r="518" spans="2:2" x14ac:dyDescent="0.2">
      <c r="B518" s="49" t="s">
        <v>644</v>
      </c>
    </row>
    <row r="520" spans="2:2" x14ac:dyDescent="0.2">
      <c r="B520" s="49" t="s">
        <v>645</v>
      </c>
    </row>
    <row r="521" spans="2:2" x14ac:dyDescent="0.2">
      <c r="B521" s="49" t="s">
        <v>646</v>
      </c>
    </row>
    <row r="522" spans="2:2" x14ac:dyDescent="0.2">
      <c r="B522" s="49" t="s">
        <v>647</v>
      </c>
    </row>
    <row r="523" spans="2:2" x14ac:dyDescent="0.2">
      <c r="B523" s="49" t="s">
        <v>648</v>
      </c>
    </row>
    <row r="524" spans="2:2" x14ac:dyDescent="0.2">
      <c r="B524" s="49" t="s">
        <v>649</v>
      </c>
    </row>
    <row r="525" spans="2:2" x14ac:dyDescent="0.2">
      <c r="B525" s="49" t="s">
        <v>650</v>
      </c>
    </row>
    <row r="526" spans="2:2" x14ac:dyDescent="0.2">
      <c r="B526" s="49" t="s">
        <v>651</v>
      </c>
    </row>
    <row r="527" spans="2:2" x14ac:dyDescent="0.2">
      <c r="B527" s="48" t="s">
        <v>450</v>
      </c>
    </row>
    <row r="528" spans="2:2" x14ac:dyDescent="0.2">
      <c r="B528" s="49" t="s">
        <v>652</v>
      </c>
    </row>
    <row r="529" spans="2:2" x14ac:dyDescent="0.2">
      <c r="B529" s="49" t="s">
        <v>653</v>
      </c>
    </row>
    <row r="530" spans="2:2" x14ac:dyDescent="0.2">
      <c r="B530" s="49" t="s">
        <v>654</v>
      </c>
    </row>
    <row r="531" spans="2:2" x14ac:dyDescent="0.2">
      <c r="B531" s="49" t="s">
        <v>655</v>
      </c>
    </row>
    <row r="532" spans="2:2" x14ac:dyDescent="0.2">
      <c r="B532" s="49" t="s">
        <v>656</v>
      </c>
    </row>
    <row r="533" spans="2:2" x14ac:dyDescent="0.2">
      <c r="B533" s="48" t="s">
        <v>657</v>
      </c>
    </row>
    <row r="534" spans="2:2" x14ac:dyDescent="0.2">
      <c r="B534" s="49" t="s">
        <v>658</v>
      </c>
    </row>
    <row r="535" spans="2:2" x14ac:dyDescent="0.2">
      <c r="B535" s="49" t="s">
        <v>443</v>
      </c>
    </row>
    <row r="536" spans="2:2" x14ac:dyDescent="0.2">
      <c r="B536" s="49" t="s">
        <v>659</v>
      </c>
    </row>
    <row r="537" spans="2:2" x14ac:dyDescent="0.2">
      <c r="B537" s="49" t="s">
        <v>660</v>
      </c>
    </row>
    <row r="538" spans="2:2" x14ac:dyDescent="0.2">
      <c r="B538" s="49" t="s">
        <v>661</v>
      </c>
    </row>
    <row r="539" spans="2:2" x14ac:dyDescent="0.2">
      <c r="B539" s="49" t="s">
        <v>662</v>
      </c>
    </row>
    <row r="540" spans="2:2" x14ac:dyDescent="0.2">
      <c r="B540" s="49" t="s">
        <v>663</v>
      </c>
    </row>
    <row r="541" spans="2:2" x14ac:dyDescent="0.2">
      <c r="B541" s="49" t="s">
        <v>664</v>
      </c>
    </row>
    <row r="542" spans="2:2" x14ac:dyDescent="0.2">
      <c r="B542" s="48" t="s">
        <v>450</v>
      </c>
    </row>
    <row r="543" spans="2:2" x14ac:dyDescent="0.2">
      <c r="B543" s="49" t="s">
        <v>665</v>
      </c>
    </row>
    <row r="544" spans="2:2" x14ac:dyDescent="0.2">
      <c r="B544" s="49" t="s">
        <v>443</v>
      </c>
    </row>
    <row r="545" spans="2:2" x14ac:dyDescent="0.2">
      <c r="B545" s="49" t="s">
        <v>666</v>
      </c>
    </row>
    <row r="546" spans="2:2" x14ac:dyDescent="0.2">
      <c r="B546" s="49" t="s">
        <v>660</v>
      </c>
    </row>
    <row r="547" spans="2:2" x14ac:dyDescent="0.2">
      <c r="B547" s="49" t="s">
        <v>667</v>
      </c>
    </row>
    <row r="548" spans="2:2" x14ac:dyDescent="0.2">
      <c r="B548" s="49" t="s">
        <v>668</v>
      </c>
    </row>
    <row r="549" spans="2:2" x14ac:dyDescent="0.2">
      <c r="B549" s="49" t="s">
        <v>669</v>
      </c>
    </row>
    <row r="550" spans="2:2" x14ac:dyDescent="0.2">
      <c r="B550" s="49" t="s">
        <v>670</v>
      </c>
    </row>
    <row r="551" spans="2:2" x14ac:dyDescent="0.2">
      <c r="B551" s="48" t="s">
        <v>450</v>
      </c>
    </row>
    <row r="553" spans="2:2" x14ac:dyDescent="0.2">
      <c r="B553" s="49" t="s">
        <v>671</v>
      </c>
    </row>
    <row r="554" spans="2:2" x14ac:dyDescent="0.2">
      <c r="B554" s="49" t="s">
        <v>672</v>
      </c>
    </row>
    <row r="555" spans="2:2" x14ac:dyDescent="0.2">
      <c r="B555" s="49" t="s">
        <v>673</v>
      </c>
    </row>
    <row r="556" spans="2:2" x14ac:dyDescent="0.2">
      <c r="B556" s="49" t="s">
        <v>674</v>
      </c>
    </row>
    <row r="557" spans="2:2" x14ac:dyDescent="0.2">
      <c r="B557" s="49" t="s">
        <v>675</v>
      </c>
    </row>
    <row r="558" spans="2:2" x14ac:dyDescent="0.2">
      <c r="B558" s="49" t="s">
        <v>676</v>
      </c>
    </row>
    <row r="559" spans="2:2" x14ac:dyDescent="0.2">
      <c r="B559" s="49" t="s">
        <v>677</v>
      </c>
    </row>
    <row r="560" spans="2:2" x14ac:dyDescent="0.2">
      <c r="B560" s="49" t="s">
        <v>678</v>
      </c>
    </row>
    <row r="561" spans="2:2" x14ac:dyDescent="0.2">
      <c r="B561" s="49" t="s">
        <v>679</v>
      </c>
    </row>
    <row r="562" spans="2:2" x14ac:dyDescent="0.2">
      <c r="B562" s="49" t="s">
        <v>680</v>
      </c>
    </row>
    <row r="564" spans="2:2" x14ac:dyDescent="0.2">
      <c r="B564" s="49" t="s">
        <v>681</v>
      </c>
    </row>
    <row r="565" spans="2:2" x14ac:dyDescent="0.2">
      <c r="B565" s="49" t="s">
        <v>682</v>
      </c>
    </row>
    <row r="566" spans="2:2" x14ac:dyDescent="0.2">
      <c r="B566" s="49" t="s">
        <v>683</v>
      </c>
    </row>
    <row r="567" spans="2:2" x14ac:dyDescent="0.2">
      <c r="B567" s="49" t="s">
        <v>684</v>
      </c>
    </row>
    <row r="568" spans="2:2" x14ac:dyDescent="0.2">
      <c r="B568" s="49" t="s">
        <v>685</v>
      </c>
    </row>
    <row r="569" spans="2:2" x14ac:dyDescent="0.2">
      <c r="B569" s="49" t="s">
        <v>686</v>
      </c>
    </row>
    <row r="570" spans="2:2" x14ac:dyDescent="0.2">
      <c r="B570" s="48" t="s">
        <v>456</v>
      </c>
    </row>
    <row r="571" spans="2:2" x14ac:dyDescent="0.2">
      <c r="B571" s="48" t="s">
        <v>450</v>
      </c>
    </row>
    <row r="572" spans="2:2" x14ac:dyDescent="0.2">
      <c r="B572" s="49" t="s">
        <v>687</v>
      </c>
    </row>
    <row r="573" spans="2:2" x14ac:dyDescent="0.2">
      <c r="B573" s="49" t="s">
        <v>688</v>
      </c>
    </row>
    <row r="574" spans="2:2" x14ac:dyDescent="0.2">
      <c r="B574" s="49" t="s">
        <v>443</v>
      </c>
    </row>
    <row r="575" spans="2:2" x14ac:dyDescent="0.2">
      <c r="B575" s="49" t="s">
        <v>689</v>
      </c>
    </row>
    <row r="576" spans="2:2" x14ac:dyDescent="0.2">
      <c r="B576" s="48" t="s">
        <v>450</v>
      </c>
    </row>
    <row r="577" spans="2:2" x14ac:dyDescent="0.2">
      <c r="B577" s="49" t="s">
        <v>690</v>
      </c>
    </row>
    <row r="578" spans="2:2" x14ac:dyDescent="0.2">
      <c r="B578" s="49" t="s">
        <v>443</v>
      </c>
    </row>
    <row r="579" spans="2:2" x14ac:dyDescent="0.2">
      <c r="B579" s="49" t="s">
        <v>691</v>
      </c>
    </row>
    <row r="580" spans="2:2" x14ac:dyDescent="0.2">
      <c r="B580" s="48" t="s">
        <v>450</v>
      </c>
    </row>
    <row r="581" spans="2:2" x14ac:dyDescent="0.2">
      <c r="B581" s="49" t="s">
        <v>692</v>
      </c>
    </row>
    <row r="582" spans="2:2" x14ac:dyDescent="0.2">
      <c r="B582" s="49" t="s">
        <v>443</v>
      </c>
    </row>
    <row r="583" spans="2:2" x14ac:dyDescent="0.2">
      <c r="B583" s="49" t="s">
        <v>693</v>
      </c>
    </row>
    <row r="585" spans="2:2" x14ac:dyDescent="0.2">
      <c r="B585" s="49" t="s">
        <v>694</v>
      </c>
    </row>
    <row r="586" spans="2:2" x14ac:dyDescent="0.2">
      <c r="B586" s="48" t="s">
        <v>695</v>
      </c>
    </row>
    <row r="587" spans="2:2" x14ac:dyDescent="0.2">
      <c r="B587" s="48" t="s">
        <v>696</v>
      </c>
    </row>
    <row r="588" spans="2:2" x14ac:dyDescent="0.2">
      <c r="B588" s="48" t="s">
        <v>697</v>
      </c>
    </row>
    <row r="589" spans="2:2" x14ac:dyDescent="0.2">
      <c r="B589" s="48" t="s">
        <v>698</v>
      </c>
    </row>
    <row r="590" spans="2:2" x14ac:dyDescent="0.2">
      <c r="B590" s="48" t="s">
        <v>510</v>
      </c>
    </row>
    <row r="592" spans="2:2" x14ac:dyDescent="0.2">
      <c r="B592" s="49" t="s">
        <v>699</v>
      </c>
    </row>
    <row r="593" spans="2:2" x14ac:dyDescent="0.2">
      <c r="B593" s="49" t="s">
        <v>700</v>
      </c>
    </row>
    <row r="594" spans="2:2" x14ac:dyDescent="0.2">
      <c r="B594" s="49" t="s">
        <v>701</v>
      </c>
    </row>
    <row r="595" spans="2:2" x14ac:dyDescent="0.2">
      <c r="B595" s="48" t="s">
        <v>450</v>
      </c>
    </row>
    <row r="596" spans="2:2" x14ac:dyDescent="0.2">
      <c r="B596" s="49" t="s">
        <v>702</v>
      </c>
    </row>
    <row r="597" spans="2:2" x14ac:dyDescent="0.2">
      <c r="B597" s="49" t="s">
        <v>443</v>
      </c>
    </row>
    <row r="598" spans="2:2" x14ac:dyDescent="0.2">
      <c r="B598" s="49" t="s">
        <v>693</v>
      </c>
    </row>
    <row r="600" spans="2:2" x14ac:dyDescent="0.2">
      <c r="B600" s="49" t="s">
        <v>703</v>
      </c>
    </row>
    <row r="601" spans="2:2" x14ac:dyDescent="0.2">
      <c r="B601" s="49" t="s">
        <v>704</v>
      </c>
    </row>
    <row r="602" spans="2:2" x14ac:dyDescent="0.2">
      <c r="B602" s="49" t="s">
        <v>705</v>
      </c>
    </row>
    <row r="603" spans="2:2" x14ac:dyDescent="0.2">
      <c r="B603" s="49" t="s">
        <v>706</v>
      </c>
    </row>
    <row r="604" spans="2:2" x14ac:dyDescent="0.2">
      <c r="B604" s="49" t="s">
        <v>707</v>
      </c>
    </row>
    <row r="605" spans="2:2" x14ac:dyDescent="0.2">
      <c r="B605" s="49" t="s">
        <v>700</v>
      </c>
    </row>
    <row r="606" spans="2:2" x14ac:dyDescent="0.2">
      <c r="B606" s="49" t="s">
        <v>708</v>
      </c>
    </row>
    <row r="607" spans="2:2" x14ac:dyDescent="0.2">
      <c r="B607" s="48" t="s">
        <v>450</v>
      </c>
    </row>
    <row r="608" spans="2:2" x14ac:dyDescent="0.2">
      <c r="B608" s="49" t="s">
        <v>709</v>
      </c>
    </row>
    <row r="609" spans="2:2" x14ac:dyDescent="0.2">
      <c r="B609" s="49" t="s">
        <v>443</v>
      </c>
    </row>
    <row r="610" spans="2:2" x14ac:dyDescent="0.2">
      <c r="B610" s="49" t="s">
        <v>710</v>
      </c>
    </row>
    <row r="611" spans="2:2" x14ac:dyDescent="0.2">
      <c r="B611" s="49" t="s">
        <v>711</v>
      </c>
    </row>
    <row r="612" spans="2:2" x14ac:dyDescent="0.2">
      <c r="B612" s="49" t="s">
        <v>712</v>
      </c>
    </row>
    <row r="613" spans="2:2" x14ac:dyDescent="0.2">
      <c r="B613" s="49" t="s">
        <v>713</v>
      </c>
    </row>
    <row r="615" spans="2:2" x14ac:dyDescent="0.2">
      <c r="B615" s="49" t="s">
        <v>714</v>
      </c>
    </row>
    <row r="616" spans="2:2" x14ac:dyDescent="0.2">
      <c r="B616" s="49" t="s">
        <v>715</v>
      </c>
    </row>
    <row r="617" spans="2:2" x14ac:dyDescent="0.2">
      <c r="B617" s="49" t="s">
        <v>716</v>
      </c>
    </row>
    <row r="619" spans="2:2" x14ac:dyDescent="0.2">
      <c r="B619" s="49" t="s">
        <v>700</v>
      </c>
    </row>
    <row r="620" spans="2:2" x14ac:dyDescent="0.2">
      <c r="B620" s="49" t="s">
        <v>717</v>
      </c>
    </row>
    <row r="622" spans="2:2" x14ac:dyDescent="0.2">
      <c r="B622" s="49" t="s">
        <v>718</v>
      </c>
    </row>
    <row r="623" spans="2:2" x14ac:dyDescent="0.2">
      <c r="B623" s="49" t="s">
        <v>719</v>
      </c>
    </row>
    <row r="624" spans="2:2" x14ac:dyDescent="0.2">
      <c r="B624" s="49" t="s">
        <v>720</v>
      </c>
    </row>
    <row r="625" spans="2:2" x14ac:dyDescent="0.2">
      <c r="B625" s="49" t="s">
        <v>721</v>
      </c>
    </row>
    <row r="626" spans="2:2" x14ac:dyDescent="0.2">
      <c r="B626" s="49" t="s">
        <v>722</v>
      </c>
    </row>
    <row r="627" spans="2:2" x14ac:dyDescent="0.2">
      <c r="B627" s="49" t="s">
        <v>723</v>
      </c>
    </row>
    <row r="628" spans="2:2" x14ac:dyDescent="0.2">
      <c r="B628" s="49" t="s">
        <v>724</v>
      </c>
    </row>
    <row r="629" spans="2:2" x14ac:dyDescent="0.2">
      <c r="B629" s="49" t="s">
        <v>725</v>
      </c>
    </row>
    <row r="630" spans="2:2" x14ac:dyDescent="0.2">
      <c r="B630" s="48" t="s">
        <v>450</v>
      </c>
    </row>
    <row r="631" spans="2:2" x14ac:dyDescent="0.2">
      <c r="B631" s="49" t="s">
        <v>726</v>
      </c>
    </row>
    <row r="632" spans="2:2" x14ac:dyDescent="0.2">
      <c r="B632" s="49" t="s">
        <v>727</v>
      </c>
    </row>
    <row r="633" spans="2:2" x14ac:dyDescent="0.2">
      <c r="B633" s="49" t="s">
        <v>728</v>
      </c>
    </row>
    <row r="634" spans="2:2" x14ac:dyDescent="0.2">
      <c r="B634" s="49" t="s">
        <v>729</v>
      </c>
    </row>
    <row r="635" spans="2:2" x14ac:dyDescent="0.2">
      <c r="B635" s="49" t="s">
        <v>730</v>
      </c>
    </row>
    <row r="636" spans="2:2" x14ac:dyDescent="0.2">
      <c r="B636" s="48" t="s">
        <v>450</v>
      </c>
    </row>
    <row r="637" spans="2:2" x14ac:dyDescent="0.2">
      <c r="B637" s="49" t="s">
        <v>731</v>
      </c>
    </row>
    <row r="638" spans="2:2" x14ac:dyDescent="0.2">
      <c r="B638" s="49" t="s">
        <v>732</v>
      </c>
    </row>
    <row r="639" spans="2:2" x14ac:dyDescent="0.2">
      <c r="B639" s="49" t="s">
        <v>733</v>
      </c>
    </row>
    <row r="640" spans="2:2" x14ac:dyDescent="0.2">
      <c r="B640" s="49" t="s">
        <v>734</v>
      </c>
    </row>
    <row r="641" spans="2:2" x14ac:dyDescent="0.2">
      <c r="B641" s="48" t="s">
        <v>450</v>
      </c>
    </row>
    <row r="642" spans="2:2" x14ac:dyDescent="0.2">
      <c r="B642" s="49" t="s">
        <v>735</v>
      </c>
    </row>
    <row r="643" spans="2:2" x14ac:dyDescent="0.2">
      <c r="B643" s="49" t="s">
        <v>736</v>
      </c>
    </row>
    <row r="644" spans="2:2" x14ac:dyDescent="0.2">
      <c r="B644" s="49" t="s">
        <v>734</v>
      </c>
    </row>
    <row r="645" spans="2:2" x14ac:dyDescent="0.2">
      <c r="B645" s="48" t="s">
        <v>456</v>
      </c>
    </row>
    <row r="646" spans="2:2" x14ac:dyDescent="0.2">
      <c r="B646" s="48" t="s">
        <v>450</v>
      </c>
    </row>
    <row r="647" spans="2:2" x14ac:dyDescent="0.2">
      <c r="B647" s="49" t="s">
        <v>737</v>
      </c>
    </row>
    <row r="648" spans="2:2" x14ac:dyDescent="0.2">
      <c r="B648" s="49" t="s">
        <v>738</v>
      </c>
    </row>
    <row r="649" spans="2:2" x14ac:dyDescent="0.2">
      <c r="B649" s="49" t="s">
        <v>739</v>
      </c>
    </row>
    <row r="650" spans="2:2" x14ac:dyDescent="0.2">
      <c r="B650" s="49" t="s">
        <v>740</v>
      </c>
    </row>
    <row r="651" spans="2:2" x14ac:dyDescent="0.2">
      <c r="B651" s="49" t="s">
        <v>741</v>
      </c>
    </row>
    <row r="652" spans="2:2" x14ac:dyDescent="0.2">
      <c r="B652" s="48" t="s">
        <v>456</v>
      </c>
    </row>
    <row r="653" spans="2:2" x14ac:dyDescent="0.2">
      <c r="B653" s="48" t="s">
        <v>450</v>
      </c>
    </row>
    <row r="654" spans="2:2" x14ac:dyDescent="0.2">
      <c r="B654" s="49" t="s">
        <v>742</v>
      </c>
    </row>
    <row r="655" spans="2:2" x14ac:dyDescent="0.2">
      <c r="B655" s="49" t="s">
        <v>443</v>
      </c>
    </row>
    <row r="656" spans="2:2" x14ac:dyDescent="0.2">
      <c r="B656" s="49" t="s">
        <v>743</v>
      </c>
    </row>
    <row r="657" spans="2:2" x14ac:dyDescent="0.2">
      <c r="B657" s="49" t="s">
        <v>744</v>
      </c>
    </row>
    <row r="659" spans="2:2" x14ac:dyDescent="0.2">
      <c r="B659" s="49" t="s">
        <v>745</v>
      </c>
    </row>
    <row r="660" spans="2:2" x14ac:dyDescent="0.2">
      <c r="B660" s="49" t="s">
        <v>746</v>
      </c>
    </row>
    <row r="661" spans="2:2" x14ac:dyDescent="0.2">
      <c r="B661" s="49" t="s">
        <v>747</v>
      </c>
    </row>
    <row r="662" spans="2:2" x14ac:dyDescent="0.2">
      <c r="B662" s="49" t="s">
        <v>748</v>
      </c>
    </row>
    <row r="663" spans="2:2" x14ac:dyDescent="0.2">
      <c r="B663" s="49" t="s">
        <v>749</v>
      </c>
    </row>
    <row r="664" spans="2:2" x14ac:dyDescent="0.2">
      <c r="B664" s="48" t="s">
        <v>450</v>
      </c>
    </row>
    <row r="666" spans="2:2" x14ac:dyDescent="0.2">
      <c r="B666" s="49" t="s">
        <v>718</v>
      </c>
    </row>
    <row r="667" spans="2:2" x14ac:dyDescent="0.2">
      <c r="B667" s="49" t="s">
        <v>750</v>
      </c>
    </row>
    <row r="668" spans="2:2" x14ac:dyDescent="0.2">
      <c r="B668" s="49" t="s">
        <v>700</v>
      </c>
    </row>
    <row r="669" spans="2:2" x14ac:dyDescent="0.2">
      <c r="B669" s="49" t="s">
        <v>751</v>
      </c>
    </row>
    <row r="671" spans="2:2" x14ac:dyDescent="0.2">
      <c r="B671" s="49" t="s">
        <v>737</v>
      </c>
    </row>
    <row r="672" spans="2:2" x14ac:dyDescent="0.2">
      <c r="B672" s="49" t="s">
        <v>726</v>
      </c>
    </row>
    <row r="673" spans="2:2" x14ac:dyDescent="0.2">
      <c r="B673" s="49" t="s">
        <v>752</v>
      </c>
    </row>
    <row r="674" spans="2:2" x14ac:dyDescent="0.2">
      <c r="B674" s="49" t="s">
        <v>753</v>
      </c>
    </row>
    <row r="675" spans="2:2" x14ac:dyDescent="0.2">
      <c r="B675" s="49" t="s">
        <v>754</v>
      </c>
    </row>
    <row r="676" spans="2:2" x14ac:dyDescent="0.2">
      <c r="B676" s="48" t="s">
        <v>450</v>
      </c>
    </row>
    <row r="677" spans="2:2" x14ac:dyDescent="0.2">
      <c r="B677" s="49" t="s">
        <v>755</v>
      </c>
    </row>
    <row r="678" spans="2:2" x14ac:dyDescent="0.2">
      <c r="B678" s="49" t="s">
        <v>669</v>
      </c>
    </row>
    <row r="680" spans="2:2" x14ac:dyDescent="0.2">
      <c r="B680" s="49" t="s">
        <v>756</v>
      </c>
    </row>
    <row r="681" spans="2:2" x14ac:dyDescent="0.2">
      <c r="B681" s="49" t="s">
        <v>757</v>
      </c>
    </row>
    <row r="682" spans="2:2" x14ac:dyDescent="0.2">
      <c r="B682" s="49" t="s">
        <v>758</v>
      </c>
    </row>
    <row r="683" spans="2:2" x14ac:dyDescent="0.2">
      <c r="B683" s="49" t="s">
        <v>759</v>
      </c>
    </row>
    <row r="684" spans="2:2" x14ac:dyDescent="0.2">
      <c r="B684" s="48" t="s">
        <v>456</v>
      </c>
    </row>
    <row r="685" spans="2:2" x14ac:dyDescent="0.2">
      <c r="B685" s="48" t="s">
        <v>450</v>
      </c>
    </row>
    <row r="686" spans="2:2" x14ac:dyDescent="0.2">
      <c r="B686" s="49" t="s">
        <v>760</v>
      </c>
    </row>
    <row r="687" spans="2:2" x14ac:dyDescent="0.2">
      <c r="B687" s="49" t="s">
        <v>443</v>
      </c>
    </row>
    <row r="688" spans="2:2" x14ac:dyDescent="0.2">
      <c r="B688" s="49" t="s">
        <v>761</v>
      </c>
    </row>
    <row r="689" spans="2:2" x14ac:dyDescent="0.2">
      <c r="B689" s="49" t="s">
        <v>745</v>
      </c>
    </row>
    <row r="690" spans="2:2" x14ac:dyDescent="0.2">
      <c r="B690" s="49" t="s">
        <v>747</v>
      </c>
    </row>
    <row r="691" spans="2:2" x14ac:dyDescent="0.2">
      <c r="B691" s="49" t="s">
        <v>762</v>
      </c>
    </row>
    <row r="692" spans="2:2" x14ac:dyDescent="0.2">
      <c r="B692" s="49" t="s">
        <v>763</v>
      </c>
    </row>
    <row r="693" spans="2:2" x14ac:dyDescent="0.2">
      <c r="B693" s="48" t="s">
        <v>450</v>
      </c>
    </row>
    <row r="695" spans="2:2" x14ac:dyDescent="0.2">
      <c r="B695" s="49" t="s">
        <v>700</v>
      </c>
    </row>
    <row r="696" spans="2:2" x14ac:dyDescent="0.2">
      <c r="B696" s="49" t="s">
        <v>764</v>
      </c>
    </row>
    <row r="698" spans="2:2" x14ac:dyDescent="0.2">
      <c r="B698" s="49" t="s">
        <v>718</v>
      </c>
    </row>
    <row r="699" spans="2:2" x14ac:dyDescent="0.2">
      <c r="B699" s="49" t="s">
        <v>765</v>
      </c>
    </row>
    <row r="700" spans="2:2" x14ac:dyDescent="0.2">
      <c r="B700" s="49" t="s">
        <v>737</v>
      </c>
    </row>
    <row r="701" spans="2:2" x14ac:dyDescent="0.2">
      <c r="B701" s="49" t="s">
        <v>766</v>
      </c>
    </row>
    <row r="702" spans="2:2" x14ac:dyDescent="0.2">
      <c r="B702" s="49" t="s">
        <v>767</v>
      </c>
    </row>
    <row r="703" spans="2:2" x14ac:dyDescent="0.2">
      <c r="B703" s="49" t="s">
        <v>768</v>
      </c>
    </row>
    <row r="704" spans="2:2" x14ac:dyDescent="0.2">
      <c r="B704" s="49" t="s">
        <v>755</v>
      </c>
    </row>
    <row r="705" spans="2:2" x14ac:dyDescent="0.2">
      <c r="B705" s="49" t="s">
        <v>769</v>
      </c>
    </row>
    <row r="706" spans="2:2" x14ac:dyDescent="0.2">
      <c r="B706" s="48" t="s">
        <v>456</v>
      </c>
    </row>
    <row r="707" spans="2:2" x14ac:dyDescent="0.2">
      <c r="B707" s="48" t="s">
        <v>450</v>
      </c>
    </row>
    <row r="708" spans="2:2" x14ac:dyDescent="0.2">
      <c r="B708" s="49" t="s">
        <v>770</v>
      </c>
    </row>
    <row r="709" spans="2:2" x14ac:dyDescent="0.2">
      <c r="B709" s="49" t="s">
        <v>443</v>
      </c>
    </row>
    <row r="710" spans="2:2" x14ac:dyDescent="0.2">
      <c r="B710" s="49" t="s">
        <v>761</v>
      </c>
    </row>
    <row r="711" spans="2:2" x14ac:dyDescent="0.2">
      <c r="B711" s="49" t="s">
        <v>771</v>
      </c>
    </row>
    <row r="712" spans="2:2" x14ac:dyDescent="0.2">
      <c r="B712" s="49" t="s">
        <v>718</v>
      </c>
    </row>
    <row r="713" spans="2:2" x14ac:dyDescent="0.2">
      <c r="B713" s="49" t="s">
        <v>772</v>
      </c>
    </row>
    <row r="714" spans="2:2" x14ac:dyDescent="0.2">
      <c r="B714" s="49" t="s">
        <v>773</v>
      </c>
    </row>
    <row r="715" spans="2:2" x14ac:dyDescent="0.2">
      <c r="B715" s="49" t="s">
        <v>774</v>
      </c>
    </row>
    <row r="717" spans="2:2" x14ac:dyDescent="0.2">
      <c r="B717" s="49" t="s">
        <v>700</v>
      </c>
    </row>
    <row r="718" spans="2:2" x14ac:dyDescent="0.2">
      <c r="B718" s="49" t="s">
        <v>775</v>
      </c>
    </row>
    <row r="719" spans="2:2" x14ac:dyDescent="0.2">
      <c r="B719" s="49" t="s">
        <v>737</v>
      </c>
    </row>
    <row r="720" spans="2:2" x14ac:dyDescent="0.2">
      <c r="B720" s="49" t="s">
        <v>776</v>
      </c>
    </row>
    <row r="721" spans="2:2" x14ac:dyDescent="0.2">
      <c r="B721" s="49" t="s">
        <v>777</v>
      </c>
    </row>
    <row r="722" spans="2:2" x14ac:dyDescent="0.2">
      <c r="B722" s="49" t="s">
        <v>669</v>
      </c>
    </row>
    <row r="723" spans="2:2" x14ac:dyDescent="0.2">
      <c r="B723" s="49" t="s">
        <v>738</v>
      </c>
    </row>
    <row r="724" spans="2:2" x14ac:dyDescent="0.2">
      <c r="B724" s="49" t="s">
        <v>739</v>
      </c>
    </row>
    <row r="725" spans="2:2" x14ac:dyDescent="0.2">
      <c r="B725" s="49" t="s">
        <v>778</v>
      </c>
    </row>
    <row r="726" spans="2:2" x14ac:dyDescent="0.2">
      <c r="B726" s="48" t="s">
        <v>456</v>
      </c>
    </row>
    <row r="727" spans="2:2" x14ac:dyDescent="0.2">
      <c r="B727" s="48" t="s">
        <v>456</v>
      </c>
    </row>
    <row r="728" spans="2:2" x14ac:dyDescent="0.2">
      <c r="B728" s="48" t="s">
        <v>450</v>
      </c>
    </row>
    <row r="729" spans="2:2" x14ac:dyDescent="0.2">
      <c r="B729" s="49" t="s">
        <v>779</v>
      </c>
    </row>
    <row r="730" spans="2:2" x14ac:dyDescent="0.2">
      <c r="B730" s="49" t="s">
        <v>780</v>
      </c>
    </row>
    <row r="731" spans="2:2" x14ac:dyDescent="0.2">
      <c r="B731" s="49" t="s">
        <v>781</v>
      </c>
    </row>
    <row r="732" spans="2:2" x14ac:dyDescent="0.2">
      <c r="B732" s="49" t="s">
        <v>782</v>
      </c>
    </row>
    <row r="733" spans="2:2" x14ac:dyDescent="0.2">
      <c r="B733" s="49" t="s">
        <v>783</v>
      </c>
    </row>
    <row r="734" spans="2:2" x14ac:dyDescent="0.2">
      <c r="B734" s="49" t="s">
        <v>784</v>
      </c>
    </row>
    <row r="735" spans="2:2" x14ac:dyDescent="0.2">
      <c r="B735" s="48" t="s">
        <v>450</v>
      </c>
    </row>
    <row r="736" spans="2:2" x14ac:dyDescent="0.2">
      <c r="B736" s="49" t="s">
        <v>785</v>
      </c>
    </row>
    <row r="737" spans="2:2" x14ac:dyDescent="0.2">
      <c r="B737" s="49" t="s">
        <v>782</v>
      </c>
    </row>
    <row r="738" spans="2:2" x14ac:dyDescent="0.2">
      <c r="B738" s="49" t="s">
        <v>786</v>
      </c>
    </row>
    <row r="739" spans="2:2" x14ac:dyDescent="0.2">
      <c r="B739" s="49" t="s">
        <v>787</v>
      </c>
    </row>
    <row r="740" spans="2:2" x14ac:dyDescent="0.2">
      <c r="B740" s="48" t="s">
        <v>456</v>
      </c>
    </row>
    <row r="741" spans="2:2" x14ac:dyDescent="0.2">
      <c r="B741" s="48" t="s">
        <v>450</v>
      </c>
    </row>
    <row r="742" spans="2:2" x14ac:dyDescent="0.2">
      <c r="B742" s="49" t="s">
        <v>788</v>
      </c>
    </row>
    <row r="743" spans="2:2" x14ac:dyDescent="0.2">
      <c r="B743" s="49" t="s">
        <v>789</v>
      </c>
    </row>
    <row r="744" spans="2:2" x14ac:dyDescent="0.2">
      <c r="B744" s="49" t="s">
        <v>782</v>
      </c>
    </row>
    <row r="745" spans="2:2" x14ac:dyDescent="0.2">
      <c r="B745" s="49" t="s">
        <v>790</v>
      </c>
    </row>
    <row r="746" spans="2:2" x14ac:dyDescent="0.2">
      <c r="B746" s="49" t="s">
        <v>791</v>
      </c>
    </row>
    <row r="747" spans="2:2" x14ac:dyDescent="0.2">
      <c r="B747" s="48" t="s">
        <v>450</v>
      </c>
    </row>
    <row r="748" spans="2:2" x14ac:dyDescent="0.2">
      <c r="B748" s="49" t="s">
        <v>792</v>
      </c>
    </row>
    <row r="749" spans="2:2" x14ac:dyDescent="0.2">
      <c r="B749" s="49" t="s">
        <v>782</v>
      </c>
    </row>
    <row r="750" spans="2:2" x14ac:dyDescent="0.2">
      <c r="B750" s="49" t="s">
        <v>793</v>
      </c>
    </row>
    <row r="751" spans="2:2" x14ac:dyDescent="0.2">
      <c r="B751" s="49" t="s">
        <v>794</v>
      </c>
    </row>
    <row r="752" spans="2:2" x14ac:dyDescent="0.2">
      <c r="B752" s="48" t="s">
        <v>456</v>
      </c>
    </row>
    <row r="753" spans="2:2" x14ac:dyDescent="0.2">
      <c r="B753" s="48" t="s">
        <v>450</v>
      </c>
    </row>
    <row r="754" spans="2:2" x14ac:dyDescent="0.2">
      <c r="B754" s="49" t="s">
        <v>795</v>
      </c>
    </row>
    <row r="755" spans="2:2" x14ac:dyDescent="0.2">
      <c r="B755" s="49" t="s">
        <v>796</v>
      </c>
    </row>
    <row r="756" spans="2:2" x14ac:dyDescent="0.2">
      <c r="B756" s="49" t="s">
        <v>797</v>
      </c>
    </row>
    <row r="757" spans="2:2" x14ac:dyDescent="0.2">
      <c r="B757" s="49" t="s">
        <v>794</v>
      </c>
    </row>
    <row r="758" spans="2:2" x14ac:dyDescent="0.2">
      <c r="B758" s="48" t="s">
        <v>450</v>
      </c>
    </row>
    <row r="759" spans="2:2" x14ac:dyDescent="0.2">
      <c r="B759" s="49" t="s">
        <v>798</v>
      </c>
    </row>
    <row r="760" spans="2:2" x14ac:dyDescent="0.2">
      <c r="B760" s="49" t="s">
        <v>791</v>
      </c>
    </row>
    <row r="761" spans="2:2" x14ac:dyDescent="0.2">
      <c r="B761" s="48" t="s">
        <v>456</v>
      </c>
    </row>
    <row r="762" spans="2:2" x14ac:dyDescent="0.2">
      <c r="B762" s="48" t="s">
        <v>450</v>
      </c>
    </row>
    <row r="763" spans="2:2" x14ac:dyDescent="0.2">
      <c r="B763" s="49" t="s">
        <v>799</v>
      </c>
    </row>
    <row r="764" spans="2:2" x14ac:dyDescent="0.2">
      <c r="B764" s="49" t="s">
        <v>800</v>
      </c>
    </row>
    <row r="765" spans="2:2" x14ac:dyDescent="0.2">
      <c r="B765" s="49" t="s">
        <v>801</v>
      </c>
    </row>
    <row r="766" spans="2:2" x14ac:dyDescent="0.2">
      <c r="B766" s="48" t="s">
        <v>450</v>
      </c>
    </row>
    <row r="767" spans="2:2" x14ac:dyDescent="0.2">
      <c r="B767" s="49" t="s">
        <v>802</v>
      </c>
    </row>
    <row r="768" spans="2:2" x14ac:dyDescent="0.2">
      <c r="B768" s="49" t="s">
        <v>803</v>
      </c>
    </row>
    <row r="769" spans="2:2" x14ac:dyDescent="0.2">
      <c r="B769" s="48" t="s">
        <v>456</v>
      </c>
    </row>
    <row r="770" spans="2:2" x14ac:dyDescent="0.2">
      <c r="B770" s="48" t="s">
        <v>450</v>
      </c>
    </row>
    <row r="771" spans="2:2" x14ac:dyDescent="0.2">
      <c r="B771" s="49" t="s">
        <v>804</v>
      </c>
    </row>
    <row r="772" spans="2:2" x14ac:dyDescent="0.2">
      <c r="B772" s="49" t="s">
        <v>805</v>
      </c>
    </row>
    <row r="773" spans="2:2" x14ac:dyDescent="0.2">
      <c r="B773" s="49" t="s">
        <v>806</v>
      </c>
    </row>
    <row r="774" spans="2:2" x14ac:dyDescent="0.2">
      <c r="B774" s="48" t="s">
        <v>450</v>
      </c>
    </row>
    <row r="775" spans="2:2" x14ac:dyDescent="0.2">
      <c r="B775" s="49" t="s">
        <v>807</v>
      </c>
    </row>
    <row r="776" spans="2:2" x14ac:dyDescent="0.2">
      <c r="B776" s="49" t="s">
        <v>808</v>
      </c>
    </row>
    <row r="777" spans="2:2" x14ac:dyDescent="0.2">
      <c r="B777" s="48" t="s">
        <v>456</v>
      </c>
    </row>
    <row r="778" spans="2:2" x14ac:dyDescent="0.2">
      <c r="B778" s="48" t="s">
        <v>456</v>
      </c>
    </row>
    <row r="779" spans="2:2" x14ac:dyDescent="0.2">
      <c r="B779" s="48" t="s">
        <v>450</v>
      </c>
    </row>
    <row r="780" spans="2:2" x14ac:dyDescent="0.2">
      <c r="B780" s="49" t="s">
        <v>809</v>
      </c>
    </row>
    <row r="781" spans="2:2" x14ac:dyDescent="0.2">
      <c r="B781" s="49" t="s">
        <v>810</v>
      </c>
    </row>
    <row r="782" spans="2:2" x14ac:dyDescent="0.2">
      <c r="B782" s="49" t="s">
        <v>811</v>
      </c>
    </row>
    <row r="783" spans="2:2" x14ac:dyDescent="0.2">
      <c r="B783" s="49" t="s">
        <v>812</v>
      </c>
    </row>
    <row r="784" spans="2:2" x14ac:dyDescent="0.2">
      <c r="B784" s="48" t="s">
        <v>456</v>
      </c>
    </row>
    <row r="785" spans="2:2" x14ac:dyDescent="0.2">
      <c r="B785" s="48" t="s">
        <v>456</v>
      </c>
    </row>
    <row r="786" spans="2:2" x14ac:dyDescent="0.2">
      <c r="B786" s="48" t="s">
        <v>450</v>
      </c>
    </row>
    <row r="787" spans="2:2" x14ac:dyDescent="0.2">
      <c r="B787" s="49" t="s">
        <v>813</v>
      </c>
    </row>
    <row r="788" spans="2:2" x14ac:dyDescent="0.2">
      <c r="B788" s="49" t="s">
        <v>814</v>
      </c>
    </row>
    <row r="789" spans="2:2" x14ac:dyDescent="0.2">
      <c r="B789" s="49" t="s">
        <v>815</v>
      </c>
    </row>
    <row r="790" spans="2:2" x14ac:dyDescent="0.2">
      <c r="B790" s="49" t="s">
        <v>816</v>
      </c>
    </row>
    <row r="791" spans="2:2" x14ac:dyDescent="0.2">
      <c r="B791" s="48" t="s">
        <v>450</v>
      </c>
    </row>
    <row r="792" spans="2:2" x14ac:dyDescent="0.2">
      <c r="B792" s="49" t="s">
        <v>817</v>
      </c>
    </row>
    <row r="793" spans="2:2" x14ac:dyDescent="0.2">
      <c r="B793" s="49" t="s">
        <v>818</v>
      </c>
    </row>
    <row r="794" spans="2:2" x14ac:dyDescent="0.2">
      <c r="B794" s="49" t="s">
        <v>819</v>
      </c>
    </row>
    <row r="795" spans="2:2" x14ac:dyDescent="0.2">
      <c r="B795" s="49" t="s">
        <v>820</v>
      </c>
    </row>
    <row r="796" spans="2:2" x14ac:dyDescent="0.2">
      <c r="B796" s="48" t="s">
        <v>450</v>
      </c>
    </row>
    <row r="797" spans="2:2" x14ac:dyDescent="0.2">
      <c r="B797" s="49" t="s">
        <v>821</v>
      </c>
    </row>
    <row r="798" spans="2:2" x14ac:dyDescent="0.2">
      <c r="B798" s="49" t="s">
        <v>788</v>
      </c>
    </row>
    <row r="799" spans="2:2" x14ac:dyDescent="0.2">
      <c r="B799" s="49" t="s">
        <v>822</v>
      </c>
    </row>
    <row r="800" spans="2:2" x14ac:dyDescent="0.2">
      <c r="B800" s="49" t="s">
        <v>823</v>
      </c>
    </row>
    <row r="801" spans="2:2" x14ac:dyDescent="0.2">
      <c r="B801" s="49" t="s">
        <v>824</v>
      </c>
    </row>
    <row r="802" spans="2:2" x14ac:dyDescent="0.2">
      <c r="B802" s="50" t="s">
        <v>825</v>
      </c>
    </row>
    <row r="803" spans="2:2" x14ac:dyDescent="0.2">
      <c r="B803" s="50" t="s">
        <v>826</v>
      </c>
    </row>
    <row r="804" spans="2:2" x14ac:dyDescent="0.2">
      <c r="B804" s="50" t="s">
        <v>827</v>
      </c>
    </row>
    <row r="805" spans="2:2" x14ac:dyDescent="0.2">
      <c r="B805" s="50" t="s">
        <v>828</v>
      </c>
    </row>
    <row r="806" spans="2:2" x14ac:dyDescent="0.2">
      <c r="B806" s="48" t="s">
        <v>510</v>
      </c>
    </row>
    <row r="807" spans="2:2" x14ac:dyDescent="0.2">
      <c r="B807" s="49" t="s">
        <v>829</v>
      </c>
    </row>
    <row r="808" spans="2:2" x14ac:dyDescent="0.2">
      <c r="B808" s="48" t="s">
        <v>450</v>
      </c>
    </row>
    <row r="809" spans="2:2" x14ac:dyDescent="0.2">
      <c r="B809" s="49" t="s">
        <v>830</v>
      </c>
    </row>
    <row r="810" spans="2:2" x14ac:dyDescent="0.2">
      <c r="B810" s="49" t="s">
        <v>824</v>
      </c>
    </row>
    <row r="811" spans="2:2" x14ac:dyDescent="0.2">
      <c r="B811" s="50" t="s">
        <v>831</v>
      </c>
    </row>
    <row r="812" spans="2:2" x14ac:dyDescent="0.2">
      <c r="B812" s="50" t="s">
        <v>832</v>
      </c>
    </row>
    <row r="813" spans="2:2" x14ac:dyDescent="0.2">
      <c r="B813" s="50" t="s">
        <v>827</v>
      </c>
    </row>
    <row r="814" spans="2:2" x14ac:dyDescent="0.2">
      <c r="B814" s="50" t="s">
        <v>828</v>
      </c>
    </row>
    <row r="815" spans="2:2" x14ac:dyDescent="0.2">
      <c r="B815" s="48" t="s">
        <v>510</v>
      </c>
    </row>
    <row r="816" spans="2:2" x14ac:dyDescent="0.2">
      <c r="B816" s="49" t="s">
        <v>833</v>
      </c>
    </row>
    <row r="817" spans="2:2" x14ac:dyDescent="0.2">
      <c r="B817" s="48" t="s">
        <v>456</v>
      </c>
    </row>
    <row r="818" spans="2:2" x14ac:dyDescent="0.2">
      <c r="B818" s="48" t="s">
        <v>450</v>
      </c>
    </row>
    <row r="819" spans="2:2" x14ac:dyDescent="0.2">
      <c r="B819" s="49" t="s">
        <v>834</v>
      </c>
    </row>
    <row r="820" spans="2:2" x14ac:dyDescent="0.2">
      <c r="B820" s="49" t="s">
        <v>823</v>
      </c>
    </row>
    <row r="821" spans="2:2" x14ac:dyDescent="0.2">
      <c r="B821" s="49" t="s">
        <v>824</v>
      </c>
    </row>
    <row r="822" spans="2:2" x14ac:dyDescent="0.2">
      <c r="B822" s="50" t="s">
        <v>835</v>
      </c>
    </row>
    <row r="823" spans="2:2" x14ac:dyDescent="0.2">
      <c r="B823" s="50" t="s">
        <v>836</v>
      </c>
    </row>
    <row r="824" spans="2:2" x14ac:dyDescent="0.2">
      <c r="B824" s="50" t="s">
        <v>827</v>
      </c>
    </row>
    <row r="825" spans="2:2" x14ac:dyDescent="0.2">
      <c r="B825" s="50" t="s">
        <v>828</v>
      </c>
    </row>
    <row r="826" spans="2:2" x14ac:dyDescent="0.2">
      <c r="B826" s="48" t="s">
        <v>510</v>
      </c>
    </row>
    <row r="827" spans="2:2" x14ac:dyDescent="0.2">
      <c r="B827" s="49" t="s">
        <v>837</v>
      </c>
    </row>
    <row r="828" spans="2:2" x14ac:dyDescent="0.2">
      <c r="B828" s="48" t="s">
        <v>450</v>
      </c>
    </row>
    <row r="829" spans="2:2" x14ac:dyDescent="0.2">
      <c r="B829" s="49" t="s">
        <v>830</v>
      </c>
    </row>
    <row r="830" spans="2:2" x14ac:dyDescent="0.2">
      <c r="B830" s="49" t="s">
        <v>824</v>
      </c>
    </row>
    <row r="831" spans="2:2" x14ac:dyDescent="0.2">
      <c r="B831" s="50" t="s">
        <v>838</v>
      </c>
    </row>
    <row r="832" spans="2:2" x14ac:dyDescent="0.2">
      <c r="B832" s="50" t="s">
        <v>839</v>
      </c>
    </row>
    <row r="833" spans="2:2" x14ac:dyDescent="0.2">
      <c r="B833" s="50" t="s">
        <v>827</v>
      </c>
    </row>
    <row r="834" spans="2:2" x14ac:dyDescent="0.2">
      <c r="B834" s="50" t="s">
        <v>828</v>
      </c>
    </row>
    <row r="835" spans="2:2" x14ac:dyDescent="0.2">
      <c r="B835" s="48" t="s">
        <v>510</v>
      </c>
    </row>
    <row r="836" spans="2:2" x14ac:dyDescent="0.2">
      <c r="B836" s="49" t="s">
        <v>840</v>
      </c>
    </row>
    <row r="837" spans="2:2" x14ac:dyDescent="0.2">
      <c r="B837" s="48" t="s">
        <v>456</v>
      </c>
    </row>
    <row r="838" spans="2:2" x14ac:dyDescent="0.2">
      <c r="B838" s="48" t="s">
        <v>456</v>
      </c>
    </row>
    <row r="839" spans="2:2" x14ac:dyDescent="0.2">
      <c r="B839" s="48" t="s">
        <v>450</v>
      </c>
    </row>
    <row r="840" spans="2:2" x14ac:dyDescent="0.2">
      <c r="B840" s="49" t="s">
        <v>795</v>
      </c>
    </row>
    <row r="841" spans="2:2" x14ac:dyDescent="0.2">
      <c r="B841" s="49" t="s">
        <v>841</v>
      </c>
    </row>
    <row r="842" spans="2:2" x14ac:dyDescent="0.2">
      <c r="B842" s="49" t="s">
        <v>822</v>
      </c>
    </row>
    <row r="843" spans="2:2" x14ac:dyDescent="0.2">
      <c r="B843" s="49" t="s">
        <v>823</v>
      </c>
    </row>
    <row r="844" spans="2:2" x14ac:dyDescent="0.2">
      <c r="B844" s="49" t="s">
        <v>824</v>
      </c>
    </row>
    <row r="845" spans="2:2" x14ac:dyDescent="0.2">
      <c r="B845" s="50" t="s">
        <v>825</v>
      </c>
    </row>
    <row r="846" spans="2:2" x14ac:dyDescent="0.2">
      <c r="B846" s="50" t="s">
        <v>826</v>
      </c>
    </row>
    <row r="847" spans="2:2" x14ac:dyDescent="0.2">
      <c r="B847" s="50" t="s">
        <v>827</v>
      </c>
    </row>
    <row r="848" spans="2:2" x14ac:dyDescent="0.2">
      <c r="B848" s="50" t="s">
        <v>828</v>
      </c>
    </row>
    <row r="849" spans="2:2" x14ac:dyDescent="0.2">
      <c r="B849" s="48" t="s">
        <v>510</v>
      </c>
    </row>
    <row r="850" spans="2:2" x14ac:dyDescent="0.2">
      <c r="B850" s="49" t="s">
        <v>829</v>
      </c>
    </row>
    <row r="851" spans="2:2" x14ac:dyDescent="0.2">
      <c r="B851" s="48" t="s">
        <v>450</v>
      </c>
    </row>
    <row r="852" spans="2:2" x14ac:dyDescent="0.2">
      <c r="B852" s="49" t="s">
        <v>830</v>
      </c>
    </row>
    <row r="853" spans="2:2" x14ac:dyDescent="0.2">
      <c r="B853" s="49" t="s">
        <v>824</v>
      </c>
    </row>
    <row r="854" spans="2:2" x14ac:dyDescent="0.2">
      <c r="B854" s="50" t="s">
        <v>831</v>
      </c>
    </row>
    <row r="855" spans="2:2" x14ac:dyDescent="0.2">
      <c r="B855" s="50" t="s">
        <v>832</v>
      </c>
    </row>
    <row r="856" spans="2:2" x14ac:dyDescent="0.2">
      <c r="B856" s="50" t="s">
        <v>827</v>
      </c>
    </row>
    <row r="857" spans="2:2" x14ac:dyDescent="0.2">
      <c r="B857" s="50" t="s">
        <v>828</v>
      </c>
    </row>
    <row r="858" spans="2:2" x14ac:dyDescent="0.2">
      <c r="B858" s="48" t="s">
        <v>510</v>
      </c>
    </row>
    <row r="859" spans="2:2" x14ac:dyDescent="0.2">
      <c r="B859" s="49" t="s">
        <v>833</v>
      </c>
    </row>
    <row r="860" spans="2:2" x14ac:dyDescent="0.2">
      <c r="B860" s="48" t="s">
        <v>450</v>
      </c>
    </row>
    <row r="861" spans="2:2" x14ac:dyDescent="0.2">
      <c r="B861" s="49" t="s">
        <v>842</v>
      </c>
    </row>
    <row r="862" spans="2:2" x14ac:dyDescent="0.2">
      <c r="B862" s="49" t="s">
        <v>824</v>
      </c>
    </row>
    <row r="863" spans="2:2" x14ac:dyDescent="0.2">
      <c r="B863" s="50" t="s">
        <v>843</v>
      </c>
    </row>
    <row r="864" spans="2:2" x14ac:dyDescent="0.2">
      <c r="B864" s="50" t="s">
        <v>844</v>
      </c>
    </row>
    <row r="865" spans="2:2" x14ac:dyDescent="0.2">
      <c r="B865" s="50" t="s">
        <v>827</v>
      </c>
    </row>
    <row r="866" spans="2:2" x14ac:dyDescent="0.2">
      <c r="B866" s="50" t="s">
        <v>828</v>
      </c>
    </row>
    <row r="867" spans="2:2" x14ac:dyDescent="0.2">
      <c r="B867" s="48" t="s">
        <v>510</v>
      </c>
    </row>
    <row r="868" spans="2:2" x14ac:dyDescent="0.2">
      <c r="B868" s="49" t="s">
        <v>845</v>
      </c>
    </row>
    <row r="869" spans="2:2" x14ac:dyDescent="0.2">
      <c r="B869" s="48" t="s">
        <v>456</v>
      </c>
    </row>
    <row r="870" spans="2:2" x14ac:dyDescent="0.2">
      <c r="B870" s="48" t="s">
        <v>450</v>
      </c>
    </row>
    <row r="871" spans="2:2" x14ac:dyDescent="0.2">
      <c r="B871" s="49" t="s">
        <v>834</v>
      </c>
    </row>
    <row r="872" spans="2:2" x14ac:dyDescent="0.2">
      <c r="B872" s="49" t="s">
        <v>823</v>
      </c>
    </row>
    <row r="873" spans="2:2" x14ac:dyDescent="0.2">
      <c r="B873" s="49" t="s">
        <v>824</v>
      </c>
    </row>
    <row r="874" spans="2:2" x14ac:dyDescent="0.2">
      <c r="B874" s="50" t="s">
        <v>835</v>
      </c>
    </row>
    <row r="875" spans="2:2" x14ac:dyDescent="0.2">
      <c r="B875" s="50" t="s">
        <v>836</v>
      </c>
    </row>
    <row r="876" spans="2:2" x14ac:dyDescent="0.2">
      <c r="B876" s="50" t="s">
        <v>827</v>
      </c>
    </row>
    <row r="877" spans="2:2" x14ac:dyDescent="0.2">
      <c r="B877" s="50" t="s">
        <v>828</v>
      </c>
    </row>
    <row r="878" spans="2:2" x14ac:dyDescent="0.2">
      <c r="B878" s="48" t="s">
        <v>510</v>
      </c>
    </row>
    <row r="879" spans="2:2" x14ac:dyDescent="0.2">
      <c r="B879" s="49" t="s">
        <v>837</v>
      </c>
    </row>
    <row r="880" spans="2:2" x14ac:dyDescent="0.2">
      <c r="B880" s="48" t="s">
        <v>450</v>
      </c>
    </row>
    <row r="881" spans="2:2" x14ac:dyDescent="0.2">
      <c r="B881" s="49" t="s">
        <v>830</v>
      </c>
    </row>
    <row r="882" spans="2:2" x14ac:dyDescent="0.2">
      <c r="B882" s="49" t="s">
        <v>824</v>
      </c>
    </row>
    <row r="883" spans="2:2" x14ac:dyDescent="0.2">
      <c r="B883" s="50" t="s">
        <v>838</v>
      </c>
    </row>
    <row r="884" spans="2:2" x14ac:dyDescent="0.2">
      <c r="B884" s="50" t="s">
        <v>839</v>
      </c>
    </row>
    <row r="885" spans="2:2" x14ac:dyDescent="0.2">
      <c r="B885" s="50" t="s">
        <v>827</v>
      </c>
    </row>
    <row r="886" spans="2:2" x14ac:dyDescent="0.2">
      <c r="B886" s="50" t="s">
        <v>828</v>
      </c>
    </row>
    <row r="887" spans="2:2" x14ac:dyDescent="0.2">
      <c r="B887" s="48" t="s">
        <v>510</v>
      </c>
    </row>
    <row r="888" spans="2:2" x14ac:dyDescent="0.2">
      <c r="B888" s="49" t="s">
        <v>840</v>
      </c>
    </row>
    <row r="889" spans="2:2" x14ac:dyDescent="0.2">
      <c r="B889" s="48" t="s">
        <v>450</v>
      </c>
    </row>
    <row r="890" spans="2:2" x14ac:dyDescent="0.2">
      <c r="B890" s="49" t="s">
        <v>842</v>
      </c>
    </row>
    <row r="891" spans="2:2" x14ac:dyDescent="0.2">
      <c r="B891" s="49" t="s">
        <v>824</v>
      </c>
    </row>
    <row r="892" spans="2:2" x14ac:dyDescent="0.2">
      <c r="B892" s="50" t="s">
        <v>846</v>
      </c>
    </row>
    <row r="893" spans="2:2" x14ac:dyDescent="0.2">
      <c r="B893" s="50" t="s">
        <v>847</v>
      </c>
    </row>
    <row r="894" spans="2:2" x14ac:dyDescent="0.2">
      <c r="B894" s="50" t="s">
        <v>827</v>
      </c>
    </row>
    <row r="895" spans="2:2" x14ac:dyDescent="0.2">
      <c r="B895" s="50" t="s">
        <v>828</v>
      </c>
    </row>
    <row r="896" spans="2:2" x14ac:dyDescent="0.2">
      <c r="B896" s="48" t="s">
        <v>510</v>
      </c>
    </row>
    <row r="897" spans="2:2" x14ac:dyDescent="0.2">
      <c r="B897" s="49" t="s">
        <v>848</v>
      </c>
    </row>
    <row r="898" spans="2:2" x14ac:dyDescent="0.2">
      <c r="B898" s="48" t="s">
        <v>456</v>
      </c>
    </row>
    <row r="899" spans="2:2" x14ac:dyDescent="0.2">
      <c r="B899" s="48" t="s">
        <v>456</v>
      </c>
    </row>
    <row r="900" spans="2:2" x14ac:dyDescent="0.2">
      <c r="B900" s="48" t="s">
        <v>456</v>
      </c>
    </row>
    <row r="901" spans="2:2" x14ac:dyDescent="0.2">
      <c r="B901" s="48" t="s">
        <v>456</v>
      </c>
    </row>
    <row r="902" spans="2:2" x14ac:dyDescent="0.2">
      <c r="B902" s="48" t="s">
        <v>450</v>
      </c>
    </row>
    <row r="903" spans="2:2" x14ac:dyDescent="0.2">
      <c r="B903" s="49" t="s">
        <v>849</v>
      </c>
    </row>
    <row r="904" spans="2:2" x14ac:dyDescent="0.2">
      <c r="B904" s="49" t="s">
        <v>850</v>
      </c>
    </row>
    <row r="905" spans="2:2" x14ac:dyDescent="0.2">
      <c r="B905" s="49" t="s">
        <v>851</v>
      </c>
    </row>
    <row r="906" spans="2:2" x14ac:dyDescent="0.2">
      <c r="B906" s="49" t="s">
        <v>852</v>
      </c>
    </row>
    <row r="907" spans="2:2" x14ac:dyDescent="0.2">
      <c r="B907" s="49" t="s">
        <v>853</v>
      </c>
    </row>
    <row r="908" spans="2:2" x14ac:dyDescent="0.2">
      <c r="B908" s="49" t="s">
        <v>854</v>
      </c>
    </row>
    <row r="909" spans="2:2" x14ac:dyDescent="0.2">
      <c r="B909" s="48" t="s">
        <v>450</v>
      </c>
    </row>
    <row r="910" spans="2:2" x14ac:dyDescent="0.2">
      <c r="B910" s="49" t="s">
        <v>855</v>
      </c>
    </row>
    <row r="911" spans="2:2" x14ac:dyDescent="0.2">
      <c r="B911" s="49" t="s">
        <v>856</v>
      </c>
    </row>
    <row r="912" spans="2:2" x14ac:dyDescent="0.2">
      <c r="B912" s="49" t="s">
        <v>857</v>
      </c>
    </row>
    <row r="913" spans="2:2" x14ac:dyDescent="0.2">
      <c r="B913" s="49" t="s">
        <v>858</v>
      </c>
    </row>
    <row r="914" spans="2:2" x14ac:dyDescent="0.2">
      <c r="B914" s="48" t="s">
        <v>450</v>
      </c>
    </row>
    <row r="915" spans="2:2" x14ac:dyDescent="0.2">
      <c r="B915" s="49" t="s">
        <v>859</v>
      </c>
    </row>
    <row r="916" spans="2:2" x14ac:dyDescent="0.2">
      <c r="B916" s="49" t="s">
        <v>860</v>
      </c>
    </row>
    <row r="917" spans="2:2" x14ac:dyDescent="0.2">
      <c r="B917" s="49" t="s">
        <v>861</v>
      </c>
    </row>
    <row r="918" spans="2:2" x14ac:dyDescent="0.2">
      <c r="B918" s="49" t="s">
        <v>862</v>
      </c>
    </row>
    <row r="919" spans="2:2" x14ac:dyDescent="0.2">
      <c r="B919" s="49" t="s">
        <v>863</v>
      </c>
    </row>
    <row r="920" spans="2:2" x14ac:dyDescent="0.2">
      <c r="B920" s="49" t="s">
        <v>864</v>
      </c>
    </row>
    <row r="921" spans="2:2" x14ac:dyDescent="0.2">
      <c r="B921" s="49" t="s">
        <v>865</v>
      </c>
    </row>
    <row r="922" spans="2:2" x14ac:dyDescent="0.2">
      <c r="B922" s="48" t="s">
        <v>450</v>
      </c>
    </row>
    <row r="923" spans="2:2" x14ac:dyDescent="0.2">
      <c r="B923" s="49" t="s">
        <v>866</v>
      </c>
    </row>
    <row r="924" spans="2:2" x14ac:dyDescent="0.2">
      <c r="B924" s="49" t="s">
        <v>867</v>
      </c>
    </row>
    <row r="925" spans="2:2" x14ac:dyDescent="0.2">
      <c r="B925" s="49" t="s">
        <v>868</v>
      </c>
    </row>
    <row r="926" spans="2:2" x14ac:dyDescent="0.2">
      <c r="B926" s="48" t="s">
        <v>450</v>
      </c>
    </row>
    <row r="927" spans="2:2" x14ac:dyDescent="0.2">
      <c r="B927" s="49" t="s">
        <v>869</v>
      </c>
    </row>
    <row r="928" spans="2:2" x14ac:dyDescent="0.2">
      <c r="B928" s="49" t="s">
        <v>870</v>
      </c>
    </row>
    <row r="929" spans="2:2" x14ac:dyDescent="0.2">
      <c r="B929" s="48" t="s">
        <v>456</v>
      </c>
    </row>
    <row r="930" spans="2:2" x14ac:dyDescent="0.2">
      <c r="B930" s="48" t="s">
        <v>450</v>
      </c>
    </row>
    <row r="931" spans="2:2" x14ac:dyDescent="0.2">
      <c r="B931" s="49" t="s">
        <v>871</v>
      </c>
    </row>
    <row r="932" spans="2:2" x14ac:dyDescent="0.2">
      <c r="B932" s="49" t="s">
        <v>856</v>
      </c>
    </row>
    <row r="933" spans="2:2" x14ac:dyDescent="0.2">
      <c r="B933" s="49" t="s">
        <v>872</v>
      </c>
    </row>
    <row r="934" spans="2:2" x14ac:dyDescent="0.2">
      <c r="B934" s="49" t="s">
        <v>873</v>
      </c>
    </row>
    <row r="935" spans="2:2" x14ac:dyDescent="0.2">
      <c r="B935" s="48" t="s">
        <v>450</v>
      </c>
    </row>
    <row r="936" spans="2:2" x14ac:dyDescent="0.2">
      <c r="B936" s="49" t="s">
        <v>859</v>
      </c>
    </row>
    <row r="937" spans="2:2" x14ac:dyDescent="0.2">
      <c r="B937" s="49" t="s">
        <v>874</v>
      </c>
    </row>
    <row r="938" spans="2:2" x14ac:dyDescent="0.2">
      <c r="B938" s="49" t="s">
        <v>875</v>
      </c>
    </row>
    <row r="939" spans="2:2" x14ac:dyDescent="0.2">
      <c r="B939" s="49" t="s">
        <v>876</v>
      </c>
    </row>
    <row r="940" spans="2:2" x14ac:dyDescent="0.2">
      <c r="B940" s="49" t="s">
        <v>877</v>
      </c>
    </row>
    <row r="941" spans="2:2" x14ac:dyDescent="0.2">
      <c r="B941" s="49" t="s">
        <v>878</v>
      </c>
    </row>
    <row r="942" spans="2:2" x14ac:dyDescent="0.2">
      <c r="B942" s="49" t="s">
        <v>879</v>
      </c>
    </row>
    <row r="943" spans="2:2" x14ac:dyDescent="0.2">
      <c r="B943" s="48" t="s">
        <v>450</v>
      </c>
    </row>
    <row r="944" spans="2:2" x14ac:dyDescent="0.2">
      <c r="B944" s="49" t="s">
        <v>866</v>
      </c>
    </row>
    <row r="945" spans="2:2" x14ac:dyDescent="0.2">
      <c r="B945" s="49" t="s">
        <v>880</v>
      </c>
    </row>
    <row r="946" spans="2:2" x14ac:dyDescent="0.2">
      <c r="B946" s="49" t="s">
        <v>881</v>
      </c>
    </row>
    <row r="947" spans="2:2" x14ac:dyDescent="0.2">
      <c r="B947" s="48" t="s">
        <v>450</v>
      </c>
    </row>
    <row r="948" spans="2:2" x14ac:dyDescent="0.2">
      <c r="B948" s="49" t="s">
        <v>869</v>
      </c>
    </row>
    <row r="949" spans="2:2" x14ac:dyDescent="0.2">
      <c r="B949" s="49" t="s">
        <v>882</v>
      </c>
    </row>
    <row r="950" spans="2:2" x14ac:dyDescent="0.2">
      <c r="B950" s="48" t="s">
        <v>456</v>
      </c>
    </row>
    <row r="951" spans="2:2" x14ac:dyDescent="0.2">
      <c r="B951" s="48" t="s">
        <v>456</v>
      </c>
    </row>
    <row r="952" spans="2:2" x14ac:dyDescent="0.2">
      <c r="B952" s="48" t="s">
        <v>450</v>
      </c>
    </row>
    <row r="953" spans="2:2" x14ac:dyDescent="0.2">
      <c r="B953" s="49" t="s">
        <v>883</v>
      </c>
    </row>
    <row r="954" spans="2:2" x14ac:dyDescent="0.2">
      <c r="B954" s="49" t="s">
        <v>443</v>
      </c>
    </row>
    <row r="955" spans="2:2" x14ac:dyDescent="0.2">
      <c r="B955" s="49" t="s">
        <v>884</v>
      </c>
    </row>
    <row r="956" spans="2:2" x14ac:dyDescent="0.2">
      <c r="B956" s="49" t="s">
        <v>885</v>
      </c>
    </row>
    <row r="957" spans="2:2" x14ac:dyDescent="0.2">
      <c r="B957" s="48" t="s">
        <v>450</v>
      </c>
    </row>
    <row r="958" spans="2:2" x14ac:dyDescent="0.2">
      <c r="B958" s="49" t="s">
        <v>886</v>
      </c>
    </row>
    <row r="959" spans="2:2" x14ac:dyDescent="0.2">
      <c r="B959" s="49" t="s">
        <v>443</v>
      </c>
    </row>
    <row r="960" spans="2:2" x14ac:dyDescent="0.2">
      <c r="B960" s="49" t="s">
        <v>887</v>
      </c>
    </row>
    <row r="961" spans="2:2" x14ac:dyDescent="0.2">
      <c r="B961" s="49" t="s">
        <v>888</v>
      </c>
    </row>
    <row r="962" spans="2:2" x14ac:dyDescent="0.2">
      <c r="B962" s="49" t="s">
        <v>889</v>
      </c>
    </row>
    <row r="963" spans="2:2" x14ac:dyDescent="0.2">
      <c r="B963" s="49" t="s">
        <v>890</v>
      </c>
    </row>
    <row r="964" spans="2:2" x14ac:dyDescent="0.2">
      <c r="B964" s="49" t="s">
        <v>891</v>
      </c>
    </row>
    <row r="965" spans="2:2" x14ac:dyDescent="0.2">
      <c r="B965" s="49" t="s">
        <v>892</v>
      </c>
    </row>
    <row r="966" spans="2:2" x14ac:dyDescent="0.2">
      <c r="B966" s="49" t="s">
        <v>893</v>
      </c>
    </row>
    <row r="967" spans="2:2" x14ac:dyDescent="0.2">
      <c r="B967" s="49" t="s">
        <v>894</v>
      </c>
    </row>
    <row r="968" spans="2:2" x14ac:dyDescent="0.2">
      <c r="B968" s="49" t="s">
        <v>895</v>
      </c>
    </row>
    <row r="969" spans="2:2" x14ac:dyDescent="0.2">
      <c r="B969" s="49" t="s">
        <v>896</v>
      </c>
    </row>
    <row r="970" spans="2:2" x14ac:dyDescent="0.2">
      <c r="B970" s="48" t="s">
        <v>450</v>
      </c>
    </row>
    <row r="971" spans="2:2" x14ac:dyDescent="0.2">
      <c r="B971" s="49" t="s">
        <v>897</v>
      </c>
    </row>
    <row r="972" spans="2:2" x14ac:dyDescent="0.2">
      <c r="B972" s="49" t="s">
        <v>898</v>
      </c>
    </row>
    <row r="973" spans="2:2" x14ac:dyDescent="0.2">
      <c r="B973" s="49" t="s">
        <v>899</v>
      </c>
    </row>
    <row r="974" spans="2:2" x14ac:dyDescent="0.2">
      <c r="B974" s="49" t="s">
        <v>900</v>
      </c>
    </row>
    <row r="975" spans="2:2" x14ac:dyDescent="0.2">
      <c r="B975" s="48" t="s">
        <v>456</v>
      </c>
    </row>
    <row r="976" spans="2:2" x14ac:dyDescent="0.2">
      <c r="B976" s="48" t="s">
        <v>456</v>
      </c>
    </row>
    <row r="977" spans="2:2" x14ac:dyDescent="0.2">
      <c r="B977" s="48" t="s">
        <v>450</v>
      </c>
    </row>
    <row r="978" spans="2:2" x14ac:dyDescent="0.2">
      <c r="B978" s="49" t="s">
        <v>901</v>
      </c>
    </row>
    <row r="979" spans="2:2" x14ac:dyDescent="0.2">
      <c r="B979" s="49" t="s">
        <v>902</v>
      </c>
    </row>
    <row r="980" spans="2:2" x14ac:dyDescent="0.2">
      <c r="B980" s="49" t="s">
        <v>903</v>
      </c>
    </row>
    <row r="981" spans="2:2" x14ac:dyDescent="0.2">
      <c r="B981" s="49" t="s">
        <v>904</v>
      </c>
    </row>
    <row r="982" spans="2:2" x14ac:dyDescent="0.2">
      <c r="B982" s="49" t="s">
        <v>905</v>
      </c>
    </row>
    <row r="983" spans="2:2" x14ac:dyDescent="0.2">
      <c r="B983" s="48" t="s">
        <v>450</v>
      </c>
    </row>
    <row r="984" spans="2:2" x14ac:dyDescent="0.2">
      <c r="B984" s="49" t="s">
        <v>906</v>
      </c>
    </row>
    <row r="985" spans="2:2" x14ac:dyDescent="0.2">
      <c r="B985" s="49" t="s">
        <v>905</v>
      </c>
    </row>
    <row r="986" spans="2:2" x14ac:dyDescent="0.2">
      <c r="B986" s="48" t="s">
        <v>450</v>
      </c>
    </row>
    <row r="987" spans="2:2" x14ac:dyDescent="0.2">
      <c r="B987" s="49" t="s">
        <v>907</v>
      </c>
    </row>
    <row r="988" spans="2:2" x14ac:dyDescent="0.2">
      <c r="B988" s="49" t="s">
        <v>905</v>
      </c>
    </row>
    <row r="989" spans="2:2" x14ac:dyDescent="0.2">
      <c r="B989" s="48" t="s">
        <v>450</v>
      </c>
    </row>
    <row r="990" spans="2:2" x14ac:dyDescent="0.2">
      <c r="B990" s="49" t="s">
        <v>908</v>
      </c>
    </row>
    <row r="991" spans="2:2" x14ac:dyDescent="0.2">
      <c r="B991" s="49" t="s">
        <v>909</v>
      </c>
    </row>
    <row r="992" spans="2:2" x14ac:dyDescent="0.2">
      <c r="B992" s="49" t="s">
        <v>910</v>
      </c>
    </row>
    <row r="993" spans="2:2" x14ac:dyDescent="0.2">
      <c r="B993" s="49" t="s">
        <v>911</v>
      </c>
    </row>
    <row r="994" spans="2:2" x14ac:dyDescent="0.2">
      <c r="B994" s="48" t="s">
        <v>450</v>
      </c>
    </row>
    <row r="995" spans="2:2" x14ac:dyDescent="0.2">
      <c r="B995" s="49" t="s">
        <v>912</v>
      </c>
    </row>
    <row r="996" spans="2:2" x14ac:dyDescent="0.2">
      <c r="B996" s="49" t="s">
        <v>910</v>
      </c>
    </row>
    <row r="997" spans="2:2" x14ac:dyDescent="0.2">
      <c r="B997" s="49" t="s">
        <v>913</v>
      </c>
    </row>
    <row r="998" spans="2:2" x14ac:dyDescent="0.2">
      <c r="B998" s="48" t="s">
        <v>450</v>
      </c>
    </row>
    <row r="999" spans="2:2" x14ac:dyDescent="0.2">
      <c r="B999" s="49" t="s">
        <v>914</v>
      </c>
    </row>
    <row r="1000" spans="2:2" x14ac:dyDescent="0.2">
      <c r="B1000" s="49" t="s">
        <v>910</v>
      </c>
    </row>
    <row r="1001" spans="2:2" x14ac:dyDescent="0.2">
      <c r="B1001" s="49" t="s">
        <v>915</v>
      </c>
    </row>
    <row r="1002" spans="2:2" x14ac:dyDescent="0.2">
      <c r="B1002" s="48" t="s">
        <v>450</v>
      </c>
    </row>
    <row r="1003" spans="2:2" x14ac:dyDescent="0.2">
      <c r="B1003" s="49" t="s">
        <v>916</v>
      </c>
    </row>
    <row r="1004" spans="2:2" x14ac:dyDescent="0.2">
      <c r="B1004" s="49" t="s">
        <v>910</v>
      </c>
    </row>
    <row r="1005" spans="2:2" x14ac:dyDescent="0.2">
      <c r="B1005" s="49" t="s">
        <v>917</v>
      </c>
    </row>
    <row r="1006" spans="2:2" x14ac:dyDescent="0.2">
      <c r="B1006" s="49" t="s">
        <v>918</v>
      </c>
    </row>
    <row r="1007" spans="2:2" x14ac:dyDescent="0.2">
      <c r="B1007" s="49" t="s">
        <v>919</v>
      </c>
    </row>
    <row r="1008" spans="2:2" x14ac:dyDescent="0.2">
      <c r="B1008" s="48" t="s">
        <v>450</v>
      </c>
    </row>
    <row r="1009" spans="2:2" x14ac:dyDescent="0.2">
      <c r="B1009" s="49" t="s">
        <v>920</v>
      </c>
    </row>
    <row r="1010" spans="2:2" x14ac:dyDescent="0.2">
      <c r="B1010" s="49" t="s">
        <v>910</v>
      </c>
    </row>
    <row r="1011" spans="2:2" x14ac:dyDescent="0.2">
      <c r="B1011" s="49" t="s">
        <v>921</v>
      </c>
    </row>
    <row r="1012" spans="2:2" x14ac:dyDescent="0.2">
      <c r="B1012" s="49" t="s">
        <v>922</v>
      </c>
    </row>
    <row r="1013" spans="2:2" x14ac:dyDescent="0.2">
      <c r="B1013" s="48" t="s">
        <v>450</v>
      </c>
    </row>
    <row r="1014" spans="2:2" x14ac:dyDescent="0.2">
      <c r="B1014" s="49" t="s">
        <v>923</v>
      </c>
    </row>
    <row r="1015" spans="2:2" x14ac:dyDescent="0.2">
      <c r="B1015" s="49" t="s">
        <v>924</v>
      </c>
    </row>
    <row r="1016" spans="2:2" x14ac:dyDescent="0.2">
      <c r="B1016" s="49" t="s">
        <v>925</v>
      </c>
    </row>
    <row r="1017" spans="2:2" x14ac:dyDescent="0.2">
      <c r="B1017" s="48" t="s">
        <v>456</v>
      </c>
    </row>
    <row r="1018" spans="2:2" x14ac:dyDescent="0.2">
      <c r="B1018" s="48" t="s">
        <v>456</v>
      </c>
    </row>
    <row r="1019" spans="2:2" x14ac:dyDescent="0.2">
      <c r="B1019" s="48" t="s">
        <v>450</v>
      </c>
    </row>
    <row r="1020" spans="2:2" x14ac:dyDescent="0.2">
      <c r="B1020" s="49" t="s">
        <v>926</v>
      </c>
    </row>
    <row r="1021" spans="2:2" x14ac:dyDescent="0.2">
      <c r="B1021" s="49" t="s">
        <v>927</v>
      </c>
    </row>
    <row r="1022" spans="2:2" x14ac:dyDescent="0.2">
      <c r="B1022" s="49" t="s">
        <v>928</v>
      </c>
    </row>
    <row r="1023" spans="2:2" x14ac:dyDescent="0.2">
      <c r="B1023" s="49" t="s">
        <v>929</v>
      </c>
    </row>
    <row r="1024" spans="2:2" x14ac:dyDescent="0.2">
      <c r="B1024" s="48" t="s">
        <v>450</v>
      </c>
    </row>
    <row r="1026" spans="2:2" x14ac:dyDescent="0.2">
      <c r="B1026" s="49" t="s">
        <v>930</v>
      </c>
    </row>
    <row r="1027" spans="2:2" x14ac:dyDescent="0.2">
      <c r="B1027" s="49" t="s">
        <v>931</v>
      </c>
    </row>
    <row r="1028" spans="2:2" x14ac:dyDescent="0.2">
      <c r="B1028" s="49" t="s">
        <v>932</v>
      </c>
    </row>
    <row r="1030" spans="2:2" x14ac:dyDescent="0.2">
      <c r="B1030" s="49" t="s">
        <v>933</v>
      </c>
    </row>
    <row r="1031" spans="2:2" x14ac:dyDescent="0.2">
      <c r="B1031" s="49" t="s">
        <v>934</v>
      </c>
    </row>
    <row r="1033" spans="2:2" x14ac:dyDescent="0.2">
      <c r="B1033" s="49" t="s">
        <v>935</v>
      </c>
    </row>
    <row r="1034" spans="2:2" x14ac:dyDescent="0.2">
      <c r="B1034" s="49" t="s">
        <v>936</v>
      </c>
    </row>
    <row r="1035" spans="2:2" x14ac:dyDescent="0.2">
      <c r="B1035" s="49" t="s">
        <v>937</v>
      </c>
    </row>
    <row r="1037" spans="2:2" x14ac:dyDescent="0.2">
      <c r="B1037" s="49" t="s">
        <v>938</v>
      </c>
    </row>
    <row r="1038" spans="2:2" x14ac:dyDescent="0.2">
      <c r="B1038" s="49" t="s">
        <v>939</v>
      </c>
    </row>
    <row r="1039" spans="2:2" x14ac:dyDescent="0.2">
      <c r="B1039" s="49" t="s">
        <v>940</v>
      </c>
    </row>
    <row r="1041" spans="2:2" x14ac:dyDescent="0.2">
      <c r="B1041" s="49" t="s">
        <v>941</v>
      </c>
    </row>
    <row r="1042" spans="2:2" x14ac:dyDescent="0.2">
      <c r="B1042" s="49" t="s">
        <v>942</v>
      </c>
    </row>
    <row r="1044" spans="2:2" x14ac:dyDescent="0.2">
      <c r="B1044" s="49" t="s">
        <v>943</v>
      </c>
    </row>
    <row r="1045" spans="2:2" x14ac:dyDescent="0.2">
      <c r="B1045" s="49" t="s">
        <v>944</v>
      </c>
    </row>
    <row r="1047" spans="2:2" x14ac:dyDescent="0.2">
      <c r="B1047" s="49" t="s">
        <v>945</v>
      </c>
    </row>
    <row r="1048" spans="2:2" x14ac:dyDescent="0.2">
      <c r="B1048" s="49" t="s">
        <v>946</v>
      </c>
    </row>
    <row r="1049" spans="2:2" x14ac:dyDescent="0.2">
      <c r="B1049" s="49" t="s">
        <v>947</v>
      </c>
    </row>
    <row r="1050" spans="2:2" x14ac:dyDescent="0.2">
      <c r="B1050" s="49" t="s">
        <v>948</v>
      </c>
    </row>
    <row r="1051" spans="2:2" x14ac:dyDescent="0.2">
      <c r="B1051" s="48" t="s">
        <v>450</v>
      </c>
    </row>
    <row r="1052" spans="2:2" x14ac:dyDescent="0.2">
      <c r="B1052" s="49" t="s">
        <v>949</v>
      </c>
    </row>
    <row r="1053" spans="2:2" x14ac:dyDescent="0.2">
      <c r="B1053" s="49" t="s">
        <v>950</v>
      </c>
    </row>
    <row r="1055" spans="2:2" x14ac:dyDescent="0.2">
      <c r="B1055" s="49" t="s">
        <v>951</v>
      </c>
    </row>
    <row r="1056" spans="2:2" x14ac:dyDescent="0.2">
      <c r="B1056" s="49" t="s">
        <v>952</v>
      </c>
    </row>
    <row r="1058" spans="2:2" x14ac:dyDescent="0.2">
      <c r="B1058" s="49" t="s">
        <v>935</v>
      </c>
    </row>
    <row r="1059" spans="2:2" x14ac:dyDescent="0.2">
      <c r="B1059" s="49" t="s">
        <v>936</v>
      </c>
    </row>
    <row r="1060" spans="2:2" x14ac:dyDescent="0.2">
      <c r="B1060" s="49" t="s">
        <v>953</v>
      </c>
    </row>
    <row r="1062" spans="2:2" x14ac:dyDescent="0.2">
      <c r="B1062" s="49" t="s">
        <v>938</v>
      </c>
    </row>
    <row r="1063" spans="2:2" x14ac:dyDescent="0.2">
      <c r="B1063" s="49" t="s">
        <v>939</v>
      </c>
    </row>
    <row r="1064" spans="2:2" x14ac:dyDescent="0.2">
      <c r="B1064" s="49" t="s">
        <v>940</v>
      </c>
    </row>
    <row r="1066" spans="2:2" x14ac:dyDescent="0.2">
      <c r="B1066" s="49" t="s">
        <v>941</v>
      </c>
    </row>
    <row r="1067" spans="2:2" x14ac:dyDescent="0.2">
      <c r="B1067" s="49" t="s">
        <v>954</v>
      </c>
    </row>
    <row r="1069" spans="2:2" x14ac:dyDescent="0.2">
      <c r="B1069" s="49" t="s">
        <v>943</v>
      </c>
    </row>
    <row r="1070" spans="2:2" x14ac:dyDescent="0.2">
      <c r="B1070" s="49" t="s">
        <v>955</v>
      </c>
    </row>
    <row r="1072" spans="2:2" x14ac:dyDescent="0.2">
      <c r="B1072" s="49" t="s">
        <v>956</v>
      </c>
    </row>
    <row r="1073" spans="2:2" x14ac:dyDescent="0.2">
      <c r="B1073" s="49" t="s">
        <v>957</v>
      </c>
    </row>
    <row r="1074" spans="2:2" x14ac:dyDescent="0.2">
      <c r="B1074" s="49" t="s">
        <v>958</v>
      </c>
    </row>
    <row r="1075" spans="2:2" x14ac:dyDescent="0.2">
      <c r="B1075" s="49" t="s">
        <v>959</v>
      </c>
    </row>
    <row r="1076" spans="2:2" x14ac:dyDescent="0.2">
      <c r="B1076" s="48" t="s">
        <v>450</v>
      </c>
    </row>
    <row r="1077" spans="2:2" x14ac:dyDescent="0.2">
      <c r="B1077" s="49" t="s">
        <v>960</v>
      </c>
    </row>
    <row r="1078" spans="2:2" x14ac:dyDescent="0.2">
      <c r="B1078" s="49" t="s">
        <v>961</v>
      </c>
    </row>
    <row r="1080" spans="2:2" x14ac:dyDescent="0.2">
      <c r="B1080" s="49" t="s">
        <v>951</v>
      </c>
    </row>
    <row r="1081" spans="2:2" x14ac:dyDescent="0.2">
      <c r="B1081" s="49" t="s">
        <v>952</v>
      </c>
    </row>
    <row r="1083" spans="2:2" x14ac:dyDescent="0.2">
      <c r="B1083" s="49" t="s">
        <v>935</v>
      </c>
    </row>
    <row r="1084" spans="2:2" x14ac:dyDescent="0.2">
      <c r="B1084" s="49" t="s">
        <v>936</v>
      </c>
    </row>
    <row r="1085" spans="2:2" x14ac:dyDescent="0.2">
      <c r="B1085" s="49" t="s">
        <v>962</v>
      </c>
    </row>
    <row r="1087" spans="2:2" x14ac:dyDescent="0.2">
      <c r="B1087" s="49" t="s">
        <v>938</v>
      </c>
    </row>
    <row r="1088" spans="2:2" x14ac:dyDescent="0.2">
      <c r="B1088" s="49" t="s">
        <v>939</v>
      </c>
    </row>
    <row r="1089" spans="2:2" x14ac:dyDescent="0.2">
      <c r="B1089" s="49" t="s">
        <v>940</v>
      </c>
    </row>
    <row r="1091" spans="2:2" x14ac:dyDescent="0.2">
      <c r="B1091" s="49" t="s">
        <v>941</v>
      </c>
    </row>
    <row r="1092" spans="2:2" x14ac:dyDescent="0.2">
      <c r="B1092" s="49" t="s">
        <v>963</v>
      </c>
    </row>
    <row r="1094" spans="2:2" x14ac:dyDescent="0.2">
      <c r="B1094" s="49" t="s">
        <v>964</v>
      </c>
    </row>
    <row r="1095" spans="2:2" x14ac:dyDescent="0.2">
      <c r="B1095" s="49" t="s">
        <v>965</v>
      </c>
    </row>
    <row r="1097" spans="2:2" x14ac:dyDescent="0.2">
      <c r="B1097" s="49" t="s">
        <v>956</v>
      </c>
    </row>
    <row r="1098" spans="2:2" x14ac:dyDescent="0.2">
      <c r="B1098" s="49" t="s">
        <v>957</v>
      </c>
    </row>
    <row r="1099" spans="2:2" x14ac:dyDescent="0.2">
      <c r="B1099" s="49" t="s">
        <v>958</v>
      </c>
    </row>
    <row r="1100" spans="2:2" x14ac:dyDescent="0.2">
      <c r="B1100" s="49" t="s">
        <v>959</v>
      </c>
    </row>
    <row r="1101" spans="2:2" x14ac:dyDescent="0.2">
      <c r="B1101" s="48" t="s">
        <v>450</v>
      </c>
    </row>
    <row r="1102" spans="2:2" x14ac:dyDescent="0.2">
      <c r="B1102" s="49" t="s">
        <v>966</v>
      </c>
    </row>
    <row r="1103" spans="2:2" x14ac:dyDescent="0.2">
      <c r="B1103" s="49" t="s">
        <v>967</v>
      </c>
    </row>
    <row r="1105" spans="2:2" x14ac:dyDescent="0.2">
      <c r="B1105" s="49" t="s">
        <v>933</v>
      </c>
    </row>
    <row r="1106" spans="2:2" x14ac:dyDescent="0.2">
      <c r="B1106" s="49" t="s">
        <v>934</v>
      </c>
    </row>
    <row r="1108" spans="2:2" x14ac:dyDescent="0.2">
      <c r="B1108" s="49" t="s">
        <v>935</v>
      </c>
    </row>
    <row r="1109" spans="2:2" x14ac:dyDescent="0.2">
      <c r="B1109" s="49" t="s">
        <v>936</v>
      </c>
    </row>
    <row r="1110" spans="2:2" x14ac:dyDescent="0.2">
      <c r="B1110" s="49" t="s">
        <v>968</v>
      </c>
    </row>
    <row r="1112" spans="2:2" x14ac:dyDescent="0.2">
      <c r="B1112" s="49" t="s">
        <v>938</v>
      </c>
    </row>
    <row r="1113" spans="2:2" x14ac:dyDescent="0.2">
      <c r="B1113" s="49" t="s">
        <v>939</v>
      </c>
    </row>
    <row r="1114" spans="2:2" x14ac:dyDescent="0.2">
      <c r="B1114" s="49" t="s">
        <v>940</v>
      </c>
    </row>
    <row r="1116" spans="2:2" x14ac:dyDescent="0.2">
      <c r="B1116" s="49" t="s">
        <v>941</v>
      </c>
    </row>
    <row r="1117" spans="2:2" x14ac:dyDescent="0.2">
      <c r="B1117" s="49" t="s">
        <v>942</v>
      </c>
    </row>
    <row r="1119" spans="2:2" x14ac:dyDescent="0.2">
      <c r="B1119" s="49" t="s">
        <v>943</v>
      </c>
    </row>
    <row r="1120" spans="2:2" x14ac:dyDescent="0.2">
      <c r="B1120" s="49" t="s">
        <v>944</v>
      </c>
    </row>
    <row r="1122" spans="2:2" x14ac:dyDescent="0.2">
      <c r="B1122" s="49" t="s">
        <v>956</v>
      </c>
    </row>
    <row r="1123" spans="2:2" x14ac:dyDescent="0.2">
      <c r="B1123" s="49" t="s">
        <v>957</v>
      </c>
    </row>
    <row r="1124" spans="2:2" x14ac:dyDescent="0.2">
      <c r="B1124" s="49" t="s">
        <v>958</v>
      </c>
    </row>
    <row r="1125" spans="2:2" x14ac:dyDescent="0.2">
      <c r="B1125" s="49" t="s">
        <v>959</v>
      </c>
    </row>
    <row r="1126" spans="2:2" x14ac:dyDescent="0.2">
      <c r="B1126" s="48" t="s">
        <v>450</v>
      </c>
    </row>
    <row r="1127" spans="2:2" x14ac:dyDescent="0.2">
      <c r="B1127" s="49" t="s">
        <v>969</v>
      </c>
    </row>
    <row r="1128" spans="2:2" x14ac:dyDescent="0.2">
      <c r="B1128" s="49" t="s">
        <v>970</v>
      </c>
    </row>
    <row r="1130" spans="2:2" x14ac:dyDescent="0.2">
      <c r="B1130" s="49" t="s">
        <v>933</v>
      </c>
    </row>
    <row r="1131" spans="2:2" x14ac:dyDescent="0.2">
      <c r="B1131" s="49" t="s">
        <v>934</v>
      </c>
    </row>
    <row r="1133" spans="2:2" x14ac:dyDescent="0.2">
      <c r="B1133" s="49" t="s">
        <v>935</v>
      </c>
    </row>
    <row r="1134" spans="2:2" x14ac:dyDescent="0.2">
      <c r="B1134" s="49" t="s">
        <v>936</v>
      </c>
    </row>
    <row r="1135" spans="2:2" x14ac:dyDescent="0.2">
      <c r="B1135" s="49" t="s">
        <v>971</v>
      </c>
    </row>
    <row r="1137" spans="2:2" x14ac:dyDescent="0.2">
      <c r="B1137" s="49" t="s">
        <v>938</v>
      </c>
    </row>
    <row r="1138" spans="2:2" x14ac:dyDescent="0.2">
      <c r="B1138" s="49" t="s">
        <v>972</v>
      </c>
    </row>
    <row r="1139" spans="2:2" x14ac:dyDescent="0.2">
      <c r="B1139" s="49" t="s">
        <v>973</v>
      </c>
    </row>
    <row r="1141" spans="2:2" x14ac:dyDescent="0.2">
      <c r="B1141" s="49" t="s">
        <v>974</v>
      </c>
    </row>
    <row r="1142" spans="2:2" x14ac:dyDescent="0.2">
      <c r="B1142" s="49" t="s">
        <v>975</v>
      </c>
    </row>
    <row r="1144" spans="2:2" x14ac:dyDescent="0.2">
      <c r="B1144" s="49" t="s">
        <v>964</v>
      </c>
    </row>
    <row r="1145" spans="2:2" x14ac:dyDescent="0.2">
      <c r="B1145" s="49" t="s">
        <v>965</v>
      </c>
    </row>
    <row r="1147" spans="2:2" x14ac:dyDescent="0.2">
      <c r="B1147" s="49" t="s">
        <v>956</v>
      </c>
    </row>
    <row r="1148" spans="2:2" x14ac:dyDescent="0.2">
      <c r="B1148" s="49" t="s">
        <v>957</v>
      </c>
    </row>
    <row r="1149" spans="2:2" x14ac:dyDescent="0.2">
      <c r="B1149" s="49" t="s">
        <v>958</v>
      </c>
    </row>
    <row r="1150" spans="2:2" x14ac:dyDescent="0.2">
      <c r="B1150" s="49" t="s">
        <v>959</v>
      </c>
    </row>
    <row r="1151" spans="2:2" x14ac:dyDescent="0.2">
      <c r="B1151" s="48" t="s">
        <v>450</v>
      </c>
    </row>
    <row r="1152" spans="2:2" x14ac:dyDescent="0.2">
      <c r="B1152" s="49" t="s">
        <v>976</v>
      </c>
    </row>
    <row r="1153" spans="2:2" x14ac:dyDescent="0.2">
      <c r="B1153" s="49" t="s">
        <v>977</v>
      </c>
    </row>
    <row r="1155" spans="2:2" x14ac:dyDescent="0.2">
      <c r="B1155" s="49" t="s">
        <v>951</v>
      </c>
    </row>
    <row r="1156" spans="2:2" x14ac:dyDescent="0.2">
      <c r="B1156" s="49" t="s">
        <v>952</v>
      </c>
    </row>
    <row r="1158" spans="2:2" x14ac:dyDescent="0.2">
      <c r="B1158" s="49" t="s">
        <v>935</v>
      </c>
    </row>
    <row r="1159" spans="2:2" x14ac:dyDescent="0.2">
      <c r="B1159" s="49" t="s">
        <v>936</v>
      </c>
    </row>
    <row r="1160" spans="2:2" x14ac:dyDescent="0.2">
      <c r="B1160" s="49" t="s">
        <v>937</v>
      </c>
    </row>
    <row r="1162" spans="2:2" x14ac:dyDescent="0.2">
      <c r="B1162" s="49" t="s">
        <v>938</v>
      </c>
    </row>
    <row r="1163" spans="2:2" x14ac:dyDescent="0.2">
      <c r="B1163" s="49" t="s">
        <v>939</v>
      </c>
    </row>
    <row r="1164" spans="2:2" x14ac:dyDescent="0.2">
      <c r="B1164" s="49" t="s">
        <v>940</v>
      </c>
    </row>
    <row r="1166" spans="2:2" x14ac:dyDescent="0.2">
      <c r="B1166" s="49" t="s">
        <v>941</v>
      </c>
    </row>
    <row r="1167" spans="2:2" x14ac:dyDescent="0.2">
      <c r="B1167" s="49" t="s">
        <v>978</v>
      </c>
    </row>
    <row r="1169" spans="2:2" x14ac:dyDescent="0.2">
      <c r="B1169" s="49" t="s">
        <v>943</v>
      </c>
    </row>
    <row r="1170" spans="2:2" x14ac:dyDescent="0.2">
      <c r="B1170" s="49" t="s">
        <v>979</v>
      </c>
    </row>
    <row r="1172" spans="2:2" x14ac:dyDescent="0.2">
      <c r="B1172" s="49" t="s">
        <v>956</v>
      </c>
    </row>
    <row r="1173" spans="2:2" x14ac:dyDescent="0.2">
      <c r="B1173" s="49" t="s">
        <v>957</v>
      </c>
    </row>
    <row r="1174" spans="2:2" x14ac:dyDescent="0.2">
      <c r="B1174" s="49" t="s">
        <v>958</v>
      </c>
    </row>
    <row r="1175" spans="2:2" x14ac:dyDescent="0.2">
      <c r="B1175" s="49" t="s">
        <v>959</v>
      </c>
    </row>
    <row r="1176" spans="2:2" x14ac:dyDescent="0.2">
      <c r="B1176" s="48" t="s">
        <v>450</v>
      </c>
    </row>
    <row r="1177" spans="2:2" x14ac:dyDescent="0.2">
      <c r="B1177" s="49" t="s">
        <v>980</v>
      </c>
    </row>
    <row r="1178" spans="2:2" x14ac:dyDescent="0.2">
      <c r="B1178" s="49" t="s">
        <v>981</v>
      </c>
    </row>
    <row r="1180" spans="2:2" x14ac:dyDescent="0.2">
      <c r="B1180" s="49" t="s">
        <v>951</v>
      </c>
    </row>
    <row r="1181" spans="2:2" x14ac:dyDescent="0.2">
      <c r="B1181" s="49" t="s">
        <v>952</v>
      </c>
    </row>
    <row r="1183" spans="2:2" x14ac:dyDescent="0.2">
      <c r="B1183" s="49" t="s">
        <v>935</v>
      </c>
    </row>
    <row r="1184" spans="2:2" x14ac:dyDescent="0.2">
      <c r="B1184" s="49" t="s">
        <v>936</v>
      </c>
    </row>
    <row r="1185" spans="2:2" x14ac:dyDescent="0.2">
      <c r="B1185" s="49" t="s">
        <v>982</v>
      </c>
    </row>
    <row r="1187" spans="2:2" x14ac:dyDescent="0.2">
      <c r="B1187" s="49" t="s">
        <v>938</v>
      </c>
    </row>
    <row r="1188" spans="2:2" x14ac:dyDescent="0.2">
      <c r="B1188" s="49" t="s">
        <v>983</v>
      </c>
    </row>
    <row r="1189" spans="2:2" x14ac:dyDescent="0.2">
      <c r="B1189" s="49" t="s">
        <v>940</v>
      </c>
    </row>
    <row r="1191" spans="2:2" x14ac:dyDescent="0.2">
      <c r="B1191" s="49" t="s">
        <v>941</v>
      </c>
    </row>
    <row r="1192" spans="2:2" x14ac:dyDescent="0.2">
      <c r="B1192" s="49" t="s">
        <v>984</v>
      </c>
    </row>
    <row r="1194" spans="2:2" x14ac:dyDescent="0.2">
      <c r="B1194" s="49" t="s">
        <v>943</v>
      </c>
    </row>
    <row r="1195" spans="2:2" x14ac:dyDescent="0.2">
      <c r="B1195" s="49" t="s">
        <v>955</v>
      </c>
    </row>
    <row r="1197" spans="2:2" x14ac:dyDescent="0.2">
      <c r="B1197" s="49" t="s">
        <v>956</v>
      </c>
    </row>
    <row r="1198" spans="2:2" x14ac:dyDescent="0.2">
      <c r="B1198" s="49" t="s">
        <v>957</v>
      </c>
    </row>
    <row r="1199" spans="2:2" x14ac:dyDescent="0.2">
      <c r="B1199" s="49" t="s">
        <v>958</v>
      </c>
    </row>
    <row r="1200" spans="2:2" x14ac:dyDescent="0.2">
      <c r="B1200" s="49" t="s">
        <v>959</v>
      </c>
    </row>
    <row r="1201" spans="2:2" x14ac:dyDescent="0.2">
      <c r="B1201" s="48" t="s">
        <v>450</v>
      </c>
    </row>
    <row r="1202" spans="2:2" x14ac:dyDescent="0.2">
      <c r="B1202" s="49" t="s">
        <v>985</v>
      </c>
    </row>
    <row r="1203" spans="2:2" x14ac:dyDescent="0.2">
      <c r="B1203" s="49" t="s">
        <v>986</v>
      </c>
    </row>
    <row r="1205" spans="2:2" x14ac:dyDescent="0.2">
      <c r="B1205" s="49" t="s">
        <v>933</v>
      </c>
    </row>
    <row r="1206" spans="2:2" x14ac:dyDescent="0.2">
      <c r="B1206" s="49" t="s">
        <v>952</v>
      </c>
    </row>
    <row r="1208" spans="2:2" x14ac:dyDescent="0.2">
      <c r="B1208" s="49" t="s">
        <v>935</v>
      </c>
    </row>
    <row r="1209" spans="2:2" x14ac:dyDescent="0.2">
      <c r="B1209" s="49" t="s">
        <v>936</v>
      </c>
    </row>
    <row r="1210" spans="2:2" x14ac:dyDescent="0.2">
      <c r="B1210" s="49" t="s">
        <v>987</v>
      </c>
    </row>
    <row r="1212" spans="2:2" x14ac:dyDescent="0.2">
      <c r="B1212" s="49" t="s">
        <v>988</v>
      </c>
    </row>
    <row r="1213" spans="2:2" x14ac:dyDescent="0.2">
      <c r="B1213" s="49" t="s">
        <v>939</v>
      </c>
    </row>
    <row r="1214" spans="2:2" x14ac:dyDescent="0.2">
      <c r="B1214" s="49" t="s">
        <v>940</v>
      </c>
    </row>
    <row r="1216" spans="2:2" x14ac:dyDescent="0.2">
      <c r="B1216" s="49" t="s">
        <v>941</v>
      </c>
    </row>
    <row r="1217" spans="2:2" x14ac:dyDescent="0.2">
      <c r="B1217" s="49" t="s">
        <v>963</v>
      </c>
    </row>
    <row r="1219" spans="2:2" x14ac:dyDescent="0.2">
      <c r="B1219" s="49" t="s">
        <v>943</v>
      </c>
    </row>
    <row r="1220" spans="2:2" x14ac:dyDescent="0.2">
      <c r="B1220" s="49" t="s">
        <v>944</v>
      </c>
    </row>
    <row r="1222" spans="2:2" x14ac:dyDescent="0.2">
      <c r="B1222" s="49" t="s">
        <v>945</v>
      </c>
    </row>
    <row r="1223" spans="2:2" x14ac:dyDescent="0.2">
      <c r="B1223" s="49" t="s">
        <v>946</v>
      </c>
    </row>
    <row r="1224" spans="2:2" x14ac:dyDescent="0.2">
      <c r="B1224" s="49" t="s">
        <v>947</v>
      </c>
    </row>
    <row r="1225" spans="2:2" x14ac:dyDescent="0.2">
      <c r="B1225" s="49" t="s">
        <v>948</v>
      </c>
    </row>
    <row r="1226" spans="2:2" x14ac:dyDescent="0.2">
      <c r="B1226" s="48" t="s">
        <v>450</v>
      </c>
    </row>
    <row r="1227" spans="2:2" x14ac:dyDescent="0.2">
      <c r="B1227" s="49" t="s">
        <v>989</v>
      </c>
    </row>
    <row r="1228" spans="2:2" x14ac:dyDescent="0.2">
      <c r="B1228" s="49" t="s">
        <v>990</v>
      </c>
    </row>
    <row r="1230" spans="2:2" x14ac:dyDescent="0.2">
      <c r="B1230" s="49" t="s">
        <v>933</v>
      </c>
    </row>
    <row r="1231" spans="2:2" x14ac:dyDescent="0.2">
      <c r="B1231" s="49" t="s">
        <v>934</v>
      </c>
    </row>
    <row r="1233" spans="2:2" x14ac:dyDescent="0.2">
      <c r="B1233" s="49" t="s">
        <v>935</v>
      </c>
    </row>
    <row r="1234" spans="2:2" x14ac:dyDescent="0.2">
      <c r="B1234" s="49" t="s">
        <v>936</v>
      </c>
    </row>
    <row r="1235" spans="2:2" x14ac:dyDescent="0.2">
      <c r="B1235" s="49" t="s">
        <v>962</v>
      </c>
    </row>
    <row r="1237" spans="2:2" x14ac:dyDescent="0.2">
      <c r="B1237" s="49" t="s">
        <v>938</v>
      </c>
    </row>
    <row r="1238" spans="2:2" x14ac:dyDescent="0.2">
      <c r="B1238" s="49" t="s">
        <v>972</v>
      </c>
    </row>
    <row r="1239" spans="2:2" x14ac:dyDescent="0.2">
      <c r="B1239" s="49" t="s">
        <v>973</v>
      </c>
    </row>
    <row r="1241" spans="2:2" x14ac:dyDescent="0.2">
      <c r="B1241" s="49" t="s">
        <v>941</v>
      </c>
    </row>
    <row r="1242" spans="2:2" x14ac:dyDescent="0.2">
      <c r="B1242" s="49" t="s">
        <v>991</v>
      </c>
    </row>
    <row r="1244" spans="2:2" x14ac:dyDescent="0.2">
      <c r="B1244" s="49" t="s">
        <v>964</v>
      </c>
    </row>
    <row r="1245" spans="2:2" x14ac:dyDescent="0.2">
      <c r="B1245" s="49" t="s">
        <v>965</v>
      </c>
    </row>
    <row r="1247" spans="2:2" x14ac:dyDescent="0.2">
      <c r="B1247" s="49" t="s">
        <v>956</v>
      </c>
    </row>
    <row r="1248" spans="2:2" x14ac:dyDescent="0.2">
      <c r="B1248" s="49" t="s">
        <v>957</v>
      </c>
    </row>
    <row r="1249" spans="2:2" x14ac:dyDescent="0.2">
      <c r="B1249" s="49" t="s">
        <v>958</v>
      </c>
    </row>
    <row r="1250" spans="2:2" x14ac:dyDescent="0.2">
      <c r="B1250" s="49" t="s">
        <v>959</v>
      </c>
    </row>
    <row r="1251" spans="2:2" x14ac:dyDescent="0.2">
      <c r="B1251" s="48" t="s">
        <v>450</v>
      </c>
    </row>
    <row r="1252" spans="2:2" x14ac:dyDescent="0.2">
      <c r="B1252" s="49" t="s">
        <v>992</v>
      </c>
    </row>
    <row r="1253" spans="2:2" x14ac:dyDescent="0.2">
      <c r="B1253" s="49" t="s">
        <v>993</v>
      </c>
    </row>
    <row r="1254" spans="2:2" x14ac:dyDescent="0.2">
      <c r="B1254" s="49" t="s">
        <v>951</v>
      </c>
    </row>
    <row r="1255" spans="2:2" x14ac:dyDescent="0.2">
      <c r="B1255" s="49" t="s">
        <v>952</v>
      </c>
    </row>
    <row r="1256" spans="2:2" x14ac:dyDescent="0.2">
      <c r="B1256" s="49" t="s">
        <v>935</v>
      </c>
    </row>
    <row r="1257" spans="2:2" x14ac:dyDescent="0.2">
      <c r="B1257" s="49" t="s">
        <v>936</v>
      </c>
    </row>
    <row r="1258" spans="2:2" x14ac:dyDescent="0.2">
      <c r="B1258" s="49" t="s">
        <v>971</v>
      </c>
    </row>
    <row r="1259" spans="2:2" x14ac:dyDescent="0.2">
      <c r="B1259" s="49" t="s">
        <v>938</v>
      </c>
    </row>
    <row r="1260" spans="2:2" x14ac:dyDescent="0.2">
      <c r="B1260" s="49" t="s">
        <v>972</v>
      </c>
    </row>
    <row r="1261" spans="2:2" x14ac:dyDescent="0.2">
      <c r="B1261" s="49" t="s">
        <v>973</v>
      </c>
    </row>
    <row r="1262" spans="2:2" x14ac:dyDescent="0.2">
      <c r="B1262" s="49" t="s">
        <v>941</v>
      </c>
    </row>
    <row r="1263" spans="2:2" x14ac:dyDescent="0.2">
      <c r="B1263" s="49" t="s">
        <v>954</v>
      </c>
    </row>
    <row r="1264" spans="2:2" x14ac:dyDescent="0.2">
      <c r="B1264" s="49" t="s">
        <v>943</v>
      </c>
    </row>
    <row r="1265" spans="2:2" x14ac:dyDescent="0.2">
      <c r="B1265" s="49" t="s">
        <v>955</v>
      </c>
    </row>
    <row r="1266" spans="2:2" x14ac:dyDescent="0.2">
      <c r="B1266" s="49" t="s">
        <v>956</v>
      </c>
    </row>
    <row r="1267" spans="2:2" x14ac:dyDescent="0.2">
      <c r="B1267" s="49" t="s">
        <v>994</v>
      </c>
    </row>
    <row r="1268" spans="2:2" x14ac:dyDescent="0.2">
      <c r="B1268" s="49" t="s">
        <v>958</v>
      </c>
    </row>
    <row r="1269" spans="2:2" x14ac:dyDescent="0.2">
      <c r="B1269" s="49" t="s">
        <v>959</v>
      </c>
    </row>
    <row r="1270" spans="2:2" x14ac:dyDescent="0.2">
      <c r="B1270" s="48" t="s">
        <v>450</v>
      </c>
    </row>
    <row r="1271" spans="2:2" x14ac:dyDescent="0.2">
      <c r="B1271" s="49" t="s">
        <v>995</v>
      </c>
    </row>
    <row r="1272" spans="2:2" x14ac:dyDescent="0.2">
      <c r="B1272" s="49" t="s">
        <v>996</v>
      </c>
    </row>
    <row r="1273" spans="2:2" x14ac:dyDescent="0.2">
      <c r="B1273" s="49" t="s">
        <v>933</v>
      </c>
    </row>
    <row r="1274" spans="2:2" x14ac:dyDescent="0.2">
      <c r="B1274" s="49" t="s">
        <v>934</v>
      </c>
    </row>
    <row r="1275" spans="2:2" x14ac:dyDescent="0.2">
      <c r="B1275" s="49" t="s">
        <v>935</v>
      </c>
    </row>
    <row r="1276" spans="2:2" x14ac:dyDescent="0.2">
      <c r="B1276" s="49" t="s">
        <v>936</v>
      </c>
    </row>
    <row r="1277" spans="2:2" x14ac:dyDescent="0.2">
      <c r="B1277" s="49" t="s">
        <v>937</v>
      </c>
    </row>
    <row r="1278" spans="2:2" x14ac:dyDescent="0.2">
      <c r="B1278" s="49" t="s">
        <v>938</v>
      </c>
    </row>
    <row r="1279" spans="2:2" x14ac:dyDescent="0.2">
      <c r="B1279" s="49" t="s">
        <v>972</v>
      </c>
    </row>
    <row r="1280" spans="2:2" x14ac:dyDescent="0.2">
      <c r="B1280" s="49" t="s">
        <v>973</v>
      </c>
    </row>
    <row r="1281" spans="2:2" x14ac:dyDescent="0.2">
      <c r="B1281" s="49" t="s">
        <v>941</v>
      </c>
    </row>
    <row r="1282" spans="2:2" x14ac:dyDescent="0.2">
      <c r="B1282" s="49" t="s">
        <v>942</v>
      </c>
    </row>
    <row r="1283" spans="2:2" x14ac:dyDescent="0.2">
      <c r="B1283" s="49" t="s">
        <v>943</v>
      </c>
    </row>
    <row r="1284" spans="2:2" x14ac:dyDescent="0.2">
      <c r="B1284" s="49" t="s">
        <v>944</v>
      </c>
    </row>
    <row r="1285" spans="2:2" x14ac:dyDescent="0.2">
      <c r="B1285" s="49" t="s">
        <v>945</v>
      </c>
    </row>
    <row r="1286" spans="2:2" x14ac:dyDescent="0.2">
      <c r="B1286" s="49" t="s">
        <v>997</v>
      </c>
    </row>
    <row r="1287" spans="2:2" x14ac:dyDescent="0.2">
      <c r="B1287" s="49" t="s">
        <v>947</v>
      </c>
    </row>
    <row r="1288" spans="2:2" x14ac:dyDescent="0.2">
      <c r="B1288" s="49" t="s">
        <v>948</v>
      </c>
    </row>
    <row r="1289" spans="2:2" x14ac:dyDescent="0.2">
      <c r="B1289" s="48" t="s">
        <v>450</v>
      </c>
    </row>
    <row r="1290" spans="2:2" x14ac:dyDescent="0.2">
      <c r="B1290" s="49" t="s">
        <v>998</v>
      </c>
    </row>
    <row r="1291" spans="2:2" x14ac:dyDescent="0.2">
      <c r="B1291" s="49" t="s">
        <v>999</v>
      </c>
    </row>
    <row r="1292" spans="2:2" x14ac:dyDescent="0.2">
      <c r="B1292" s="49" t="s">
        <v>951</v>
      </c>
    </row>
    <row r="1293" spans="2:2" x14ac:dyDescent="0.2">
      <c r="B1293" s="49" t="s">
        <v>952</v>
      </c>
    </row>
    <row r="1294" spans="2:2" x14ac:dyDescent="0.2">
      <c r="B1294" s="49" t="s">
        <v>935</v>
      </c>
    </row>
    <row r="1295" spans="2:2" x14ac:dyDescent="0.2">
      <c r="B1295" s="49" t="s">
        <v>936</v>
      </c>
    </row>
    <row r="1296" spans="2:2" x14ac:dyDescent="0.2">
      <c r="B1296" s="49" t="s">
        <v>962</v>
      </c>
    </row>
    <row r="1297" spans="2:2" x14ac:dyDescent="0.2">
      <c r="B1297" s="49" t="s">
        <v>938</v>
      </c>
    </row>
    <row r="1298" spans="2:2" x14ac:dyDescent="0.2">
      <c r="B1298" s="49" t="s">
        <v>972</v>
      </c>
    </row>
    <row r="1299" spans="2:2" x14ac:dyDescent="0.2">
      <c r="B1299" s="49" t="s">
        <v>973</v>
      </c>
    </row>
    <row r="1300" spans="2:2" x14ac:dyDescent="0.2">
      <c r="B1300" s="49" t="s">
        <v>941</v>
      </c>
    </row>
    <row r="1301" spans="2:2" x14ac:dyDescent="0.2">
      <c r="B1301" s="49" t="s">
        <v>963</v>
      </c>
    </row>
    <row r="1302" spans="2:2" x14ac:dyDescent="0.2">
      <c r="B1302" s="49" t="s">
        <v>943</v>
      </c>
    </row>
    <row r="1303" spans="2:2" x14ac:dyDescent="0.2">
      <c r="B1303" s="49" t="s">
        <v>1000</v>
      </c>
    </row>
    <row r="1304" spans="2:2" x14ac:dyDescent="0.2">
      <c r="B1304" s="49" t="s">
        <v>945</v>
      </c>
    </row>
    <row r="1305" spans="2:2" x14ac:dyDescent="0.2">
      <c r="B1305" s="49" t="s">
        <v>997</v>
      </c>
    </row>
    <row r="1306" spans="2:2" x14ac:dyDescent="0.2">
      <c r="B1306" s="49" t="s">
        <v>1001</v>
      </c>
    </row>
    <row r="1307" spans="2:2" x14ac:dyDescent="0.2">
      <c r="B1307" s="49" t="s">
        <v>1002</v>
      </c>
    </row>
    <row r="1308" spans="2:2" x14ac:dyDescent="0.2">
      <c r="B1308" s="48" t="s">
        <v>456</v>
      </c>
    </row>
    <row r="1309" spans="2:2" x14ac:dyDescent="0.2">
      <c r="B1309" s="48" t="s">
        <v>450</v>
      </c>
    </row>
    <row r="1311" spans="2:2" x14ac:dyDescent="0.2">
      <c r="B1311" s="49" t="s">
        <v>1003</v>
      </c>
    </row>
    <row r="1312" spans="2:2" x14ac:dyDescent="0.2">
      <c r="B1312" s="49" t="s">
        <v>931</v>
      </c>
    </row>
    <row r="1313" spans="2:2" x14ac:dyDescent="0.2">
      <c r="B1313" s="49" t="s">
        <v>1004</v>
      </c>
    </row>
    <row r="1314" spans="2:2" x14ac:dyDescent="0.2">
      <c r="B1314" s="49" t="s">
        <v>1005</v>
      </c>
    </row>
    <row r="1315" spans="2:2" x14ac:dyDescent="0.2">
      <c r="B1315" s="49" t="s">
        <v>1006</v>
      </c>
    </row>
    <row r="1316" spans="2:2" x14ac:dyDescent="0.2">
      <c r="B1316" s="49" t="s">
        <v>1007</v>
      </c>
    </row>
    <row r="1317" spans="2:2" x14ac:dyDescent="0.2">
      <c r="B1317" s="49" t="s">
        <v>1008</v>
      </c>
    </row>
    <row r="1318" spans="2:2" x14ac:dyDescent="0.2">
      <c r="B1318" s="49" t="s">
        <v>1009</v>
      </c>
    </row>
    <row r="1319" spans="2:2" x14ac:dyDescent="0.2">
      <c r="B1319" s="49" t="s">
        <v>1010</v>
      </c>
    </row>
    <row r="1320" spans="2:2" x14ac:dyDescent="0.2">
      <c r="B1320" s="49" t="s">
        <v>1011</v>
      </c>
    </row>
    <row r="1321" spans="2:2" x14ac:dyDescent="0.2">
      <c r="B1321" s="49" t="s">
        <v>443</v>
      </c>
    </row>
    <row r="1322" spans="2:2" x14ac:dyDescent="0.2">
      <c r="B1322" s="49" t="s">
        <v>1012</v>
      </c>
    </row>
    <row r="1323" spans="2:2" x14ac:dyDescent="0.2">
      <c r="B1323" s="49" t="s">
        <v>1013</v>
      </c>
    </row>
    <row r="1324" spans="2:2" x14ac:dyDescent="0.2">
      <c r="B1324" s="48" t="s">
        <v>450</v>
      </c>
    </row>
    <row r="1325" spans="2:2" x14ac:dyDescent="0.2">
      <c r="B1325" s="49" t="s">
        <v>1014</v>
      </c>
    </row>
    <row r="1326" spans="2:2" x14ac:dyDescent="0.2">
      <c r="B1326" s="49" t="s">
        <v>443</v>
      </c>
    </row>
    <row r="1327" spans="2:2" x14ac:dyDescent="0.2">
      <c r="B1327" s="49" t="s">
        <v>1015</v>
      </c>
    </row>
    <row r="1328" spans="2:2" x14ac:dyDescent="0.2">
      <c r="B1328" s="49" t="s">
        <v>1016</v>
      </c>
    </row>
    <row r="1329" spans="2:2" x14ac:dyDescent="0.2">
      <c r="B1329" s="49" t="s">
        <v>1017</v>
      </c>
    </row>
    <row r="1330" spans="2:2" x14ac:dyDescent="0.2">
      <c r="B1330" s="48" t="s">
        <v>456</v>
      </c>
    </row>
    <row r="1331" spans="2:2" x14ac:dyDescent="0.2">
      <c r="B1331" s="48" t="s">
        <v>450</v>
      </c>
    </row>
    <row r="1332" spans="2:2" x14ac:dyDescent="0.2">
      <c r="B1332" s="49" t="s">
        <v>949</v>
      </c>
    </row>
    <row r="1333" spans="2:2" x14ac:dyDescent="0.2">
      <c r="B1333" s="49" t="s">
        <v>1018</v>
      </c>
    </row>
    <row r="1334" spans="2:2" x14ac:dyDescent="0.2">
      <c r="B1334" s="49" t="s">
        <v>1005</v>
      </c>
    </row>
    <row r="1335" spans="2:2" x14ac:dyDescent="0.2">
      <c r="B1335" s="49" t="s">
        <v>1019</v>
      </c>
    </row>
    <row r="1336" spans="2:2" x14ac:dyDescent="0.2">
      <c r="B1336" s="49" t="s">
        <v>1020</v>
      </c>
    </row>
    <row r="1337" spans="2:2" x14ac:dyDescent="0.2">
      <c r="B1337" s="49" t="s">
        <v>1021</v>
      </c>
    </row>
    <row r="1338" spans="2:2" x14ac:dyDescent="0.2">
      <c r="B1338" s="49" t="s">
        <v>1022</v>
      </c>
    </row>
    <row r="1339" spans="2:2" x14ac:dyDescent="0.2">
      <c r="B1339" s="49" t="s">
        <v>1023</v>
      </c>
    </row>
    <row r="1340" spans="2:2" x14ac:dyDescent="0.2">
      <c r="B1340" s="48" t="s">
        <v>450</v>
      </c>
    </row>
    <row r="1341" spans="2:2" x14ac:dyDescent="0.2">
      <c r="B1341" s="49" t="s">
        <v>960</v>
      </c>
    </row>
    <row r="1342" spans="2:2" x14ac:dyDescent="0.2">
      <c r="B1342" s="49" t="s">
        <v>1024</v>
      </c>
    </row>
    <row r="1343" spans="2:2" x14ac:dyDescent="0.2">
      <c r="B1343" s="49" t="s">
        <v>1025</v>
      </c>
    </row>
    <row r="1344" spans="2:2" x14ac:dyDescent="0.2">
      <c r="B1344" s="49" t="s">
        <v>1026</v>
      </c>
    </row>
    <row r="1345" spans="2:2" x14ac:dyDescent="0.2">
      <c r="B1345" s="49" t="s">
        <v>1027</v>
      </c>
    </row>
    <row r="1346" spans="2:2" x14ac:dyDescent="0.2">
      <c r="B1346" s="49" t="s">
        <v>1021</v>
      </c>
    </row>
    <row r="1347" spans="2:2" x14ac:dyDescent="0.2">
      <c r="B1347" s="49" t="s">
        <v>1022</v>
      </c>
    </row>
    <row r="1348" spans="2:2" x14ac:dyDescent="0.2">
      <c r="B1348" s="49" t="s">
        <v>1028</v>
      </c>
    </row>
    <row r="1349" spans="2:2" x14ac:dyDescent="0.2">
      <c r="B1349" s="48" t="s">
        <v>450</v>
      </c>
    </row>
    <row r="1350" spans="2:2" x14ac:dyDescent="0.2">
      <c r="B1350" s="49" t="s">
        <v>966</v>
      </c>
    </row>
    <row r="1351" spans="2:2" x14ac:dyDescent="0.2">
      <c r="B1351" s="49" t="s">
        <v>1029</v>
      </c>
    </row>
    <row r="1352" spans="2:2" x14ac:dyDescent="0.2">
      <c r="B1352" s="49" t="s">
        <v>1005</v>
      </c>
    </row>
    <row r="1353" spans="2:2" x14ac:dyDescent="0.2">
      <c r="B1353" s="49" t="s">
        <v>1006</v>
      </c>
    </row>
    <row r="1354" spans="2:2" x14ac:dyDescent="0.2">
      <c r="B1354" s="49" t="s">
        <v>1007</v>
      </c>
    </row>
    <row r="1355" spans="2:2" x14ac:dyDescent="0.2">
      <c r="B1355" s="49" t="s">
        <v>1008</v>
      </c>
    </row>
    <row r="1356" spans="2:2" x14ac:dyDescent="0.2">
      <c r="B1356" s="49" t="s">
        <v>1009</v>
      </c>
    </row>
    <row r="1357" spans="2:2" x14ac:dyDescent="0.2">
      <c r="B1357" s="49" t="s">
        <v>1030</v>
      </c>
    </row>
    <row r="1358" spans="2:2" x14ac:dyDescent="0.2">
      <c r="B1358" s="48" t="s">
        <v>450</v>
      </c>
    </row>
    <row r="1359" spans="2:2" x14ac:dyDescent="0.2">
      <c r="B1359" s="49" t="s">
        <v>976</v>
      </c>
    </row>
    <row r="1360" spans="2:2" x14ac:dyDescent="0.2">
      <c r="B1360" s="49" t="s">
        <v>1031</v>
      </c>
    </row>
    <row r="1361" spans="2:2" x14ac:dyDescent="0.2">
      <c r="B1361" s="49" t="s">
        <v>1005</v>
      </c>
    </row>
    <row r="1362" spans="2:2" x14ac:dyDescent="0.2">
      <c r="B1362" s="49" t="s">
        <v>1032</v>
      </c>
    </row>
    <row r="1363" spans="2:2" x14ac:dyDescent="0.2">
      <c r="B1363" s="49" t="s">
        <v>1033</v>
      </c>
    </row>
    <row r="1364" spans="2:2" x14ac:dyDescent="0.2">
      <c r="B1364" s="49" t="s">
        <v>1021</v>
      </c>
    </row>
    <row r="1365" spans="2:2" x14ac:dyDescent="0.2">
      <c r="B1365" s="49" t="s">
        <v>1022</v>
      </c>
    </row>
    <row r="1366" spans="2:2" x14ac:dyDescent="0.2">
      <c r="B1366" s="49" t="s">
        <v>1034</v>
      </c>
    </row>
    <row r="1367" spans="2:2" x14ac:dyDescent="0.2">
      <c r="B1367" s="48" t="s">
        <v>456</v>
      </c>
    </row>
    <row r="1368" spans="2:2" x14ac:dyDescent="0.2">
      <c r="B1368" s="48" t="s">
        <v>456</v>
      </c>
    </row>
    <row r="1369" spans="2:2" x14ac:dyDescent="0.2">
      <c r="B1369" s="48" t="s">
        <v>450</v>
      </c>
    </row>
    <row r="1370" spans="2:2" x14ac:dyDescent="0.2">
      <c r="B1370" s="49" t="s">
        <v>1035</v>
      </c>
    </row>
    <row r="1371" spans="2:2" x14ac:dyDescent="0.2">
      <c r="B1371" s="49" t="s">
        <v>443</v>
      </c>
    </row>
    <row r="1372" spans="2:2" x14ac:dyDescent="0.2">
      <c r="B1372" s="49" t="s">
        <v>1036</v>
      </c>
    </row>
    <row r="1373" spans="2:2" x14ac:dyDescent="0.2">
      <c r="B1373" s="49" t="s">
        <v>1037</v>
      </c>
    </row>
    <row r="1374" spans="2:2" x14ac:dyDescent="0.2">
      <c r="B1374" s="49" t="s">
        <v>1038</v>
      </c>
    </row>
    <row r="1375" spans="2:2" x14ac:dyDescent="0.2">
      <c r="B1375" s="49" t="s">
        <v>1039</v>
      </c>
    </row>
    <row r="1376" spans="2:2" x14ac:dyDescent="0.2">
      <c r="B1376" s="49" t="s">
        <v>1040</v>
      </c>
    </row>
    <row r="1377" spans="2:2" x14ac:dyDescent="0.2">
      <c r="B1377" s="49" t="s">
        <v>1041</v>
      </c>
    </row>
    <row r="1378" spans="2:2" x14ac:dyDescent="0.2">
      <c r="B1378" s="48" t="s">
        <v>450</v>
      </c>
    </row>
    <row r="1379" spans="2:2" x14ac:dyDescent="0.2">
      <c r="B1379" s="49" t="s">
        <v>1042</v>
      </c>
    </row>
    <row r="1380" spans="2:2" x14ac:dyDescent="0.2">
      <c r="B1380" s="49" t="s">
        <v>443</v>
      </c>
    </row>
    <row r="1381" spans="2:2" x14ac:dyDescent="0.2">
      <c r="B1381" s="49" t="s">
        <v>1043</v>
      </c>
    </row>
    <row r="1382" spans="2:2" x14ac:dyDescent="0.2">
      <c r="B1382" s="49" t="s">
        <v>1044</v>
      </c>
    </row>
    <row r="1383" spans="2:2" x14ac:dyDescent="0.2">
      <c r="B1383" s="49" t="s">
        <v>1045</v>
      </c>
    </row>
    <row r="1384" spans="2:2" x14ac:dyDescent="0.2">
      <c r="B1384" s="49" t="s">
        <v>1046</v>
      </c>
    </row>
    <row r="1385" spans="2:2" x14ac:dyDescent="0.2">
      <c r="B1385" s="49" t="s">
        <v>1047</v>
      </c>
    </row>
    <row r="1386" spans="2:2" x14ac:dyDescent="0.2">
      <c r="B1386" s="49" t="s">
        <v>1048</v>
      </c>
    </row>
    <row r="1387" spans="2:2" x14ac:dyDescent="0.2">
      <c r="B1387" s="48" t="s">
        <v>450</v>
      </c>
    </row>
    <row r="1388" spans="2:2" x14ac:dyDescent="0.2">
      <c r="B1388" s="49" t="s">
        <v>1049</v>
      </c>
    </row>
    <row r="1389" spans="2:2" x14ac:dyDescent="0.2">
      <c r="B1389" s="49" t="s">
        <v>1050</v>
      </c>
    </row>
    <row r="1390" spans="2:2" x14ac:dyDescent="0.2">
      <c r="B1390" s="49" t="s">
        <v>1051</v>
      </c>
    </row>
    <row r="1391" spans="2:2" x14ac:dyDescent="0.2">
      <c r="B1391" s="48" t="s">
        <v>456</v>
      </c>
    </row>
    <row r="1392" spans="2:2" x14ac:dyDescent="0.2">
      <c r="B1392" s="48" t="s">
        <v>456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5CB42-0EC5-C043-B870-9459EBC45862}">
  <sheetPr codeName="Sheet5"/>
  <dimension ref="B2:C12"/>
  <sheetViews>
    <sheetView workbookViewId="0">
      <selection activeCell="B2" sqref="B2"/>
    </sheetView>
  </sheetViews>
  <sheetFormatPr baseColWidth="10" defaultRowHeight="16" x14ac:dyDescent="0.2"/>
  <sheetData>
    <row r="2" spans="2:3" x14ac:dyDescent="0.2">
      <c r="B2" s="51">
        <v>45834</v>
      </c>
    </row>
    <row r="4" spans="2:3" ht="24" x14ac:dyDescent="0.3">
      <c r="B4" s="52" t="s">
        <v>1052</v>
      </c>
    </row>
    <row r="6" spans="2:3" x14ac:dyDescent="0.2">
      <c r="B6" s="45" t="s">
        <v>1053</v>
      </c>
      <c r="C6" s="45" t="s">
        <v>1054</v>
      </c>
    </row>
    <row r="7" spans="2:3" x14ac:dyDescent="0.2">
      <c r="B7" t="s">
        <v>1055</v>
      </c>
      <c r="C7" t="s">
        <v>1056</v>
      </c>
    </row>
    <row r="8" spans="2:3" ht="17" x14ac:dyDescent="0.25">
      <c r="B8" t="s">
        <v>1057</v>
      </c>
      <c r="C8" t="s">
        <v>1058</v>
      </c>
    </row>
    <row r="9" spans="2:3" x14ac:dyDescent="0.2">
      <c r="B9" t="s">
        <v>1059</v>
      </c>
      <c r="C9" t="s">
        <v>1060</v>
      </c>
    </row>
    <row r="10" spans="2:3" x14ac:dyDescent="0.2">
      <c r="B10" t="s">
        <v>1061</v>
      </c>
      <c r="C10" t="s">
        <v>1062</v>
      </c>
    </row>
    <row r="11" spans="2:3" x14ac:dyDescent="0.2">
      <c r="B11" t="s">
        <v>1063</v>
      </c>
      <c r="C11" t="s">
        <v>1064</v>
      </c>
    </row>
    <row r="12" spans="2:3" x14ac:dyDescent="0.2">
      <c r="B12" t="s">
        <v>1065</v>
      </c>
      <c r="C12" t="s">
        <v>1066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27BC3-8AF0-8748-BA36-A331C2AFE531}">
  <sheetPr codeName="Sheet6"/>
  <dimension ref="B2:I154"/>
  <sheetViews>
    <sheetView topLeftCell="A50" workbookViewId="0">
      <selection activeCell="B66" sqref="B66"/>
    </sheetView>
  </sheetViews>
  <sheetFormatPr baseColWidth="10" defaultRowHeight="16" x14ac:dyDescent="0.2"/>
  <sheetData>
    <row r="2" spans="2:6" x14ac:dyDescent="0.2">
      <c r="B2" s="51">
        <v>45834</v>
      </c>
    </row>
    <row r="4" spans="2:6" x14ac:dyDescent="0.2">
      <c r="B4" t="s">
        <v>1067</v>
      </c>
    </row>
    <row r="5" spans="2:6" x14ac:dyDescent="0.2">
      <c r="B5" t="s">
        <v>1068</v>
      </c>
    </row>
    <row r="8" spans="2:6" ht="19" x14ac:dyDescent="0.25">
      <c r="B8" s="44" t="s">
        <v>1069</v>
      </c>
    </row>
    <row r="10" spans="2:6" x14ac:dyDescent="0.2">
      <c r="B10" s="45" t="s">
        <v>1070</v>
      </c>
      <c r="C10" s="45" t="s">
        <v>1071</v>
      </c>
      <c r="D10" s="45" t="s">
        <v>1072</v>
      </c>
      <c r="E10" s="45" t="s">
        <v>1073</v>
      </c>
      <c r="F10" s="45" t="s">
        <v>1074</v>
      </c>
    </row>
    <row r="11" spans="2:6" x14ac:dyDescent="0.2">
      <c r="B11" s="45" t="s">
        <v>1075</v>
      </c>
      <c r="C11" t="s">
        <v>1076</v>
      </c>
      <c r="D11" t="s">
        <v>1077</v>
      </c>
      <c r="E11" t="s">
        <v>1078</v>
      </c>
      <c r="F11" t="s">
        <v>1079</v>
      </c>
    </row>
    <row r="12" spans="2:6" x14ac:dyDescent="0.2">
      <c r="B12" s="45" t="s">
        <v>1080</v>
      </c>
      <c r="C12" t="s">
        <v>1081</v>
      </c>
      <c r="D12" t="s">
        <v>1082</v>
      </c>
      <c r="E12" t="s">
        <v>1083</v>
      </c>
      <c r="F12" t="s">
        <v>1084</v>
      </c>
    </row>
    <row r="13" spans="2:6" x14ac:dyDescent="0.2">
      <c r="B13" s="45" t="s">
        <v>1085</v>
      </c>
      <c r="C13" t="s">
        <v>1086</v>
      </c>
      <c r="D13" t="s">
        <v>1082</v>
      </c>
      <c r="E13" t="s">
        <v>1087</v>
      </c>
      <c r="F13" t="s">
        <v>1088</v>
      </c>
    </row>
    <row r="14" spans="2:6" x14ac:dyDescent="0.2">
      <c r="B14" s="45" t="s">
        <v>1089</v>
      </c>
      <c r="C14" t="s">
        <v>1086</v>
      </c>
      <c r="D14" t="s">
        <v>1082</v>
      </c>
      <c r="E14" t="s">
        <v>1087</v>
      </c>
      <c r="F14" t="s">
        <v>1088</v>
      </c>
    </row>
    <row r="17" spans="2:6" ht="19" x14ac:dyDescent="0.25">
      <c r="B17" s="44" t="s">
        <v>1090</v>
      </c>
    </row>
    <row r="19" spans="2:6" x14ac:dyDescent="0.2">
      <c r="B19" s="45" t="s">
        <v>1070</v>
      </c>
      <c r="C19" s="45" t="s">
        <v>1071</v>
      </c>
      <c r="D19" s="45" t="s">
        <v>1072</v>
      </c>
      <c r="E19" s="45" t="s">
        <v>1073</v>
      </c>
      <c r="F19" s="45" t="s">
        <v>1074</v>
      </c>
    </row>
    <row r="20" spans="2:6" x14ac:dyDescent="0.2">
      <c r="B20" s="45" t="s">
        <v>285</v>
      </c>
      <c r="C20" t="s">
        <v>1091</v>
      </c>
      <c r="D20" t="s">
        <v>1092</v>
      </c>
      <c r="E20" t="s">
        <v>1093</v>
      </c>
      <c r="F20" t="s">
        <v>1094</v>
      </c>
    </row>
    <row r="21" spans="2:6" x14ac:dyDescent="0.2">
      <c r="B21" s="45" t="s">
        <v>1095</v>
      </c>
      <c r="C21" t="s">
        <v>1091</v>
      </c>
      <c r="D21" t="s">
        <v>1092</v>
      </c>
      <c r="E21" t="s">
        <v>1093</v>
      </c>
      <c r="F21" t="s">
        <v>1094</v>
      </c>
    </row>
    <row r="22" spans="2:6" x14ac:dyDescent="0.2">
      <c r="B22" s="45" t="s">
        <v>1096</v>
      </c>
      <c r="C22" t="s">
        <v>1091</v>
      </c>
      <c r="D22" t="s">
        <v>1092</v>
      </c>
      <c r="E22" t="s">
        <v>1093</v>
      </c>
      <c r="F22" t="s">
        <v>1094</v>
      </c>
    </row>
    <row r="23" spans="2:6" x14ac:dyDescent="0.2">
      <c r="B23" s="45" t="s">
        <v>1097</v>
      </c>
      <c r="C23" t="s">
        <v>1091</v>
      </c>
      <c r="D23" t="s">
        <v>1092</v>
      </c>
      <c r="E23" t="s">
        <v>1093</v>
      </c>
      <c r="F23" t="s">
        <v>1094</v>
      </c>
    </row>
    <row r="26" spans="2:6" ht="19" x14ac:dyDescent="0.25">
      <c r="B26" s="44" t="s">
        <v>1098</v>
      </c>
    </row>
    <row r="28" spans="2:6" x14ac:dyDescent="0.2">
      <c r="B28" s="45" t="s">
        <v>1070</v>
      </c>
      <c r="C28" s="45" t="s">
        <v>1071</v>
      </c>
      <c r="D28" s="45" t="s">
        <v>1072</v>
      </c>
      <c r="E28" s="45" t="s">
        <v>1073</v>
      </c>
      <c r="F28" s="45" t="s">
        <v>1074</v>
      </c>
    </row>
    <row r="29" spans="2:6" x14ac:dyDescent="0.2">
      <c r="B29" s="45" t="s">
        <v>285</v>
      </c>
      <c r="C29" t="s">
        <v>1099</v>
      </c>
      <c r="D29" t="s">
        <v>1100</v>
      </c>
      <c r="E29" t="s">
        <v>1101</v>
      </c>
      <c r="F29" t="s">
        <v>1102</v>
      </c>
    </row>
    <row r="30" spans="2:6" x14ac:dyDescent="0.2">
      <c r="B30" s="45" t="s">
        <v>1095</v>
      </c>
      <c r="C30" t="s">
        <v>1103</v>
      </c>
      <c r="D30" t="s">
        <v>1104</v>
      </c>
      <c r="E30" t="s">
        <v>1105</v>
      </c>
      <c r="F30" t="s">
        <v>1106</v>
      </c>
    </row>
    <row r="31" spans="2:6" x14ac:dyDescent="0.2">
      <c r="B31" s="45" t="s">
        <v>1096</v>
      </c>
      <c r="C31" t="s">
        <v>1103</v>
      </c>
      <c r="D31" t="s">
        <v>1104</v>
      </c>
      <c r="E31" t="s">
        <v>1105</v>
      </c>
      <c r="F31" t="s">
        <v>1106</v>
      </c>
    </row>
    <row r="32" spans="2:6" x14ac:dyDescent="0.2">
      <c r="B32" s="45" t="s">
        <v>1097</v>
      </c>
      <c r="C32" t="s">
        <v>1103</v>
      </c>
      <c r="D32" t="s">
        <v>1104</v>
      </c>
      <c r="E32" t="s">
        <v>1105</v>
      </c>
      <c r="F32" t="s">
        <v>1106</v>
      </c>
    </row>
    <row r="35" spans="2:6" ht="19" x14ac:dyDescent="0.25">
      <c r="B35" s="44" t="s">
        <v>1107</v>
      </c>
    </row>
    <row r="37" spans="2:6" x14ac:dyDescent="0.2">
      <c r="B37" s="45" t="s">
        <v>1070</v>
      </c>
      <c r="C37" s="45" t="s">
        <v>1071</v>
      </c>
      <c r="D37" s="45" t="s">
        <v>1072</v>
      </c>
      <c r="E37" s="45" t="s">
        <v>1073</v>
      </c>
      <c r="F37" s="45" t="s">
        <v>1074</v>
      </c>
    </row>
    <row r="38" spans="2:6" x14ac:dyDescent="0.2">
      <c r="B38" s="45" t="s">
        <v>285</v>
      </c>
      <c r="C38" t="s">
        <v>1108</v>
      </c>
      <c r="D38" t="s">
        <v>1109</v>
      </c>
      <c r="E38" t="s">
        <v>1110</v>
      </c>
      <c r="F38" t="s">
        <v>1111</v>
      </c>
    </row>
    <row r="39" spans="2:6" x14ac:dyDescent="0.2">
      <c r="B39" s="45" t="s">
        <v>1095</v>
      </c>
      <c r="C39" t="s">
        <v>1112</v>
      </c>
      <c r="D39" t="s">
        <v>1113</v>
      </c>
      <c r="E39" t="s">
        <v>1114</v>
      </c>
      <c r="F39" t="s">
        <v>1115</v>
      </c>
    </row>
    <row r="40" spans="2:6" x14ac:dyDescent="0.2">
      <c r="B40" s="45" t="s">
        <v>1096</v>
      </c>
      <c r="C40" t="s">
        <v>1112</v>
      </c>
      <c r="D40" t="s">
        <v>1113</v>
      </c>
      <c r="E40" t="s">
        <v>1114</v>
      </c>
      <c r="F40" t="s">
        <v>1115</v>
      </c>
    </row>
    <row r="41" spans="2:6" x14ac:dyDescent="0.2">
      <c r="B41" s="45" t="s">
        <v>1097</v>
      </c>
      <c r="C41" t="s">
        <v>1112</v>
      </c>
      <c r="D41" t="s">
        <v>1113</v>
      </c>
      <c r="E41" t="s">
        <v>1114</v>
      </c>
      <c r="F41" t="s">
        <v>1115</v>
      </c>
    </row>
    <row r="44" spans="2:6" ht="19" x14ac:dyDescent="0.25">
      <c r="B44" s="44" t="s">
        <v>1116</v>
      </c>
    </row>
    <row r="46" spans="2:6" x14ac:dyDescent="0.2">
      <c r="B46" s="45" t="s">
        <v>1070</v>
      </c>
      <c r="C46" s="45" t="s">
        <v>1071</v>
      </c>
      <c r="D46" s="45" t="s">
        <v>1072</v>
      </c>
      <c r="E46" s="45" t="s">
        <v>1073</v>
      </c>
      <c r="F46" s="45" t="s">
        <v>1074</v>
      </c>
    </row>
    <row r="47" spans="2:6" x14ac:dyDescent="0.2">
      <c r="B47" s="45" t="s">
        <v>285</v>
      </c>
      <c r="C47" t="s">
        <v>1117</v>
      </c>
      <c r="D47" t="s">
        <v>1118</v>
      </c>
      <c r="E47" t="s">
        <v>1119</v>
      </c>
      <c r="F47" t="s">
        <v>1120</v>
      </c>
    </row>
    <row r="48" spans="2:6" x14ac:dyDescent="0.2">
      <c r="B48" s="45" t="s">
        <v>1095</v>
      </c>
      <c r="C48" t="s">
        <v>1121</v>
      </c>
      <c r="D48" t="s">
        <v>1118</v>
      </c>
      <c r="E48" t="s">
        <v>1122</v>
      </c>
      <c r="F48" t="s">
        <v>1123</v>
      </c>
    </row>
    <row r="49" spans="2:6" x14ac:dyDescent="0.2">
      <c r="B49" s="45" t="s">
        <v>1096</v>
      </c>
      <c r="C49" t="s">
        <v>1121</v>
      </c>
      <c r="D49" t="s">
        <v>1118</v>
      </c>
      <c r="E49" t="s">
        <v>1122</v>
      </c>
      <c r="F49" t="s">
        <v>1123</v>
      </c>
    </row>
    <row r="50" spans="2:6" x14ac:dyDescent="0.2">
      <c r="B50" s="45" t="s">
        <v>1097</v>
      </c>
      <c r="C50" t="s">
        <v>1121</v>
      </c>
      <c r="D50" t="s">
        <v>1118</v>
      </c>
      <c r="E50" t="s">
        <v>1122</v>
      </c>
      <c r="F50" t="s">
        <v>1123</v>
      </c>
    </row>
    <row r="53" spans="2:6" ht="19" x14ac:dyDescent="0.25">
      <c r="B53" s="44" t="s">
        <v>1124</v>
      </c>
    </row>
    <row r="55" spans="2:6" x14ac:dyDescent="0.2">
      <c r="B55" s="45" t="s">
        <v>1070</v>
      </c>
      <c r="C55" s="45" t="s">
        <v>1071</v>
      </c>
      <c r="D55" s="45" t="s">
        <v>1072</v>
      </c>
      <c r="E55" s="45" t="s">
        <v>1073</v>
      </c>
      <c r="F55" s="45" t="s">
        <v>1074</v>
      </c>
    </row>
    <row r="56" spans="2:6" x14ac:dyDescent="0.2">
      <c r="B56" s="45" t="s">
        <v>285</v>
      </c>
      <c r="C56" t="s">
        <v>1125</v>
      </c>
      <c r="D56" t="s">
        <v>1126</v>
      </c>
      <c r="E56" t="s">
        <v>1127</v>
      </c>
      <c r="F56" t="s">
        <v>1128</v>
      </c>
    </row>
    <row r="57" spans="2:6" x14ac:dyDescent="0.2">
      <c r="B57" s="45" t="s">
        <v>1095</v>
      </c>
      <c r="C57" t="s">
        <v>1129</v>
      </c>
      <c r="D57" t="s">
        <v>1126</v>
      </c>
      <c r="E57" t="s">
        <v>1130</v>
      </c>
      <c r="F57" t="s">
        <v>1131</v>
      </c>
    </row>
    <row r="58" spans="2:6" x14ac:dyDescent="0.2">
      <c r="B58" s="45" t="s">
        <v>1096</v>
      </c>
      <c r="C58" t="s">
        <v>1129</v>
      </c>
      <c r="D58" t="s">
        <v>1126</v>
      </c>
      <c r="E58" t="s">
        <v>1130</v>
      </c>
      <c r="F58" t="s">
        <v>1131</v>
      </c>
    </row>
    <row r="59" spans="2:6" x14ac:dyDescent="0.2">
      <c r="B59" s="45" t="s">
        <v>1097</v>
      </c>
      <c r="C59" t="s">
        <v>1129</v>
      </c>
      <c r="D59" t="s">
        <v>1126</v>
      </c>
      <c r="E59" t="s">
        <v>1130</v>
      </c>
      <c r="F59" t="s">
        <v>1131</v>
      </c>
    </row>
    <row r="62" spans="2:6" x14ac:dyDescent="0.2">
      <c r="B62" t="s">
        <v>1132</v>
      </c>
    </row>
    <row r="66" spans="2:8" x14ac:dyDescent="0.2">
      <c r="B66" t="s">
        <v>1133</v>
      </c>
    </row>
    <row r="70" spans="2:8" ht="19" x14ac:dyDescent="0.25">
      <c r="B70" s="44" t="s">
        <v>1134</v>
      </c>
    </row>
    <row r="72" spans="2:8" ht="17" x14ac:dyDescent="0.25">
      <c r="B72" s="45" t="s">
        <v>1135</v>
      </c>
      <c r="C72" s="53" t="s">
        <v>1136</v>
      </c>
      <c r="D72" s="45" t="s">
        <v>397</v>
      </c>
      <c r="E72" s="45" t="s">
        <v>399</v>
      </c>
      <c r="F72" s="45" t="s">
        <v>1137</v>
      </c>
      <c r="G72" s="45" t="s">
        <v>1138</v>
      </c>
      <c r="H72" s="45" t="s">
        <v>108</v>
      </c>
    </row>
    <row r="73" spans="2:8" ht="17" x14ac:dyDescent="0.25">
      <c r="B73" t="s">
        <v>1139</v>
      </c>
      <c r="C73">
        <v>1.5</v>
      </c>
      <c r="D73" s="46" t="s">
        <v>412</v>
      </c>
      <c r="E73" t="s">
        <v>1140</v>
      </c>
      <c r="F73">
        <v>1.5</v>
      </c>
      <c r="G73" t="s">
        <v>1141</v>
      </c>
      <c r="H73" t="s">
        <v>1142</v>
      </c>
    </row>
    <row r="74" spans="2:8" ht="17" x14ac:dyDescent="0.25">
      <c r="B74" t="s">
        <v>1143</v>
      </c>
      <c r="C74">
        <v>1.5</v>
      </c>
      <c r="D74" s="46" t="s">
        <v>405</v>
      </c>
      <c r="E74" t="s">
        <v>1144</v>
      </c>
      <c r="F74">
        <v>1.5</v>
      </c>
      <c r="G74" s="54">
        <v>0.7</v>
      </c>
      <c r="H74" t="s">
        <v>1145</v>
      </c>
    </row>
    <row r="75" spans="2:8" ht="17" x14ac:dyDescent="0.25">
      <c r="B75" t="s">
        <v>1146</v>
      </c>
      <c r="C75">
        <v>2.5</v>
      </c>
      <c r="D75" s="46" t="s">
        <v>405</v>
      </c>
      <c r="E75" t="s">
        <v>1144</v>
      </c>
      <c r="F75">
        <v>2.5</v>
      </c>
      <c r="G75" s="54">
        <v>0.7</v>
      </c>
      <c r="H75" t="s">
        <v>1147</v>
      </c>
    </row>
    <row r="78" spans="2:8" ht="19" x14ac:dyDescent="0.25">
      <c r="B78" s="44" t="s">
        <v>1148</v>
      </c>
    </row>
    <row r="80" spans="2:8" x14ac:dyDescent="0.2">
      <c r="B80" s="45" t="s">
        <v>1149</v>
      </c>
    </row>
    <row r="82" spans="2:9" x14ac:dyDescent="0.2">
      <c r="B82" s="45" t="s">
        <v>1150</v>
      </c>
      <c r="C82" s="45" t="s">
        <v>1151</v>
      </c>
      <c r="D82" s="45" t="s">
        <v>1152</v>
      </c>
      <c r="E82" s="45" t="s">
        <v>1153</v>
      </c>
      <c r="F82" s="45" t="s">
        <v>1154</v>
      </c>
      <c r="G82" s="45" t="s">
        <v>1155</v>
      </c>
      <c r="H82" s="45" t="s">
        <v>1156</v>
      </c>
      <c r="I82" s="45" t="s">
        <v>1157</v>
      </c>
    </row>
    <row r="83" spans="2:9" x14ac:dyDescent="0.2">
      <c r="B83" t="s">
        <v>1139</v>
      </c>
      <c r="C83">
        <v>213.6</v>
      </c>
      <c r="D83">
        <v>4.21</v>
      </c>
      <c r="E83" s="55">
        <v>0.58799999999999997</v>
      </c>
      <c r="F83">
        <v>12.56</v>
      </c>
      <c r="G83">
        <v>1.29</v>
      </c>
      <c r="H83">
        <v>0.63</v>
      </c>
      <c r="I83" s="55">
        <v>0.21360000000000001</v>
      </c>
    </row>
    <row r="84" spans="2:9" x14ac:dyDescent="0.2">
      <c r="B84" t="s">
        <v>1143</v>
      </c>
      <c r="C84">
        <v>213.6</v>
      </c>
      <c r="D84">
        <v>4.21</v>
      </c>
      <c r="E84" s="55">
        <v>0.58799999999999997</v>
      </c>
      <c r="F84">
        <v>12.56</v>
      </c>
      <c r="G84">
        <v>1.29</v>
      </c>
      <c r="H84">
        <v>0.63</v>
      </c>
      <c r="I84" s="55">
        <v>0.21360000000000001</v>
      </c>
    </row>
    <row r="85" spans="2:9" x14ac:dyDescent="0.2">
      <c r="B85" t="s">
        <v>1146</v>
      </c>
      <c r="C85">
        <v>268.43</v>
      </c>
      <c r="D85">
        <v>5.07</v>
      </c>
      <c r="E85" s="55">
        <v>0.56200000000000006</v>
      </c>
      <c r="F85">
        <v>16.78</v>
      </c>
      <c r="G85">
        <v>1.69</v>
      </c>
      <c r="H85">
        <v>0.63</v>
      </c>
      <c r="I85" t="s">
        <v>1158</v>
      </c>
    </row>
    <row r="87" spans="2:9" x14ac:dyDescent="0.2">
      <c r="B87" t="s">
        <v>1159</v>
      </c>
    </row>
    <row r="91" spans="2:9" x14ac:dyDescent="0.2">
      <c r="B91" s="45" t="s">
        <v>1160</v>
      </c>
    </row>
    <row r="93" spans="2:9" x14ac:dyDescent="0.2">
      <c r="B93" s="45" t="s">
        <v>1150</v>
      </c>
      <c r="C93" s="45" t="s">
        <v>1151</v>
      </c>
      <c r="D93" s="45" t="s">
        <v>1152</v>
      </c>
      <c r="E93" s="45" t="s">
        <v>1153</v>
      </c>
      <c r="F93" s="45" t="s">
        <v>1155</v>
      </c>
      <c r="G93" s="45" t="s">
        <v>1156</v>
      </c>
      <c r="H93" s="45" t="s">
        <v>1157</v>
      </c>
    </row>
    <row r="94" spans="2:9" x14ac:dyDescent="0.2">
      <c r="B94" t="s">
        <v>1139</v>
      </c>
      <c r="C94">
        <v>27.4</v>
      </c>
      <c r="D94">
        <v>11.88</v>
      </c>
      <c r="E94" s="55">
        <v>0.5</v>
      </c>
      <c r="F94">
        <v>1.5</v>
      </c>
      <c r="G94">
        <v>0.6</v>
      </c>
      <c r="H94" s="55">
        <v>2.7400000000000001E-2</v>
      </c>
    </row>
    <row r="95" spans="2:9" x14ac:dyDescent="0.2">
      <c r="B95" t="s">
        <v>1143</v>
      </c>
      <c r="C95">
        <v>27.4</v>
      </c>
      <c r="D95">
        <v>11.88</v>
      </c>
      <c r="E95" s="55">
        <v>0.5</v>
      </c>
      <c r="F95">
        <v>1.5</v>
      </c>
      <c r="G95">
        <v>0.6</v>
      </c>
      <c r="H95" s="55">
        <v>2.7400000000000001E-2</v>
      </c>
    </row>
    <row r="96" spans="2:9" x14ac:dyDescent="0.2">
      <c r="B96" t="s">
        <v>1146</v>
      </c>
      <c r="C96">
        <v>-22.47</v>
      </c>
      <c r="D96">
        <v>0</v>
      </c>
      <c r="E96" s="55">
        <v>0</v>
      </c>
      <c r="F96">
        <v>0</v>
      </c>
      <c r="G96">
        <v>-0.91</v>
      </c>
      <c r="H96" t="s">
        <v>1161</v>
      </c>
    </row>
    <row r="98" spans="2:9" x14ac:dyDescent="0.2">
      <c r="B98" t="s">
        <v>1162</v>
      </c>
    </row>
    <row r="102" spans="2:9" x14ac:dyDescent="0.2">
      <c r="B102" s="45" t="s">
        <v>1163</v>
      </c>
    </row>
    <row r="104" spans="2:9" x14ac:dyDescent="0.2">
      <c r="B104" s="45" t="s">
        <v>1150</v>
      </c>
      <c r="C104" s="45" t="s">
        <v>1151</v>
      </c>
      <c r="D104" s="45" t="s">
        <v>1152</v>
      </c>
      <c r="E104" s="45" t="s">
        <v>1153</v>
      </c>
      <c r="F104" s="45" t="s">
        <v>1164</v>
      </c>
      <c r="G104" s="45" t="s">
        <v>1156</v>
      </c>
      <c r="H104" s="45" t="s">
        <v>1157</v>
      </c>
      <c r="I104" s="45" t="s">
        <v>1165</v>
      </c>
    </row>
    <row r="105" spans="2:9" x14ac:dyDescent="0.2">
      <c r="B105" t="s">
        <v>1139</v>
      </c>
      <c r="C105">
        <v>117.65</v>
      </c>
      <c r="D105">
        <v>1.6</v>
      </c>
      <c r="E105" s="55">
        <v>0.36699999999999999</v>
      </c>
      <c r="F105">
        <v>1.5</v>
      </c>
      <c r="G105">
        <v>0.2</v>
      </c>
      <c r="H105" s="55">
        <v>0.1176</v>
      </c>
      <c r="I105" s="55">
        <v>-7.3899999999999993E-2</v>
      </c>
    </row>
    <row r="106" spans="2:9" x14ac:dyDescent="0.2">
      <c r="B106" t="s">
        <v>1143</v>
      </c>
      <c r="C106">
        <v>117.65</v>
      </c>
      <c r="D106">
        <v>1.6</v>
      </c>
      <c r="E106" s="55">
        <v>0.36699999999999999</v>
      </c>
      <c r="F106">
        <v>1.5</v>
      </c>
      <c r="G106">
        <v>0.2</v>
      </c>
      <c r="H106" s="55">
        <v>0.1176</v>
      </c>
      <c r="I106" s="55">
        <v>-7.3899999999999993E-2</v>
      </c>
    </row>
    <row r="107" spans="2:9" x14ac:dyDescent="0.2">
      <c r="B107" t="s">
        <v>1146</v>
      </c>
      <c r="C107">
        <v>108.24</v>
      </c>
      <c r="D107">
        <v>1.46</v>
      </c>
      <c r="E107" s="55">
        <v>0.3</v>
      </c>
      <c r="F107">
        <v>2.23</v>
      </c>
      <c r="G107">
        <v>0.14000000000000001</v>
      </c>
      <c r="H107" s="55">
        <v>0.1082</v>
      </c>
      <c r="I107" t="s">
        <v>1166</v>
      </c>
    </row>
    <row r="109" spans="2:9" x14ac:dyDescent="0.2">
      <c r="B109" t="s">
        <v>1167</v>
      </c>
    </row>
    <row r="113" spans="2:8" x14ac:dyDescent="0.2">
      <c r="B113" s="45" t="s">
        <v>1168</v>
      </c>
    </row>
    <row r="115" spans="2:8" x14ac:dyDescent="0.2">
      <c r="B115" s="45" t="s">
        <v>1150</v>
      </c>
      <c r="C115" s="45" t="s">
        <v>1151</v>
      </c>
      <c r="D115" s="45" t="s">
        <v>1152</v>
      </c>
      <c r="E115" s="45" t="s">
        <v>1155</v>
      </c>
      <c r="F115" s="45" t="s">
        <v>1154</v>
      </c>
      <c r="G115" s="45" t="s">
        <v>1156</v>
      </c>
      <c r="H115" s="45" t="s">
        <v>1157</v>
      </c>
    </row>
    <row r="116" spans="2:8" x14ac:dyDescent="0.2">
      <c r="B116" t="s">
        <v>1139</v>
      </c>
      <c r="C116">
        <v>53.34</v>
      </c>
      <c r="D116">
        <v>1.71</v>
      </c>
      <c r="E116">
        <v>1.27</v>
      </c>
      <c r="F116">
        <v>4.8499999999999996</v>
      </c>
      <c r="G116">
        <v>0.23</v>
      </c>
      <c r="H116" s="55">
        <v>5.33E-2</v>
      </c>
    </row>
    <row r="117" spans="2:8" x14ac:dyDescent="0.2">
      <c r="B117" t="s">
        <v>1143</v>
      </c>
      <c r="C117">
        <v>53.34</v>
      </c>
      <c r="D117">
        <v>1.71</v>
      </c>
      <c r="E117">
        <v>1.27</v>
      </c>
      <c r="F117">
        <v>4.8499999999999996</v>
      </c>
      <c r="G117">
        <v>0.23</v>
      </c>
      <c r="H117" s="55">
        <v>5.33E-2</v>
      </c>
    </row>
    <row r="118" spans="2:8" x14ac:dyDescent="0.2">
      <c r="B118" t="s">
        <v>1146</v>
      </c>
      <c r="C118">
        <v>108.64</v>
      </c>
      <c r="D118">
        <v>2.4</v>
      </c>
      <c r="E118">
        <v>1.81</v>
      </c>
      <c r="F118">
        <v>9.8800000000000008</v>
      </c>
      <c r="G118">
        <v>0.35</v>
      </c>
      <c r="H118" t="s">
        <v>1169</v>
      </c>
    </row>
    <row r="120" spans="2:8" x14ac:dyDescent="0.2">
      <c r="B120" t="s">
        <v>1170</v>
      </c>
    </row>
    <row r="124" spans="2:8" x14ac:dyDescent="0.2">
      <c r="B124" s="45" t="s">
        <v>1171</v>
      </c>
    </row>
    <row r="126" spans="2:8" x14ac:dyDescent="0.2">
      <c r="B126" s="45" t="s">
        <v>1150</v>
      </c>
      <c r="C126" s="45" t="s">
        <v>1151</v>
      </c>
      <c r="D126" s="45" t="s">
        <v>1152</v>
      </c>
      <c r="E126" s="45" t="s">
        <v>1153</v>
      </c>
      <c r="F126" s="45" t="s">
        <v>1164</v>
      </c>
      <c r="G126" s="45" t="s">
        <v>1156</v>
      </c>
      <c r="H126" s="45" t="s">
        <v>1157</v>
      </c>
    </row>
    <row r="127" spans="2:8" x14ac:dyDescent="0.2">
      <c r="B127" t="s">
        <v>1139</v>
      </c>
      <c r="C127">
        <v>257.18</v>
      </c>
      <c r="D127">
        <v>7.9</v>
      </c>
      <c r="E127" s="55">
        <v>0.76900000000000002</v>
      </c>
      <c r="F127">
        <v>1.5</v>
      </c>
      <c r="G127">
        <v>1.03</v>
      </c>
      <c r="H127" s="55">
        <v>0.25719999999999998</v>
      </c>
    </row>
    <row r="128" spans="2:8" x14ac:dyDescent="0.2">
      <c r="B128" t="s">
        <v>1143</v>
      </c>
      <c r="C128">
        <v>257.18</v>
      </c>
      <c r="D128">
        <v>7.9</v>
      </c>
      <c r="E128" s="55">
        <v>0.76900000000000002</v>
      </c>
      <c r="F128">
        <v>1.5</v>
      </c>
      <c r="G128">
        <v>1.03</v>
      </c>
      <c r="H128" s="55">
        <v>0.25719999999999998</v>
      </c>
    </row>
    <row r="129" spans="2:8" x14ac:dyDescent="0.2">
      <c r="B129" t="s">
        <v>1146</v>
      </c>
      <c r="C129">
        <v>336.13</v>
      </c>
      <c r="D129">
        <v>9.6999999999999993</v>
      </c>
      <c r="E129" s="55">
        <v>0.75</v>
      </c>
      <c r="F129">
        <v>2.5</v>
      </c>
      <c r="G129">
        <v>0.97</v>
      </c>
      <c r="H129" t="s">
        <v>1172</v>
      </c>
    </row>
    <row r="131" spans="2:8" x14ac:dyDescent="0.2">
      <c r="B131" t="s">
        <v>1173</v>
      </c>
    </row>
    <row r="135" spans="2:8" x14ac:dyDescent="0.2">
      <c r="B135" s="45" t="s">
        <v>1174</v>
      </c>
    </row>
    <row r="137" spans="2:8" x14ac:dyDescent="0.2">
      <c r="B137" s="45" t="s">
        <v>1150</v>
      </c>
      <c r="C137" s="45" t="s">
        <v>1151</v>
      </c>
      <c r="D137" s="45" t="s">
        <v>1152</v>
      </c>
      <c r="E137" s="45" t="s">
        <v>1164</v>
      </c>
      <c r="F137" s="45" t="s">
        <v>1154</v>
      </c>
      <c r="G137" s="45" t="s">
        <v>1157</v>
      </c>
      <c r="H137" s="45" t="s">
        <v>1156</v>
      </c>
    </row>
    <row r="138" spans="2:8" x14ac:dyDescent="0.2">
      <c r="B138" t="s">
        <v>1139</v>
      </c>
      <c r="C138">
        <v>272.83</v>
      </c>
      <c r="D138">
        <v>4.09</v>
      </c>
      <c r="E138">
        <v>1.5</v>
      </c>
      <c r="F138">
        <v>11.86</v>
      </c>
      <c r="G138" s="55">
        <v>0.27279999999999999</v>
      </c>
      <c r="H138">
        <v>0.57999999999999996</v>
      </c>
    </row>
    <row r="139" spans="2:8" x14ac:dyDescent="0.2">
      <c r="B139" t="s">
        <v>1143</v>
      </c>
      <c r="C139">
        <v>272.83</v>
      </c>
      <c r="D139">
        <v>4.09</v>
      </c>
      <c r="E139">
        <v>1.5</v>
      </c>
      <c r="F139">
        <v>11.86</v>
      </c>
      <c r="G139" s="55">
        <v>0.27279999999999999</v>
      </c>
      <c r="H139">
        <v>0.57999999999999996</v>
      </c>
    </row>
    <row r="140" spans="2:8" x14ac:dyDescent="0.2">
      <c r="B140" t="s">
        <v>1146</v>
      </c>
      <c r="C140">
        <v>452.99</v>
      </c>
      <c r="D140">
        <v>5.83</v>
      </c>
      <c r="E140">
        <v>2.2400000000000002</v>
      </c>
      <c r="F140">
        <v>19.7</v>
      </c>
      <c r="G140" t="s">
        <v>1175</v>
      </c>
      <c r="H140" t="s">
        <v>1176</v>
      </c>
    </row>
    <row r="142" spans="2:8" x14ac:dyDescent="0.2">
      <c r="B142" t="s">
        <v>1177</v>
      </c>
    </row>
    <row r="146" spans="2:2" ht="19" x14ac:dyDescent="0.25">
      <c r="B146" s="44" t="s">
        <v>1178</v>
      </c>
    </row>
    <row r="148" spans="2:2" x14ac:dyDescent="0.2">
      <c r="B148" s="45" t="s">
        <v>1179</v>
      </c>
    </row>
    <row r="150" spans="2:2" x14ac:dyDescent="0.2">
      <c r="B150" s="45" t="s">
        <v>1180</v>
      </c>
    </row>
    <row r="152" spans="2:2" x14ac:dyDescent="0.2">
      <c r="B152" s="45" t="s">
        <v>1181</v>
      </c>
    </row>
    <row r="154" spans="2:2" ht="17" x14ac:dyDescent="0.25">
      <c r="B154" t="s">
        <v>1182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3E299-DB79-9343-9121-4FDA57DF7CBD}">
  <dimension ref="B2:F112"/>
  <sheetViews>
    <sheetView tabSelected="1" topLeftCell="A27" workbookViewId="0">
      <selection activeCell="B53" sqref="B53"/>
    </sheetView>
  </sheetViews>
  <sheetFormatPr baseColWidth="10" defaultRowHeight="16" x14ac:dyDescent="0.2"/>
  <cols>
    <col min="1" max="16384" width="10.83203125" style="246"/>
  </cols>
  <sheetData>
    <row r="2" spans="2:2" ht="30" x14ac:dyDescent="0.3">
      <c r="B2" s="245" t="s">
        <v>2130</v>
      </c>
    </row>
    <row r="4" spans="2:2" x14ac:dyDescent="0.2">
      <c r="B4" s="247" t="s">
        <v>2211</v>
      </c>
    </row>
    <row r="6" spans="2:2" ht="23" x14ac:dyDescent="0.25">
      <c r="B6" s="248" t="s">
        <v>2131</v>
      </c>
    </row>
    <row r="8" spans="2:2" x14ac:dyDescent="0.2">
      <c r="B8" s="247" t="s">
        <v>2212</v>
      </c>
    </row>
    <row r="10" spans="2:2" x14ac:dyDescent="0.2">
      <c r="B10" s="246" t="s">
        <v>2132</v>
      </c>
    </row>
    <row r="11" spans="2:2" x14ac:dyDescent="0.2">
      <c r="B11" s="246" t="s">
        <v>2213</v>
      </c>
    </row>
    <row r="12" spans="2:2" x14ac:dyDescent="0.2">
      <c r="B12" s="246" t="s">
        <v>2214</v>
      </c>
    </row>
    <row r="14" spans="2:2" x14ac:dyDescent="0.2">
      <c r="B14" s="246" t="s">
        <v>2133</v>
      </c>
    </row>
    <row r="15" spans="2:2" x14ac:dyDescent="0.2">
      <c r="B15" s="246" t="s">
        <v>2215</v>
      </c>
    </row>
    <row r="16" spans="2:2" x14ac:dyDescent="0.2">
      <c r="B16" s="246" t="s">
        <v>2216</v>
      </c>
    </row>
    <row r="18" spans="2:4" x14ac:dyDescent="0.2">
      <c r="B18" s="246" t="s">
        <v>2134</v>
      </c>
    </row>
    <row r="20" spans="2:4" ht="23" x14ac:dyDescent="0.25">
      <c r="B20" s="248" t="s">
        <v>2135</v>
      </c>
    </row>
    <row r="22" spans="2:4" x14ac:dyDescent="0.2">
      <c r="B22" s="246" t="s">
        <v>2136</v>
      </c>
    </row>
    <row r="24" spans="2:4" x14ac:dyDescent="0.2">
      <c r="B24" s="247" t="s">
        <v>2084</v>
      </c>
      <c r="C24" s="247" t="s">
        <v>2137</v>
      </c>
      <c r="D24" s="247" t="s">
        <v>2138</v>
      </c>
    </row>
    <row r="25" spans="2:4" x14ac:dyDescent="0.2">
      <c r="B25" s="246" t="s">
        <v>1869</v>
      </c>
      <c r="C25" s="246" t="s">
        <v>1216</v>
      </c>
      <c r="D25" s="246">
        <v>5</v>
      </c>
    </row>
    <row r="26" spans="2:4" x14ac:dyDescent="0.2">
      <c r="B26" s="246" t="s">
        <v>1870</v>
      </c>
      <c r="C26" s="246" t="s">
        <v>163</v>
      </c>
      <c r="D26" s="246">
        <v>13</v>
      </c>
    </row>
    <row r="27" spans="2:4" x14ac:dyDescent="0.2">
      <c r="B27" s="246" t="s">
        <v>1871</v>
      </c>
      <c r="C27" s="246" t="s">
        <v>2139</v>
      </c>
      <c r="D27" s="246">
        <v>34</v>
      </c>
    </row>
    <row r="28" spans="2:4" x14ac:dyDescent="0.2">
      <c r="B28" s="246" t="s">
        <v>1872</v>
      </c>
      <c r="C28" s="246" t="s">
        <v>119</v>
      </c>
      <c r="D28" s="246">
        <v>89</v>
      </c>
    </row>
    <row r="30" spans="2:4" x14ac:dyDescent="0.2">
      <c r="B30" s="246" t="s">
        <v>2217</v>
      </c>
    </row>
    <row r="32" spans="2:4" ht="18" x14ac:dyDescent="0.2">
      <c r="B32" s="249" t="s">
        <v>2140</v>
      </c>
    </row>
    <row r="34" spans="2:4" x14ac:dyDescent="0.2">
      <c r="B34" s="247" t="s">
        <v>1053</v>
      </c>
      <c r="C34" s="247" t="s">
        <v>2141</v>
      </c>
      <c r="D34" s="247" t="s">
        <v>2142</v>
      </c>
    </row>
    <row r="35" spans="2:4" x14ac:dyDescent="0.2">
      <c r="B35" s="246" t="s">
        <v>2143</v>
      </c>
      <c r="C35" s="246" t="s">
        <v>2144</v>
      </c>
      <c r="D35" s="246" t="s">
        <v>2145</v>
      </c>
    </row>
    <row r="36" spans="2:4" x14ac:dyDescent="0.2">
      <c r="B36" s="246" t="s">
        <v>2146</v>
      </c>
      <c r="C36" s="246" t="s">
        <v>2147</v>
      </c>
      <c r="D36" s="246" t="s">
        <v>2148</v>
      </c>
    </row>
    <row r="37" spans="2:4" x14ac:dyDescent="0.2">
      <c r="B37" s="246" t="s">
        <v>2149</v>
      </c>
      <c r="C37" s="246" t="s">
        <v>2150</v>
      </c>
      <c r="D37" s="246" t="s">
        <v>2151</v>
      </c>
    </row>
    <row r="39" spans="2:4" ht="18" x14ac:dyDescent="0.2">
      <c r="B39" s="249" t="s">
        <v>2152</v>
      </c>
    </row>
    <row r="41" spans="2:4" x14ac:dyDescent="0.2">
      <c r="B41" s="247" t="s">
        <v>1053</v>
      </c>
      <c r="C41" s="247" t="s">
        <v>2153</v>
      </c>
      <c r="D41" s="247" t="s">
        <v>2082</v>
      </c>
    </row>
    <row r="42" spans="2:4" x14ac:dyDescent="0.2">
      <c r="B42" s="246" t="s">
        <v>2154</v>
      </c>
      <c r="C42" s="246" t="s">
        <v>2155</v>
      </c>
      <c r="D42" s="246" t="s">
        <v>2156</v>
      </c>
    </row>
    <row r="43" spans="2:4" x14ac:dyDescent="0.2">
      <c r="B43" s="246" t="s">
        <v>2157</v>
      </c>
      <c r="C43" s="246" t="s">
        <v>2158</v>
      </c>
      <c r="D43" s="246" t="s">
        <v>2156</v>
      </c>
    </row>
    <row r="45" spans="2:4" x14ac:dyDescent="0.2">
      <c r="B45" s="246" t="s">
        <v>2218</v>
      </c>
    </row>
    <row r="47" spans="2:4" ht="23" x14ac:dyDescent="0.25">
      <c r="B47" s="248" t="s">
        <v>2159</v>
      </c>
    </row>
    <row r="49" spans="2:3" x14ac:dyDescent="0.2">
      <c r="B49" s="246" t="s">
        <v>2160</v>
      </c>
    </row>
    <row r="50" spans="2:3" x14ac:dyDescent="0.2">
      <c r="B50" s="246" t="s">
        <v>2219</v>
      </c>
    </row>
    <row r="51" spans="2:3" x14ac:dyDescent="0.2">
      <c r="B51" s="246" t="s">
        <v>2161</v>
      </c>
    </row>
    <row r="53" spans="2:3" x14ac:dyDescent="0.2">
      <c r="B53" s="247" t="s">
        <v>2162</v>
      </c>
      <c r="C53" s="247" t="s">
        <v>2163</v>
      </c>
    </row>
    <row r="54" spans="2:3" x14ac:dyDescent="0.2">
      <c r="B54" s="246" t="s">
        <v>157</v>
      </c>
      <c r="C54" s="246" t="s">
        <v>2164</v>
      </c>
    </row>
    <row r="55" spans="2:3" x14ac:dyDescent="0.2">
      <c r="B55" s="246" t="s">
        <v>160</v>
      </c>
      <c r="C55" s="246" t="s">
        <v>2226</v>
      </c>
    </row>
    <row r="56" spans="2:3" x14ac:dyDescent="0.2">
      <c r="B56" s="246" t="s">
        <v>2165</v>
      </c>
      <c r="C56" s="246" t="s">
        <v>2225</v>
      </c>
    </row>
    <row r="58" spans="2:3" ht="23" x14ac:dyDescent="0.25">
      <c r="B58" s="248" t="s">
        <v>2166</v>
      </c>
    </row>
    <row r="60" spans="2:3" x14ac:dyDescent="0.2">
      <c r="B60" s="246" t="s">
        <v>2167</v>
      </c>
    </row>
    <row r="61" spans="2:3" x14ac:dyDescent="0.2">
      <c r="B61" s="246" t="s">
        <v>2168</v>
      </c>
    </row>
    <row r="62" spans="2:3" x14ac:dyDescent="0.2">
      <c r="B62" s="246" t="s">
        <v>2169</v>
      </c>
    </row>
    <row r="63" spans="2:3" x14ac:dyDescent="0.2">
      <c r="B63" s="246" t="s">
        <v>2170</v>
      </c>
    </row>
    <row r="65" spans="2:2" ht="23" x14ac:dyDescent="0.25">
      <c r="B65" s="248" t="s">
        <v>2171</v>
      </c>
    </row>
    <row r="67" spans="2:2" x14ac:dyDescent="0.2">
      <c r="B67" s="246" t="s">
        <v>2172</v>
      </c>
    </row>
    <row r="68" spans="2:2" x14ac:dyDescent="0.2">
      <c r="B68" s="246" t="s">
        <v>2220</v>
      </c>
    </row>
    <row r="69" spans="2:2" x14ac:dyDescent="0.2">
      <c r="B69" s="246" t="s">
        <v>2221</v>
      </c>
    </row>
    <row r="70" spans="2:2" x14ac:dyDescent="0.2">
      <c r="B70" s="246" t="s">
        <v>2173</v>
      </c>
    </row>
    <row r="71" spans="2:2" x14ac:dyDescent="0.2">
      <c r="B71" s="246" t="s">
        <v>2174</v>
      </c>
    </row>
    <row r="73" spans="2:2" ht="23" x14ac:dyDescent="0.25">
      <c r="B73" s="248" t="s">
        <v>2175</v>
      </c>
    </row>
    <row r="75" spans="2:2" x14ac:dyDescent="0.2">
      <c r="B75" s="246" t="s">
        <v>2176</v>
      </c>
    </row>
    <row r="76" spans="2:2" x14ac:dyDescent="0.2">
      <c r="B76" s="246" t="s">
        <v>2177</v>
      </c>
    </row>
    <row r="77" spans="2:2" x14ac:dyDescent="0.2">
      <c r="B77" s="246" t="s">
        <v>2178</v>
      </c>
    </row>
    <row r="78" spans="2:2" x14ac:dyDescent="0.2">
      <c r="B78" s="246" t="s">
        <v>2179</v>
      </c>
    </row>
    <row r="79" spans="2:2" x14ac:dyDescent="0.2">
      <c r="B79" s="246" t="s">
        <v>2180</v>
      </c>
    </row>
    <row r="80" spans="2:2" x14ac:dyDescent="0.2">
      <c r="B80" s="246" t="s">
        <v>2181</v>
      </c>
    </row>
    <row r="81" spans="2:6" x14ac:dyDescent="0.2">
      <c r="B81" s="246" t="s">
        <v>2182</v>
      </c>
    </row>
    <row r="83" spans="2:6" ht="23" x14ac:dyDescent="0.25">
      <c r="B83" s="248" t="s">
        <v>2183</v>
      </c>
    </row>
    <row r="85" spans="2:6" x14ac:dyDescent="0.2">
      <c r="B85" s="247" t="s">
        <v>2162</v>
      </c>
      <c r="C85" s="247" t="s">
        <v>2184</v>
      </c>
      <c r="D85" s="247" t="s">
        <v>2185</v>
      </c>
      <c r="E85" s="247" t="s">
        <v>2186</v>
      </c>
      <c r="F85" s="247" t="s">
        <v>2187</v>
      </c>
    </row>
    <row r="86" spans="2:6" x14ac:dyDescent="0.2">
      <c r="B86" s="246" t="s">
        <v>157</v>
      </c>
      <c r="C86" s="246" t="s">
        <v>2188</v>
      </c>
      <c r="D86" s="246" t="s">
        <v>1870</v>
      </c>
      <c r="E86" s="246" t="s">
        <v>1869</v>
      </c>
      <c r="F86" s="246" t="s">
        <v>2189</v>
      </c>
    </row>
    <row r="87" spans="2:6" x14ac:dyDescent="0.2">
      <c r="B87" s="246" t="s">
        <v>160</v>
      </c>
      <c r="C87" s="246" t="s">
        <v>2188</v>
      </c>
      <c r="D87" s="246" t="s">
        <v>1871</v>
      </c>
      <c r="E87" s="246" t="s">
        <v>1870</v>
      </c>
      <c r="F87" s="246" t="s">
        <v>2189</v>
      </c>
    </row>
    <row r="88" spans="2:6" x14ac:dyDescent="0.2">
      <c r="B88" s="246" t="s">
        <v>2165</v>
      </c>
      <c r="C88" s="246" t="s">
        <v>2190</v>
      </c>
      <c r="D88" s="246" t="s">
        <v>1872</v>
      </c>
      <c r="E88" s="246" t="s">
        <v>1871</v>
      </c>
      <c r="F88" s="246" t="s">
        <v>2189</v>
      </c>
    </row>
    <row r="89" spans="2:6" x14ac:dyDescent="0.2">
      <c r="B89" s="246" t="s">
        <v>2191</v>
      </c>
    </row>
    <row r="91" spans="2:6" ht="23" x14ac:dyDescent="0.25">
      <c r="B91" s="248" t="s">
        <v>2192</v>
      </c>
    </row>
    <row r="93" spans="2:6" x14ac:dyDescent="0.2">
      <c r="B93" s="247" t="s">
        <v>2193</v>
      </c>
      <c r="C93" s="247" t="s">
        <v>2194</v>
      </c>
    </row>
    <row r="94" spans="2:6" x14ac:dyDescent="0.2">
      <c r="B94" s="246" t="s">
        <v>2195</v>
      </c>
      <c r="C94" s="246" t="s">
        <v>2196</v>
      </c>
    </row>
    <row r="95" spans="2:6" x14ac:dyDescent="0.2">
      <c r="B95" s="246" t="s">
        <v>2197</v>
      </c>
      <c r="C95" s="246" t="s">
        <v>2196</v>
      </c>
    </row>
    <row r="96" spans="2:6" x14ac:dyDescent="0.2">
      <c r="B96" s="246" t="s">
        <v>2198</v>
      </c>
      <c r="C96" s="246" t="s">
        <v>2199</v>
      </c>
    </row>
    <row r="97" spans="2:3" x14ac:dyDescent="0.2">
      <c r="B97" s="246" t="s">
        <v>2200</v>
      </c>
      <c r="C97" s="246" t="s">
        <v>2199</v>
      </c>
    </row>
    <row r="98" spans="2:3" x14ac:dyDescent="0.2">
      <c r="B98" s="246" t="s">
        <v>2201</v>
      </c>
      <c r="C98" s="246" t="s">
        <v>2202</v>
      </c>
    </row>
    <row r="100" spans="2:3" ht="23" x14ac:dyDescent="0.25">
      <c r="B100" s="248" t="s">
        <v>2203</v>
      </c>
    </row>
    <row r="102" spans="2:3" x14ac:dyDescent="0.2">
      <c r="B102" s="246" t="s">
        <v>2222</v>
      </c>
    </row>
    <row r="103" spans="2:3" x14ac:dyDescent="0.2">
      <c r="B103" s="246" t="s">
        <v>2223</v>
      </c>
    </row>
    <row r="104" spans="2:3" x14ac:dyDescent="0.2">
      <c r="B104" s="246" t="s">
        <v>2204</v>
      </c>
    </row>
    <row r="105" spans="2:3" x14ac:dyDescent="0.2">
      <c r="B105" s="246" t="s">
        <v>2205</v>
      </c>
    </row>
    <row r="106" spans="2:3" x14ac:dyDescent="0.2">
      <c r="B106" s="246" t="s">
        <v>2206</v>
      </c>
    </row>
    <row r="107" spans="2:3" x14ac:dyDescent="0.2">
      <c r="B107" s="246" t="s">
        <v>2207</v>
      </c>
    </row>
    <row r="108" spans="2:3" x14ac:dyDescent="0.2">
      <c r="B108" s="246" t="s">
        <v>2208</v>
      </c>
    </row>
    <row r="109" spans="2:3" x14ac:dyDescent="0.2">
      <c r="B109" s="246" t="s">
        <v>2209</v>
      </c>
    </row>
    <row r="111" spans="2:3" x14ac:dyDescent="0.2">
      <c r="B111" s="246" t="s">
        <v>2224</v>
      </c>
    </row>
    <row r="112" spans="2:3" x14ac:dyDescent="0.2">
      <c r="B112" s="246" t="s">
        <v>2210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5D1B-07A9-D34F-A5A3-43C452E043DE}">
  <dimension ref="B2:BC127"/>
  <sheetViews>
    <sheetView zoomScaleNormal="100" workbookViewId="0">
      <selection activeCell="B88" sqref="B88"/>
    </sheetView>
  </sheetViews>
  <sheetFormatPr baseColWidth="10" defaultColWidth="5.83203125" defaultRowHeight="16" x14ac:dyDescent="0.2"/>
  <cols>
    <col min="1" max="13" width="5.83203125" style="1"/>
    <col min="14" max="40" width="5.83203125" style="1" customWidth="1"/>
    <col min="41" max="16384" width="5.83203125" style="1"/>
  </cols>
  <sheetData>
    <row r="2" spans="2:55" x14ac:dyDescent="0.2">
      <c r="B2" s="16" t="s">
        <v>2086</v>
      </c>
      <c r="C2" s="16"/>
      <c r="D2" s="236">
        <v>1</v>
      </c>
    </row>
    <row r="4" spans="2:55" x14ac:dyDescent="0.2">
      <c r="B4" s="16" t="s">
        <v>40</v>
      </c>
      <c r="C4" s="16" t="s">
        <v>2066</v>
      </c>
      <c r="D4" s="16"/>
      <c r="E4" s="16"/>
      <c r="F4" s="16"/>
      <c r="G4" s="16"/>
      <c r="H4" s="16"/>
      <c r="I4" s="16"/>
      <c r="J4" s="16"/>
      <c r="K4" s="16"/>
      <c r="L4" s="16"/>
      <c r="M4" s="16"/>
      <c r="Y4" s="16" t="s">
        <v>2065</v>
      </c>
      <c r="Z4" s="16"/>
      <c r="AA4" s="16"/>
      <c r="AB4" s="16"/>
      <c r="AC4" s="16"/>
      <c r="AD4" s="16"/>
      <c r="AE4" s="16"/>
      <c r="AF4" s="16"/>
      <c r="AG4" s="16"/>
      <c r="AH4" s="16"/>
      <c r="AI4" s="16"/>
      <c r="AJ4" s="16"/>
      <c r="AK4" s="16"/>
      <c r="AL4" s="16"/>
      <c r="AM4" s="16" t="s">
        <v>2075</v>
      </c>
      <c r="AN4" s="16"/>
      <c r="AO4" s="16"/>
      <c r="AP4" s="16"/>
      <c r="AQ4" s="16" t="s">
        <v>2085</v>
      </c>
      <c r="AR4" s="16"/>
      <c r="AS4" s="16"/>
      <c r="AT4" s="16"/>
      <c r="AU4" s="16"/>
      <c r="AV4" s="16"/>
      <c r="AW4" s="16"/>
      <c r="AX4" s="16"/>
      <c r="AY4" s="16"/>
      <c r="AZ4" s="16"/>
      <c r="BA4" s="16"/>
      <c r="BB4" s="16"/>
      <c r="BC4" s="16"/>
    </row>
    <row r="5" spans="2:55" x14ac:dyDescent="0.2">
      <c r="M5" s="243" t="s">
        <v>2069</v>
      </c>
      <c r="N5" s="243" t="s">
        <v>2129</v>
      </c>
      <c r="O5" s="226" t="s">
        <v>1482</v>
      </c>
      <c r="P5" s="227"/>
      <c r="Q5" s="227"/>
      <c r="R5" s="227"/>
      <c r="S5" s="227"/>
      <c r="T5" s="227"/>
      <c r="U5" s="228"/>
    </row>
    <row r="6" spans="2:55" x14ac:dyDescent="0.2">
      <c r="D6" s="223" t="s">
        <v>2069</v>
      </c>
      <c r="E6" s="226" t="s">
        <v>40</v>
      </c>
      <c r="F6" s="227"/>
      <c r="G6" s="227"/>
      <c r="H6" s="227"/>
      <c r="I6" s="227"/>
      <c r="J6" s="227"/>
      <c r="K6" s="228"/>
      <c r="L6" s="15"/>
      <c r="M6" s="243" t="s">
        <v>41</v>
      </c>
      <c r="N6" s="244" t="s">
        <v>2081</v>
      </c>
      <c r="O6" s="26"/>
      <c r="P6" s="26"/>
      <c r="Q6" s="26" t="s">
        <v>1870</v>
      </c>
      <c r="R6" s="26" t="s">
        <v>2081</v>
      </c>
      <c r="S6" s="26" t="s">
        <v>1871</v>
      </c>
      <c r="T6" s="26" t="s">
        <v>2081</v>
      </c>
      <c r="U6" s="26" t="s">
        <v>1872</v>
      </c>
      <c r="Y6" s="1" t="s">
        <v>2069</v>
      </c>
      <c r="Z6" s="1" t="s">
        <v>2070</v>
      </c>
      <c r="AC6" s="1" t="s">
        <v>41</v>
      </c>
      <c r="AD6" s="1" t="s">
        <v>42</v>
      </c>
      <c r="AG6" s="1" t="s">
        <v>68</v>
      </c>
      <c r="AH6" s="1" t="s">
        <v>2072</v>
      </c>
      <c r="AM6" s="1" t="s">
        <v>2073</v>
      </c>
      <c r="AN6" s="1" t="s">
        <v>2074</v>
      </c>
      <c r="AQ6" s="7" t="s">
        <v>1482</v>
      </c>
      <c r="AR6" s="7" t="s">
        <v>2084</v>
      </c>
      <c r="AS6" s="7"/>
      <c r="AT6" s="7" t="s">
        <v>1482</v>
      </c>
      <c r="AU6" s="7" t="s">
        <v>1388</v>
      </c>
      <c r="AX6" s="235" t="s">
        <v>2088</v>
      </c>
      <c r="AY6" s="1" t="s">
        <v>2089</v>
      </c>
    </row>
    <row r="7" spans="2:55" x14ac:dyDescent="0.2">
      <c r="D7" s="224"/>
      <c r="E7" s="229" t="s">
        <v>41</v>
      </c>
      <c r="F7" s="229" t="s">
        <v>43</v>
      </c>
      <c r="G7" s="229" t="s">
        <v>67</v>
      </c>
      <c r="H7" s="229" t="s">
        <v>68</v>
      </c>
      <c r="I7" s="222" t="s">
        <v>68</v>
      </c>
      <c r="J7" s="222"/>
      <c r="K7" s="222"/>
      <c r="L7" s="15"/>
      <c r="M7" s="243" t="s">
        <v>43</v>
      </c>
      <c r="N7" s="244" t="s">
        <v>76</v>
      </c>
      <c r="O7" s="26"/>
      <c r="P7" s="26"/>
      <c r="Q7" s="26" t="s">
        <v>1871</v>
      </c>
      <c r="R7" s="26" t="s">
        <v>38</v>
      </c>
      <c r="S7" s="26" t="s">
        <v>1870</v>
      </c>
      <c r="T7" s="26" t="s">
        <v>38</v>
      </c>
      <c r="U7" s="26" t="s">
        <v>1872</v>
      </c>
      <c r="Y7" s="1" t="s">
        <v>2067</v>
      </c>
      <c r="Z7" s="1" t="s">
        <v>2071</v>
      </c>
      <c r="AC7" s="1" t="s">
        <v>43</v>
      </c>
      <c r="AD7" s="1" t="s">
        <v>44</v>
      </c>
      <c r="AG7" s="1" t="s">
        <v>49</v>
      </c>
      <c r="AH7" s="1" t="s">
        <v>52</v>
      </c>
      <c r="AM7" s="39">
        <v>1</v>
      </c>
      <c r="AN7" s="1" t="s">
        <v>33</v>
      </c>
      <c r="AQ7" s="7" t="s">
        <v>1482</v>
      </c>
      <c r="AR7" s="7">
        <v>1</v>
      </c>
      <c r="AS7" s="7" t="s">
        <v>39</v>
      </c>
      <c r="AT7" s="7" t="s">
        <v>1482</v>
      </c>
      <c r="AU7" s="7">
        <v>5</v>
      </c>
      <c r="AX7" s="238" t="s">
        <v>199</v>
      </c>
      <c r="AY7" s="1" t="s">
        <v>2090</v>
      </c>
    </row>
    <row r="8" spans="2:55" x14ac:dyDescent="0.2">
      <c r="D8" s="225"/>
      <c r="E8" s="230"/>
      <c r="F8" s="230"/>
      <c r="G8" s="230"/>
      <c r="H8" s="230"/>
      <c r="I8" s="9" t="s">
        <v>74</v>
      </c>
      <c r="J8" s="9" t="s">
        <v>68</v>
      </c>
      <c r="K8" s="9" t="s">
        <v>75</v>
      </c>
      <c r="L8" s="15"/>
      <c r="M8" s="243" t="s">
        <v>43</v>
      </c>
      <c r="N8" s="244" t="s">
        <v>77</v>
      </c>
      <c r="O8" s="26"/>
      <c r="P8" s="26"/>
      <c r="Q8" s="26" t="s">
        <v>1872</v>
      </c>
      <c r="R8" s="26" t="s">
        <v>38</v>
      </c>
      <c r="S8" s="26" t="s">
        <v>1870</v>
      </c>
      <c r="T8" s="26" t="s">
        <v>38</v>
      </c>
      <c r="U8" s="26" t="s">
        <v>1871</v>
      </c>
      <c r="Y8" s="1" t="s">
        <v>76</v>
      </c>
      <c r="Z8" s="1" t="s">
        <v>119</v>
      </c>
      <c r="AC8" s="1" t="s">
        <v>67</v>
      </c>
      <c r="AD8" s="1" t="s">
        <v>2068</v>
      </c>
      <c r="AG8" s="1" t="s">
        <v>50</v>
      </c>
      <c r="AH8" s="1" t="s">
        <v>51</v>
      </c>
      <c r="AM8" s="40">
        <v>2</v>
      </c>
      <c r="AN8" s="1" t="s">
        <v>40</v>
      </c>
      <c r="AQ8" s="7" t="s">
        <v>1482</v>
      </c>
      <c r="AR8" s="7">
        <v>2</v>
      </c>
      <c r="AS8" s="7" t="s">
        <v>39</v>
      </c>
      <c r="AT8" s="7" t="s">
        <v>1482</v>
      </c>
      <c r="AU8" s="7">
        <v>13</v>
      </c>
      <c r="AX8" s="239" t="s">
        <v>2091</v>
      </c>
      <c r="AY8" s="1" t="s">
        <v>2092</v>
      </c>
    </row>
    <row r="9" spans="2:55" x14ac:dyDescent="0.2">
      <c r="D9" s="10" t="s">
        <v>2067</v>
      </c>
      <c r="E9" s="8" t="s">
        <v>41</v>
      </c>
      <c r="F9" s="8" t="s">
        <v>43</v>
      </c>
      <c r="G9" s="8" t="s">
        <v>62</v>
      </c>
      <c r="H9" s="8" t="s">
        <v>62</v>
      </c>
      <c r="I9" s="8" t="s">
        <v>62</v>
      </c>
      <c r="J9" s="8" t="s">
        <v>62</v>
      </c>
      <c r="K9" s="8" t="s">
        <v>62</v>
      </c>
      <c r="L9" s="15"/>
      <c r="M9" s="243" t="s">
        <v>45</v>
      </c>
      <c r="N9" s="244" t="s">
        <v>76</v>
      </c>
      <c r="O9" s="26"/>
      <c r="P9" s="26"/>
      <c r="Q9" s="26" t="s">
        <v>1870</v>
      </c>
      <c r="R9" s="26" t="s">
        <v>38</v>
      </c>
      <c r="S9" s="26" t="s">
        <v>1872</v>
      </c>
      <c r="T9" s="26" t="s">
        <v>38</v>
      </c>
      <c r="U9" s="26" t="s">
        <v>1871</v>
      </c>
      <c r="Y9" s="1" t="s">
        <v>77</v>
      </c>
      <c r="Z9" s="1" t="s">
        <v>163</v>
      </c>
      <c r="AC9" s="1" t="s">
        <v>45</v>
      </c>
      <c r="AD9" s="1" t="s">
        <v>47</v>
      </c>
      <c r="AG9" s="1" t="s">
        <v>53</v>
      </c>
      <c r="AH9" s="1" t="s">
        <v>55</v>
      </c>
      <c r="AM9" s="22">
        <v>3</v>
      </c>
      <c r="AN9" s="1" t="s">
        <v>238</v>
      </c>
      <c r="AQ9" s="7" t="s">
        <v>1482</v>
      </c>
      <c r="AR9" s="7">
        <v>3</v>
      </c>
      <c r="AS9" s="7" t="s">
        <v>39</v>
      </c>
      <c r="AT9" s="7" t="s">
        <v>1482</v>
      </c>
      <c r="AU9" s="7">
        <v>34</v>
      </c>
    </row>
    <row r="10" spans="2:55" x14ac:dyDescent="0.2">
      <c r="D10" s="10" t="s">
        <v>76</v>
      </c>
      <c r="E10" s="8" t="s">
        <v>62</v>
      </c>
      <c r="F10" s="8" t="s">
        <v>62</v>
      </c>
      <c r="G10" s="8" t="s">
        <v>45</v>
      </c>
      <c r="H10" s="8" t="s">
        <v>62</v>
      </c>
      <c r="I10" s="8" t="s">
        <v>62</v>
      </c>
      <c r="J10" s="8" t="s">
        <v>53</v>
      </c>
      <c r="K10" s="8" t="s">
        <v>57</v>
      </c>
      <c r="L10" s="15"/>
      <c r="M10" s="243" t="s">
        <v>45</v>
      </c>
      <c r="N10" s="244" t="s">
        <v>77</v>
      </c>
      <c r="O10" s="26"/>
      <c r="P10" s="26"/>
      <c r="Q10" s="26" t="s">
        <v>1871</v>
      </c>
      <c r="R10" s="26" t="s">
        <v>38</v>
      </c>
      <c r="S10" s="26" t="s">
        <v>1872</v>
      </c>
      <c r="T10" s="26" t="s">
        <v>38</v>
      </c>
      <c r="U10" s="26" t="s">
        <v>1870</v>
      </c>
      <c r="Y10" s="1" t="s">
        <v>40</v>
      </c>
      <c r="Z10" s="1" t="s">
        <v>36</v>
      </c>
      <c r="AC10" s="1" t="s">
        <v>46</v>
      </c>
      <c r="AD10" s="1" t="s">
        <v>48</v>
      </c>
      <c r="AG10" s="1" t="s">
        <v>54</v>
      </c>
      <c r="AH10" s="1" t="s">
        <v>56</v>
      </c>
      <c r="AM10" s="21">
        <v>4</v>
      </c>
      <c r="AN10" s="1" t="s">
        <v>139</v>
      </c>
      <c r="AQ10" s="7" t="s">
        <v>1482</v>
      </c>
      <c r="AR10" s="7">
        <v>4</v>
      </c>
      <c r="AS10" s="7" t="s">
        <v>39</v>
      </c>
      <c r="AT10" s="7" t="s">
        <v>1482</v>
      </c>
      <c r="AU10" s="7">
        <v>89</v>
      </c>
      <c r="AX10" s="1" t="s">
        <v>2094</v>
      </c>
    </row>
    <row r="11" spans="2:55" x14ac:dyDescent="0.2">
      <c r="D11" s="10" t="s">
        <v>76</v>
      </c>
      <c r="E11" s="8" t="s">
        <v>62</v>
      </c>
      <c r="F11" s="8" t="s">
        <v>62</v>
      </c>
      <c r="G11" s="8" t="s">
        <v>62</v>
      </c>
      <c r="H11" s="8" t="s">
        <v>68</v>
      </c>
      <c r="I11" s="8" t="s">
        <v>49</v>
      </c>
      <c r="J11" s="8" t="s">
        <v>53</v>
      </c>
      <c r="K11" s="8" t="s">
        <v>57</v>
      </c>
      <c r="L11" s="15"/>
      <c r="M11" s="243" t="s">
        <v>68</v>
      </c>
      <c r="N11" s="244" t="s">
        <v>76</v>
      </c>
      <c r="O11" s="26"/>
      <c r="P11" s="26"/>
      <c r="Q11" s="26"/>
      <c r="R11" s="26"/>
      <c r="S11" s="26" t="s">
        <v>1871</v>
      </c>
      <c r="T11" s="26" t="s">
        <v>38</v>
      </c>
      <c r="U11" s="26" t="s">
        <v>1872</v>
      </c>
      <c r="Y11" s="15"/>
      <c r="AG11" s="1" t="s">
        <v>57</v>
      </c>
      <c r="AH11" s="1" t="s">
        <v>59</v>
      </c>
      <c r="AX11" s="1" t="s">
        <v>2095</v>
      </c>
    </row>
    <row r="12" spans="2:55" x14ac:dyDescent="0.2">
      <c r="D12" s="10" t="s">
        <v>77</v>
      </c>
      <c r="E12" s="8" t="s">
        <v>62</v>
      </c>
      <c r="F12" s="8" t="s">
        <v>62</v>
      </c>
      <c r="G12" s="8" t="s">
        <v>46</v>
      </c>
      <c r="H12" s="8" t="s">
        <v>62</v>
      </c>
      <c r="I12" s="8" t="s">
        <v>62</v>
      </c>
      <c r="J12" s="8" t="s">
        <v>54</v>
      </c>
      <c r="K12" s="8" t="s">
        <v>58</v>
      </c>
      <c r="M12" s="243" t="s">
        <v>68</v>
      </c>
      <c r="N12" s="244" t="s">
        <v>49</v>
      </c>
      <c r="O12" s="26"/>
      <c r="P12" s="26"/>
      <c r="Q12" s="26"/>
      <c r="R12" s="26"/>
      <c r="S12" s="26" t="s">
        <v>1871</v>
      </c>
      <c r="T12" s="26" t="s">
        <v>38</v>
      </c>
      <c r="U12" s="26" t="s">
        <v>1872</v>
      </c>
      <c r="Y12" s="1" t="s">
        <v>2079</v>
      </c>
      <c r="Z12" s="1" t="s">
        <v>31</v>
      </c>
      <c r="AG12" s="1" t="s">
        <v>58</v>
      </c>
      <c r="AH12" s="1" t="s">
        <v>60</v>
      </c>
      <c r="AX12" s="1" t="s">
        <v>2100</v>
      </c>
      <c r="AY12" s="1" t="s">
        <v>2101</v>
      </c>
    </row>
    <row r="13" spans="2:55" x14ac:dyDescent="0.2">
      <c r="D13" s="10" t="s">
        <v>77</v>
      </c>
      <c r="E13" s="8" t="s">
        <v>62</v>
      </c>
      <c r="F13" s="8" t="s">
        <v>62</v>
      </c>
      <c r="G13" s="8" t="s">
        <v>62</v>
      </c>
      <c r="H13" s="8" t="s">
        <v>68</v>
      </c>
      <c r="I13" s="8" t="s">
        <v>50</v>
      </c>
      <c r="J13" s="8" t="s">
        <v>54</v>
      </c>
      <c r="K13" s="8" t="s">
        <v>58</v>
      </c>
      <c r="M13" s="243" t="s">
        <v>68</v>
      </c>
      <c r="N13" s="244" t="s">
        <v>53</v>
      </c>
      <c r="O13" s="26"/>
      <c r="P13" s="26"/>
      <c r="Q13" s="26" t="s">
        <v>1870</v>
      </c>
      <c r="R13" s="26" t="s">
        <v>38</v>
      </c>
      <c r="S13" s="26" t="s">
        <v>1871</v>
      </c>
      <c r="T13" s="26"/>
      <c r="U13" s="26"/>
      <c r="Y13" s="17" t="s">
        <v>2076</v>
      </c>
      <c r="Z13" s="1" t="s">
        <v>69</v>
      </c>
      <c r="AX13" s="1" t="s">
        <v>2099</v>
      </c>
      <c r="AY13" s="1" t="s">
        <v>2102</v>
      </c>
    </row>
    <row r="14" spans="2:55" x14ac:dyDescent="0.2">
      <c r="M14" s="243" t="s">
        <v>68</v>
      </c>
      <c r="N14" s="244" t="s">
        <v>57</v>
      </c>
      <c r="O14" s="26" t="s">
        <v>1869</v>
      </c>
      <c r="P14" s="26" t="s">
        <v>38</v>
      </c>
      <c r="Q14" s="26" t="s">
        <v>1870</v>
      </c>
      <c r="R14" s="26"/>
      <c r="S14" s="26"/>
      <c r="T14" s="26"/>
      <c r="U14" s="26"/>
      <c r="Y14" s="232" t="s">
        <v>2077</v>
      </c>
      <c r="Z14" s="1" t="s">
        <v>2078</v>
      </c>
      <c r="AX14" s="1" t="s">
        <v>74</v>
      </c>
      <c r="AY14" s="1" t="s">
        <v>137</v>
      </c>
    </row>
    <row r="15" spans="2:55" x14ac:dyDescent="0.2">
      <c r="M15" s="243" t="s">
        <v>68</v>
      </c>
      <c r="N15" s="244" t="s">
        <v>77</v>
      </c>
      <c r="O15" s="26"/>
      <c r="P15" s="26"/>
      <c r="Q15" s="26"/>
      <c r="R15" s="26"/>
      <c r="S15" s="26" t="s">
        <v>1871</v>
      </c>
      <c r="T15" s="26" t="s">
        <v>2063</v>
      </c>
      <c r="U15" s="26" t="s">
        <v>1872</v>
      </c>
      <c r="AX15" s="1" t="s">
        <v>2104</v>
      </c>
      <c r="AY15" s="1" t="s">
        <v>2105</v>
      </c>
    </row>
    <row r="16" spans="2:55" x14ac:dyDescent="0.2">
      <c r="B16" s="16"/>
      <c r="C16" s="16"/>
      <c r="M16" s="243" t="s">
        <v>68</v>
      </c>
      <c r="N16" s="244" t="s">
        <v>50</v>
      </c>
      <c r="O16" s="26"/>
      <c r="P16" s="26"/>
      <c r="Q16" s="26"/>
      <c r="R16" s="26"/>
      <c r="S16" s="26" t="s">
        <v>1871</v>
      </c>
      <c r="T16" s="26" t="s">
        <v>2063</v>
      </c>
      <c r="U16" s="26" t="s">
        <v>1872</v>
      </c>
    </row>
    <row r="17" spans="2:51" x14ac:dyDescent="0.2">
      <c r="B17" s="16"/>
      <c r="C17" s="16"/>
      <c r="M17" s="243" t="s">
        <v>68</v>
      </c>
      <c r="N17" s="244" t="s">
        <v>54</v>
      </c>
      <c r="O17" s="26"/>
      <c r="P17" s="26"/>
      <c r="Q17" s="26" t="s">
        <v>1870</v>
      </c>
      <c r="R17" s="26" t="s">
        <v>2063</v>
      </c>
      <c r="S17" s="26" t="s">
        <v>1871</v>
      </c>
      <c r="T17" s="26"/>
      <c r="U17" s="26"/>
      <c r="AX17" s="1" t="s">
        <v>2124</v>
      </c>
      <c r="AY17" s="1" t="s">
        <v>2121</v>
      </c>
    </row>
    <row r="18" spans="2:51" x14ac:dyDescent="0.2">
      <c r="B18" s="16"/>
      <c r="C18" s="16"/>
      <c r="M18" s="243" t="s">
        <v>68</v>
      </c>
      <c r="N18" s="244" t="s">
        <v>58</v>
      </c>
      <c r="O18" s="26" t="s">
        <v>1869</v>
      </c>
      <c r="P18" s="26" t="s">
        <v>2063</v>
      </c>
      <c r="Q18" s="26" t="s">
        <v>1870</v>
      </c>
      <c r="R18" s="26"/>
      <c r="S18" s="26"/>
      <c r="T18" s="26"/>
      <c r="U18" s="26"/>
      <c r="AX18" s="1" t="s">
        <v>2123</v>
      </c>
      <c r="AY18" s="1" t="s">
        <v>2125</v>
      </c>
    </row>
    <row r="19" spans="2:51" x14ac:dyDescent="0.2">
      <c r="B19" s="16" t="s">
        <v>2079</v>
      </c>
      <c r="C19" s="16" t="s">
        <v>31</v>
      </c>
    </row>
    <row r="21" spans="2:51" x14ac:dyDescent="0.2">
      <c r="D21" s="24" t="s">
        <v>32</v>
      </c>
      <c r="E21" s="7" t="s">
        <v>32</v>
      </c>
      <c r="F21" s="7" t="s">
        <v>32</v>
      </c>
      <c r="G21" s="24" t="s">
        <v>34</v>
      </c>
      <c r="H21" s="24" t="s">
        <v>33</v>
      </c>
      <c r="I21" s="24" t="s">
        <v>33</v>
      </c>
      <c r="J21" s="24" t="s">
        <v>2098</v>
      </c>
      <c r="K21" s="24" t="s">
        <v>40</v>
      </c>
      <c r="L21" s="24" t="s">
        <v>193</v>
      </c>
      <c r="M21" s="24" t="s">
        <v>2064</v>
      </c>
      <c r="O21" s="1" t="s">
        <v>1482</v>
      </c>
      <c r="P21" s="1" t="s">
        <v>1482</v>
      </c>
      <c r="Q21" s="1" t="s">
        <v>2124</v>
      </c>
      <c r="S21" s="24" t="s">
        <v>193</v>
      </c>
      <c r="T21" s="240" t="s">
        <v>2088</v>
      </c>
      <c r="U21" s="24" t="s">
        <v>193</v>
      </c>
      <c r="V21" s="241" t="s">
        <v>199</v>
      </c>
      <c r="W21" s="24" t="s">
        <v>2098</v>
      </c>
      <c r="X21" s="24" t="s">
        <v>1482</v>
      </c>
      <c r="Y21" s="24" t="s">
        <v>2093</v>
      </c>
      <c r="Z21" s="242" t="s">
        <v>2091</v>
      </c>
      <c r="AA21" s="24" t="s">
        <v>2094</v>
      </c>
      <c r="AB21" s="24" t="s">
        <v>1482</v>
      </c>
      <c r="AC21" s="24" t="s">
        <v>193</v>
      </c>
      <c r="AD21" s="24" t="s">
        <v>198</v>
      </c>
      <c r="AE21" s="24"/>
      <c r="AF21" s="24" t="s">
        <v>35</v>
      </c>
      <c r="AG21" s="16" t="s">
        <v>2082</v>
      </c>
      <c r="AH21" s="16"/>
      <c r="AI21" s="24" t="s">
        <v>193</v>
      </c>
      <c r="AJ21" s="24" t="s">
        <v>74</v>
      </c>
      <c r="AK21" s="16" t="s">
        <v>2103</v>
      </c>
      <c r="AL21" s="16"/>
      <c r="AM21" s="16" t="s">
        <v>2083</v>
      </c>
    </row>
    <row r="22" spans="2:51" x14ac:dyDescent="0.2">
      <c r="AN22" s="16"/>
    </row>
    <row r="23" spans="2:51" x14ac:dyDescent="0.2">
      <c r="C23" s="17" t="s">
        <v>2076</v>
      </c>
      <c r="D23" s="16" t="s">
        <v>69</v>
      </c>
    </row>
    <row r="24" spans="2:51" x14ac:dyDescent="0.2">
      <c r="D24" s="7"/>
      <c r="E24" s="7"/>
      <c r="F24" s="7"/>
      <c r="G24" s="7"/>
      <c r="H24" s="7"/>
      <c r="I24" s="7"/>
      <c r="J24" s="7"/>
      <c r="K24" s="7"/>
      <c r="L24" s="7"/>
      <c r="M24" s="7"/>
      <c r="S24" s="7"/>
      <c r="T24" s="7"/>
      <c r="U24" s="7"/>
      <c r="V24" s="7"/>
      <c r="X24" s="7"/>
      <c r="Y24" s="7"/>
      <c r="Z24" s="7"/>
      <c r="AA24" s="7"/>
      <c r="AB24" s="7"/>
      <c r="AC24" s="7"/>
      <c r="AD24" s="7"/>
      <c r="AE24" s="7"/>
      <c r="AF24" s="7"/>
      <c r="AG24" s="7"/>
    </row>
    <row r="25" spans="2:51" x14ac:dyDescent="0.2">
      <c r="C25" s="1" t="str">
        <f>C$23</f>
        <v>BTR</v>
      </c>
      <c r="D25" s="39">
        <v>1</v>
      </c>
      <c r="E25" s="7">
        <v>1</v>
      </c>
      <c r="F25" s="7"/>
      <c r="G25" s="233" t="s">
        <v>34</v>
      </c>
      <c r="H25" s="6" t="s">
        <v>39</v>
      </c>
      <c r="I25" s="7">
        <v>0</v>
      </c>
      <c r="J25" s="234" t="s">
        <v>104</v>
      </c>
      <c r="K25" s="7"/>
      <c r="L25" s="7"/>
      <c r="M25" s="7"/>
      <c r="S25" s="7"/>
      <c r="T25" s="7"/>
      <c r="U25" s="7"/>
      <c r="V25" s="7"/>
      <c r="X25" s="7"/>
      <c r="Y25" s="7"/>
      <c r="Z25" s="7"/>
      <c r="AA25" s="7"/>
      <c r="AB25" s="7"/>
      <c r="AC25" s="7"/>
      <c r="AD25" s="7"/>
      <c r="AE25" s="7"/>
      <c r="AF25" s="22" t="s">
        <v>35</v>
      </c>
      <c r="AG25" s="7" t="s">
        <v>2080</v>
      </c>
      <c r="AH25" s="237" t="s">
        <v>2087</v>
      </c>
      <c r="AK25" s="13" t="s">
        <v>61</v>
      </c>
      <c r="AL25" s="13"/>
    </row>
    <row r="26" spans="2:51" x14ac:dyDescent="0.2">
      <c r="D26" s="7">
        <v>1</v>
      </c>
      <c r="E26" s="7">
        <v>2</v>
      </c>
      <c r="F26" s="7"/>
      <c r="G26" s="233" t="s">
        <v>34</v>
      </c>
      <c r="H26" s="6" t="s">
        <v>38</v>
      </c>
      <c r="I26" s="7">
        <v>0</v>
      </c>
      <c r="J26" s="6"/>
      <c r="K26" s="7"/>
      <c r="L26" s="7"/>
      <c r="M26" s="7"/>
      <c r="S26" s="7"/>
      <c r="T26" s="7"/>
      <c r="U26" s="7"/>
      <c r="V26" s="7"/>
      <c r="X26" s="7"/>
      <c r="Y26" s="7"/>
      <c r="Z26" s="7"/>
      <c r="AA26" s="7"/>
      <c r="AB26" s="7"/>
      <c r="AC26" s="7"/>
      <c r="AD26" s="7"/>
      <c r="AE26" s="7"/>
      <c r="AF26" s="22" t="s">
        <v>35</v>
      </c>
      <c r="AG26" s="7" t="s">
        <v>2080</v>
      </c>
      <c r="AH26" s="40">
        <v>2</v>
      </c>
      <c r="AM26" s="1" t="s">
        <v>2062</v>
      </c>
    </row>
    <row r="27" spans="2:51" x14ac:dyDescent="0.2">
      <c r="D27" s="7">
        <v>1</v>
      </c>
      <c r="E27" s="7">
        <v>3</v>
      </c>
      <c r="F27" s="7"/>
      <c r="G27" s="233" t="s">
        <v>34</v>
      </c>
      <c r="H27" s="6" t="s">
        <v>62</v>
      </c>
      <c r="I27" s="6" t="s">
        <v>63</v>
      </c>
      <c r="J27" s="6"/>
      <c r="K27" s="7"/>
      <c r="L27" s="6"/>
      <c r="M27" s="6"/>
      <c r="S27" s="7"/>
      <c r="T27" s="7"/>
      <c r="U27" s="7"/>
      <c r="V27" s="7"/>
      <c r="X27" s="7"/>
      <c r="Y27" s="7"/>
      <c r="Z27" s="7"/>
      <c r="AA27" s="7"/>
      <c r="AB27" s="7"/>
      <c r="AC27" s="7"/>
      <c r="AD27" s="7"/>
      <c r="AE27" s="7"/>
      <c r="AF27" s="22" t="s">
        <v>35</v>
      </c>
      <c r="AG27" s="7" t="s">
        <v>2080</v>
      </c>
      <c r="AH27" s="40">
        <v>2</v>
      </c>
      <c r="AM27" s="1" t="s">
        <v>2062</v>
      </c>
      <c r="AS27" s="1" t="s">
        <v>2110</v>
      </c>
    </row>
    <row r="28" spans="2:51" x14ac:dyDescent="0.2">
      <c r="D28" s="7"/>
      <c r="E28" s="7"/>
      <c r="F28" s="7"/>
      <c r="G28" s="7"/>
      <c r="H28" s="7"/>
      <c r="I28" s="7"/>
      <c r="J28" s="7"/>
      <c r="K28" s="7"/>
      <c r="L28" s="7"/>
      <c r="M28" s="7"/>
      <c r="S28" s="7"/>
      <c r="T28" s="7"/>
      <c r="U28" s="7"/>
      <c r="V28" s="7"/>
      <c r="X28" s="7"/>
      <c r="Y28" s="7"/>
      <c r="Z28" s="7"/>
      <c r="AA28" s="7"/>
      <c r="AB28" s="7"/>
      <c r="AC28" s="7"/>
      <c r="AD28" s="7"/>
      <c r="AE28" s="7"/>
      <c r="AF28" s="7"/>
      <c r="AG28" s="7"/>
    </row>
    <row r="29" spans="2:51" x14ac:dyDescent="0.2">
      <c r="C29" s="1" t="str">
        <f>C$23</f>
        <v>BTR</v>
      </c>
      <c r="D29" s="40">
        <v>2</v>
      </c>
      <c r="E29" s="7">
        <v>1</v>
      </c>
      <c r="F29" s="7"/>
      <c r="G29" s="233" t="s">
        <v>34</v>
      </c>
      <c r="H29" s="7"/>
      <c r="I29" s="7"/>
      <c r="J29" s="7"/>
      <c r="K29" s="7" t="s">
        <v>41</v>
      </c>
      <c r="L29" s="7"/>
      <c r="M29" s="7"/>
      <c r="S29" s="7"/>
      <c r="T29" s="7"/>
      <c r="U29" s="7"/>
      <c r="V29" s="7"/>
      <c r="X29" s="7"/>
      <c r="Y29" s="7"/>
      <c r="Z29" s="7"/>
      <c r="AA29" s="7"/>
      <c r="AB29" s="7"/>
      <c r="AC29" s="7"/>
      <c r="AD29" s="7"/>
      <c r="AE29" s="7"/>
      <c r="AF29" s="22" t="s">
        <v>35</v>
      </c>
      <c r="AG29" s="7" t="s">
        <v>2080</v>
      </c>
      <c r="AH29" s="237" t="s">
        <v>2087</v>
      </c>
      <c r="AK29" s="13" t="s">
        <v>61</v>
      </c>
      <c r="AL29" s="13"/>
    </row>
    <row r="30" spans="2:51" x14ac:dyDescent="0.2">
      <c r="D30" s="7">
        <v>2</v>
      </c>
      <c r="E30" s="7">
        <v>2</v>
      </c>
      <c r="F30" s="7"/>
      <c r="G30" s="233" t="s">
        <v>34</v>
      </c>
      <c r="H30" s="7"/>
      <c r="I30" s="7"/>
      <c r="J30" s="7"/>
      <c r="K30" s="7" t="s">
        <v>37</v>
      </c>
      <c r="L30" s="7"/>
      <c r="M30" s="7"/>
      <c r="S30" s="7"/>
      <c r="T30" s="7"/>
      <c r="U30" s="7"/>
      <c r="V30" s="7"/>
      <c r="X30" s="7"/>
      <c r="Y30" s="7"/>
      <c r="Z30" s="7"/>
      <c r="AA30" s="7"/>
      <c r="AB30" s="7"/>
      <c r="AC30" s="7"/>
      <c r="AD30" s="7"/>
      <c r="AE30" s="7"/>
      <c r="AF30" s="22" t="s">
        <v>35</v>
      </c>
      <c r="AG30" s="7" t="s">
        <v>2080</v>
      </c>
      <c r="AH30" s="237" t="s">
        <v>2087</v>
      </c>
      <c r="AK30" s="13" t="s">
        <v>61</v>
      </c>
      <c r="AL30" s="13"/>
    </row>
    <row r="31" spans="2:51" x14ac:dyDescent="0.2">
      <c r="D31" s="7">
        <v>2</v>
      </c>
      <c r="E31" s="7">
        <v>3</v>
      </c>
      <c r="F31" s="7"/>
      <c r="G31" s="233" t="s">
        <v>34</v>
      </c>
      <c r="H31" s="7"/>
      <c r="I31" s="7"/>
      <c r="J31" s="7"/>
      <c r="K31" s="7" t="s">
        <v>67</v>
      </c>
      <c r="L31" s="7"/>
      <c r="M31" s="7"/>
      <c r="S31" s="7"/>
      <c r="T31" s="7"/>
      <c r="U31" s="7"/>
      <c r="V31" s="7"/>
      <c r="X31" s="7"/>
      <c r="Y31" s="7"/>
      <c r="Z31" s="7"/>
      <c r="AA31" s="7"/>
      <c r="AB31" s="7"/>
      <c r="AC31" s="7"/>
      <c r="AD31" s="7"/>
      <c r="AE31" s="7"/>
      <c r="AF31" s="22" t="s">
        <v>35</v>
      </c>
      <c r="AG31" s="7" t="s">
        <v>2080</v>
      </c>
      <c r="AH31" s="22">
        <v>3.1</v>
      </c>
      <c r="AM31" s="1" t="s">
        <v>2111</v>
      </c>
      <c r="AN31" s="7"/>
      <c r="AO31" s="14"/>
    </row>
    <row r="32" spans="2:51" x14ac:dyDescent="0.2">
      <c r="D32" s="7">
        <v>2</v>
      </c>
      <c r="E32" s="7">
        <v>4</v>
      </c>
      <c r="F32" s="7"/>
      <c r="G32" s="233" t="s">
        <v>34</v>
      </c>
      <c r="H32" s="7"/>
      <c r="I32" s="7"/>
      <c r="J32" s="7"/>
      <c r="K32" s="7" t="s">
        <v>68</v>
      </c>
      <c r="L32" s="7"/>
      <c r="M32" s="7"/>
      <c r="N32" s="233" t="s">
        <v>193</v>
      </c>
      <c r="O32" s="1" t="s">
        <v>1872</v>
      </c>
      <c r="P32" s="1" t="s">
        <v>1871</v>
      </c>
      <c r="Q32" s="1" t="s">
        <v>2123</v>
      </c>
      <c r="S32" s="7"/>
      <c r="T32" s="7"/>
      <c r="U32" s="7"/>
      <c r="V32" s="7"/>
      <c r="X32" s="7"/>
      <c r="Y32" s="7"/>
      <c r="Z32" s="7"/>
      <c r="AA32" s="7"/>
      <c r="AB32" s="7"/>
      <c r="AC32" s="7"/>
      <c r="AD32" s="7"/>
      <c r="AE32" s="7"/>
      <c r="AF32" s="22" t="s">
        <v>35</v>
      </c>
      <c r="AG32" s="7" t="s">
        <v>2080</v>
      </c>
      <c r="AH32" s="22">
        <v>3.2</v>
      </c>
      <c r="AM32" s="1" t="s">
        <v>2112</v>
      </c>
      <c r="AN32" s="7"/>
      <c r="AO32" s="14"/>
    </row>
    <row r="33" spans="3:39" x14ac:dyDescent="0.2">
      <c r="D33" s="7"/>
      <c r="E33" s="7"/>
      <c r="F33" s="7"/>
      <c r="G33" s="7"/>
      <c r="H33" s="7"/>
      <c r="I33" s="7"/>
      <c r="J33" s="7"/>
      <c r="K33" s="7"/>
      <c r="L33" s="7"/>
      <c r="M33" s="7"/>
      <c r="S33" s="7"/>
      <c r="T33" s="7"/>
      <c r="U33" s="7"/>
      <c r="V33" s="7"/>
      <c r="X33" s="7"/>
      <c r="Y33" s="7"/>
      <c r="Z33" s="7"/>
      <c r="AA33" s="7"/>
      <c r="AB33" s="7"/>
      <c r="AC33" s="7"/>
      <c r="AD33" s="7"/>
      <c r="AE33" s="7"/>
      <c r="AF33" s="7"/>
      <c r="AG33" s="7"/>
    </row>
    <row r="34" spans="3:39" x14ac:dyDescent="0.2">
      <c r="C34" s="1" t="str">
        <f>C$23</f>
        <v>BTR</v>
      </c>
      <c r="D34" s="22">
        <v>3</v>
      </c>
      <c r="E34" s="7">
        <v>1</v>
      </c>
      <c r="F34" s="7">
        <v>1</v>
      </c>
      <c r="G34" s="233" t="s">
        <v>34</v>
      </c>
      <c r="H34" s="7"/>
      <c r="I34" s="7"/>
      <c r="J34" s="7"/>
      <c r="K34" s="7" t="s">
        <v>67</v>
      </c>
      <c r="L34" s="233" t="s">
        <v>193</v>
      </c>
      <c r="M34" s="7" t="s">
        <v>53</v>
      </c>
      <c r="S34" s="233" t="s">
        <v>193</v>
      </c>
      <c r="T34" s="235" t="s">
        <v>2088</v>
      </c>
      <c r="U34" s="233" t="s">
        <v>193</v>
      </c>
      <c r="V34" s="238" t="s">
        <v>199</v>
      </c>
      <c r="W34" s="1" t="s">
        <v>2122</v>
      </c>
      <c r="X34" s="7" t="s">
        <v>1871</v>
      </c>
      <c r="Y34" s="7" t="s">
        <v>2093</v>
      </c>
      <c r="Z34" s="239" t="s">
        <v>2091</v>
      </c>
      <c r="AA34" s="7" t="s">
        <v>2094</v>
      </c>
      <c r="AB34" s="7" t="s">
        <v>1870</v>
      </c>
      <c r="AC34" s="233" t="s">
        <v>193</v>
      </c>
      <c r="AD34" s="7" t="s">
        <v>2100</v>
      </c>
      <c r="AE34" s="7"/>
      <c r="AF34" s="22" t="s">
        <v>35</v>
      </c>
      <c r="AG34" s="7" t="s">
        <v>2080</v>
      </c>
      <c r="AH34" s="21">
        <v>4</v>
      </c>
      <c r="AI34" s="233" t="s">
        <v>193</v>
      </c>
      <c r="AJ34" s="7" t="s">
        <v>74</v>
      </c>
      <c r="AK34" s="12" t="s">
        <v>71</v>
      </c>
      <c r="AL34" s="12"/>
      <c r="AM34" s="1" t="s">
        <v>2115</v>
      </c>
    </row>
    <row r="35" spans="3:39" x14ac:dyDescent="0.2">
      <c r="D35" s="7">
        <v>3</v>
      </c>
      <c r="E35" s="7">
        <v>1</v>
      </c>
      <c r="F35" s="7">
        <v>2</v>
      </c>
      <c r="G35" s="233" t="s">
        <v>34</v>
      </c>
      <c r="H35" s="7"/>
      <c r="I35" s="7"/>
      <c r="J35" s="7"/>
      <c r="K35" s="7" t="s">
        <v>67</v>
      </c>
      <c r="L35" s="233" t="s">
        <v>193</v>
      </c>
      <c r="M35" s="7" t="s">
        <v>57</v>
      </c>
      <c r="S35" s="233" t="s">
        <v>193</v>
      </c>
      <c r="T35" s="235" t="s">
        <v>2088</v>
      </c>
      <c r="U35" s="233" t="s">
        <v>193</v>
      </c>
      <c r="V35" s="238" t="s">
        <v>199</v>
      </c>
      <c r="W35" s="1" t="s">
        <v>2122</v>
      </c>
      <c r="X35" s="7" t="s">
        <v>1870</v>
      </c>
      <c r="Y35" s="7" t="s">
        <v>2093</v>
      </c>
      <c r="Z35" s="239" t="s">
        <v>2091</v>
      </c>
      <c r="AA35" s="7" t="s">
        <v>2094</v>
      </c>
      <c r="AB35" s="7" t="s">
        <v>1869</v>
      </c>
      <c r="AC35" s="233" t="s">
        <v>193</v>
      </c>
      <c r="AD35" s="7" t="s">
        <v>2100</v>
      </c>
      <c r="AE35" s="7"/>
      <c r="AF35" s="22" t="s">
        <v>35</v>
      </c>
      <c r="AG35" s="7" t="s">
        <v>2080</v>
      </c>
      <c r="AH35" s="21">
        <v>4</v>
      </c>
      <c r="AI35" s="233" t="s">
        <v>193</v>
      </c>
      <c r="AJ35" s="7" t="s">
        <v>74</v>
      </c>
      <c r="AK35" s="3" t="s">
        <v>72</v>
      </c>
      <c r="AL35" s="3"/>
      <c r="AM35" s="1" t="s">
        <v>2116</v>
      </c>
    </row>
    <row r="36" spans="3:39" x14ac:dyDescent="0.2">
      <c r="D36" s="7">
        <v>3</v>
      </c>
      <c r="E36" s="7">
        <v>2</v>
      </c>
      <c r="F36" s="7">
        <v>1</v>
      </c>
      <c r="G36" s="233" t="s">
        <v>34</v>
      </c>
      <c r="H36" s="7"/>
      <c r="I36" s="7"/>
      <c r="J36" s="7"/>
      <c r="K36" s="7" t="s">
        <v>68</v>
      </c>
      <c r="L36" s="233" t="s">
        <v>193</v>
      </c>
      <c r="M36" s="7" t="s">
        <v>49</v>
      </c>
      <c r="N36" s="233" t="s">
        <v>193</v>
      </c>
      <c r="O36" s="1" t="s">
        <v>1872</v>
      </c>
      <c r="P36" s="1" t="s">
        <v>1871</v>
      </c>
      <c r="Q36" s="1" t="s">
        <v>2123</v>
      </c>
      <c r="S36" s="233" t="s">
        <v>193</v>
      </c>
      <c r="T36" s="235" t="s">
        <v>2088</v>
      </c>
      <c r="U36" s="233" t="s">
        <v>193</v>
      </c>
      <c r="V36" s="238" t="s">
        <v>199</v>
      </c>
      <c r="W36" s="1" t="s">
        <v>2122</v>
      </c>
      <c r="X36" s="7" t="s">
        <v>1872</v>
      </c>
      <c r="Y36" s="7" t="s">
        <v>2093</v>
      </c>
      <c r="Z36" s="239" t="s">
        <v>2091</v>
      </c>
      <c r="AA36" s="7" t="s">
        <v>2094</v>
      </c>
      <c r="AB36" s="7" t="s">
        <v>1871</v>
      </c>
      <c r="AC36" s="233" t="s">
        <v>193</v>
      </c>
      <c r="AD36" s="7" t="s">
        <v>2100</v>
      </c>
      <c r="AE36" s="7"/>
      <c r="AF36" s="22" t="s">
        <v>35</v>
      </c>
      <c r="AG36" s="7" t="s">
        <v>2080</v>
      </c>
      <c r="AH36" s="21">
        <v>4</v>
      </c>
      <c r="AI36" s="233" t="s">
        <v>193</v>
      </c>
      <c r="AJ36" s="7" t="s">
        <v>74</v>
      </c>
      <c r="AK36" s="11" t="s">
        <v>73</v>
      </c>
      <c r="AL36" s="11"/>
      <c r="AM36" s="1" t="s">
        <v>2117</v>
      </c>
    </row>
    <row r="37" spans="3:39" x14ac:dyDescent="0.2">
      <c r="D37" s="7">
        <v>3</v>
      </c>
      <c r="E37" s="7">
        <v>2</v>
      </c>
      <c r="F37" s="7">
        <v>2</v>
      </c>
      <c r="G37" s="233" t="s">
        <v>34</v>
      </c>
      <c r="H37" s="7"/>
      <c r="I37" s="7"/>
      <c r="J37" s="7"/>
      <c r="K37" s="7" t="s">
        <v>68</v>
      </c>
      <c r="L37" s="233" t="s">
        <v>193</v>
      </c>
      <c r="M37" s="7" t="s">
        <v>53</v>
      </c>
      <c r="N37" s="233" t="s">
        <v>193</v>
      </c>
      <c r="O37" s="1" t="s">
        <v>1871</v>
      </c>
      <c r="P37" s="1" t="s">
        <v>1870</v>
      </c>
      <c r="Q37" s="1" t="s">
        <v>2123</v>
      </c>
      <c r="S37" s="233" t="s">
        <v>193</v>
      </c>
      <c r="T37" s="235" t="s">
        <v>2088</v>
      </c>
      <c r="U37" s="233" t="s">
        <v>193</v>
      </c>
      <c r="V37" s="238" t="s">
        <v>199</v>
      </c>
      <c r="W37" s="1" t="s">
        <v>2122</v>
      </c>
      <c r="X37" s="7" t="s">
        <v>1871</v>
      </c>
      <c r="Y37" s="7" t="s">
        <v>2093</v>
      </c>
      <c r="Z37" s="239" t="s">
        <v>2091</v>
      </c>
      <c r="AA37" s="7" t="s">
        <v>2094</v>
      </c>
      <c r="AB37" s="7" t="s">
        <v>1870</v>
      </c>
      <c r="AC37" s="233" t="s">
        <v>193</v>
      </c>
      <c r="AD37" s="7" t="s">
        <v>2100</v>
      </c>
      <c r="AE37" s="7"/>
      <c r="AF37" s="22" t="s">
        <v>35</v>
      </c>
      <c r="AG37" s="7" t="s">
        <v>2080</v>
      </c>
      <c r="AH37" s="21">
        <v>4</v>
      </c>
      <c r="AI37" s="233" t="s">
        <v>193</v>
      </c>
      <c r="AJ37" s="7" t="s">
        <v>74</v>
      </c>
      <c r="AK37" s="12" t="s">
        <v>71</v>
      </c>
      <c r="AL37" s="12"/>
      <c r="AM37" s="1" t="s">
        <v>2115</v>
      </c>
    </row>
    <row r="38" spans="3:39" x14ac:dyDescent="0.2">
      <c r="D38" s="7">
        <v>3</v>
      </c>
      <c r="E38" s="7">
        <v>2</v>
      </c>
      <c r="F38" s="7">
        <v>3</v>
      </c>
      <c r="G38" s="233" t="s">
        <v>34</v>
      </c>
      <c r="H38" s="7"/>
      <c r="I38" s="7"/>
      <c r="J38" s="7"/>
      <c r="K38" s="7" t="s">
        <v>68</v>
      </c>
      <c r="L38" s="233" t="s">
        <v>193</v>
      </c>
      <c r="M38" s="7" t="s">
        <v>57</v>
      </c>
      <c r="N38" s="233" t="s">
        <v>193</v>
      </c>
      <c r="O38" s="1" t="s">
        <v>1870</v>
      </c>
      <c r="P38" s="1" t="s">
        <v>1869</v>
      </c>
      <c r="Q38" s="1" t="s">
        <v>2123</v>
      </c>
      <c r="S38" s="233" t="s">
        <v>193</v>
      </c>
      <c r="T38" s="235" t="s">
        <v>2088</v>
      </c>
      <c r="U38" s="233" t="s">
        <v>193</v>
      </c>
      <c r="V38" s="238" t="s">
        <v>199</v>
      </c>
      <c r="W38" s="1" t="s">
        <v>2122</v>
      </c>
      <c r="X38" s="7" t="s">
        <v>1870</v>
      </c>
      <c r="Y38" s="7" t="s">
        <v>2093</v>
      </c>
      <c r="Z38" s="239" t="s">
        <v>2091</v>
      </c>
      <c r="AA38" s="7" t="s">
        <v>2094</v>
      </c>
      <c r="AB38" s="7" t="s">
        <v>1869</v>
      </c>
      <c r="AC38" s="233" t="s">
        <v>193</v>
      </c>
      <c r="AD38" s="7" t="s">
        <v>2100</v>
      </c>
      <c r="AE38" s="7"/>
      <c r="AF38" s="22" t="s">
        <v>35</v>
      </c>
      <c r="AG38" s="7" t="s">
        <v>2080</v>
      </c>
      <c r="AH38" s="21">
        <v>4</v>
      </c>
      <c r="AI38" s="233" t="s">
        <v>193</v>
      </c>
      <c r="AJ38" s="7" t="s">
        <v>74</v>
      </c>
      <c r="AK38" s="3" t="s">
        <v>72</v>
      </c>
      <c r="AL38" s="3"/>
      <c r="AM38" s="1" t="s">
        <v>2116</v>
      </c>
    </row>
    <row r="39" spans="3:39" x14ac:dyDescent="0.2">
      <c r="D39" s="7">
        <v>3</v>
      </c>
      <c r="E39" s="7"/>
      <c r="F39" s="7"/>
      <c r="G39" s="233" t="s">
        <v>34</v>
      </c>
      <c r="H39" s="7"/>
      <c r="I39" s="7"/>
      <c r="J39" s="7"/>
      <c r="K39" s="7"/>
      <c r="L39" s="7"/>
      <c r="M39" s="7"/>
      <c r="S39" s="7"/>
      <c r="T39" s="7"/>
      <c r="U39" s="7"/>
      <c r="V39" s="7"/>
      <c r="X39" s="7"/>
      <c r="Y39" s="7"/>
      <c r="Z39" s="7"/>
      <c r="AA39" s="7"/>
      <c r="AB39" s="7"/>
      <c r="AC39" s="7"/>
      <c r="AD39" s="7"/>
      <c r="AE39" s="7"/>
      <c r="AF39" s="7"/>
      <c r="AG39" s="7"/>
    </row>
    <row r="40" spans="3:39" x14ac:dyDescent="0.2">
      <c r="D40" s="7">
        <v>3</v>
      </c>
      <c r="E40" s="7"/>
      <c r="F40" s="7"/>
      <c r="G40" s="233" t="s">
        <v>34</v>
      </c>
      <c r="H40" s="7"/>
      <c r="I40" s="7"/>
      <c r="J40" s="7"/>
      <c r="K40" s="7"/>
      <c r="L40" s="7"/>
      <c r="M40" s="7"/>
      <c r="S40" s="7"/>
      <c r="T40" s="7"/>
      <c r="U40" s="7"/>
      <c r="V40" s="7"/>
      <c r="X40" s="7"/>
      <c r="Y40" s="7"/>
      <c r="Z40" s="7"/>
      <c r="AA40" s="7"/>
      <c r="AB40" s="7"/>
      <c r="AC40" s="7"/>
      <c r="AD40" s="7"/>
      <c r="AE40" s="7"/>
      <c r="AF40" s="7"/>
      <c r="AG40" s="7"/>
    </row>
    <row r="41" spans="3:39" x14ac:dyDescent="0.2">
      <c r="D41" s="7"/>
      <c r="E41" s="7"/>
      <c r="F41" s="7"/>
      <c r="G41" s="7"/>
      <c r="H41" s="7"/>
      <c r="I41" s="7"/>
      <c r="J41" s="7"/>
      <c r="K41" s="7"/>
      <c r="L41" s="7"/>
      <c r="M41" s="7"/>
      <c r="S41" s="7"/>
      <c r="T41" s="7"/>
      <c r="U41" s="7"/>
      <c r="V41" s="7"/>
      <c r="X41" s="7"/>
      <c r="Y41" s="7"/>
      <c r="Z41" s="7"/>
      <c r="AA41" s="7"/>
      <c r="AB41" s="7"/>
      <c r="AC41" s="7"/>
      <c r="AD41" s="7"/>
      <c r="AE41" s="7"/>
      <c r="AF41" s="7"/>
      <c r="AG41" s="7"/>
    </row>
    <row r="42" spans="3:39" x14ac:dyDescent="0.2">
      <c r="C42" s="1" t="str">
        <f>C$23</f>
        <v>BTR</v>
      </c>
      <c r="D42" s="21">
        <v>4</v>
      </c>
      <c r="E42" s="7">
        <v>1</v>
      </c>
      <c r="F42" s="7">
        <v>1</v>
      </c>
      <c r="G42" s="7"/>
      <c r="H42" s="7"/>
      <c r="I42" s="7"/>
      <c r="J42" s="7"/>
      <c r="K42" s="7"/>
      <c r="L42" s="7"/>
      <c r="M42" s="7"/>
      <c r="S42" s="7"/>
      <c r="T42" s="7"/>
      <c r="U42" s="7"/>
      <c r="V42" s="7"/>
      <c r="X42" s="7"/>
      <c r="Y42" s="7"/>
      <c r="Z42" s="7"/>
      <c r="AA42" s="7"/>
      <c r="AB42" s="7"/>
      <c r="AC42" s="7"/>
      <c r="AD42" s="7"/>
      <c r="AE42" s="7"/>
      <c r="AF42" s="22" t="s">
        <v>35</v>
      </c>
      <c r="AG42" s="7" t="s">
        <v>2096</v>
      </c>
      <c r="AM42" s="1" t="s">
        <v>16</v>
      </c>
    </row>
    <row r="43" spans="3:39" x14ac:dyDescent="0.2">
      <c r="D43" s="7">
        <v>4</v>
      </c>
      <c r="E43" s="7">
        <v>1</v>
      </c>
      <c r="F43" s="7">
        <v>2</v>
      </c>
      <c r="G43" s="7"/>
      <c r="H43" s="7"/>
      <c r="I43" s="7"/>
      <c r="J43" s="7"/>
      <c r="K43" s="7"/>
      <c r="L43" s="7"/>
      <c r="M43" s="7"/>
      <c r="S43" s="7"/>
      <c r="T43" s="7"/>
      <c r="U43" s="7"/>
      <c r="V43" s="7"/>
      <c r="X43" s="7"/>
      <c r="Y43" s="7"/>
      <c r="Z43" s="7"/>
      <c r="AA43" s="7"/>
      <c r="AB43" s="7"/>
      <c r="AC43" s="7"/>
      <c r="AD43" s="7"/>
      <c r="AE43" s="7"/>
      <c r="AF43" s="22" t="s">
        <v>35</v>
      </c>
      <c r="AG43" s="7" t="s">
        <v>2104</v>
      </c>
      <c r="AH43" s="1" t="s">
        <v>2107</v>
      </c>
      <c r="AM43" s="1" t="s">
        <v>2097</v>
      </c>
    </row>
    <row r="44" spans="3:39" x14ac:dyDescent="0.2">
      <c r="D44" s="7">
        <v>4</v>
      </c>
      <c r="E44" s="7">
        <v>1</v>
      </c>
      <c r="F44" s="7">
        <v>3</v>
      </c>
      <c r="G44" s="7"/>
      <c r="H44" s="7"/>
      <c r="I44" s="7"/>
      <c r="J44" s="7"/>
      <c r="K44" s="7"/>
      <c r="L44" s="7"/>
      <c r="M44" s="7"/>
      <c r="S44" s="7"/>
      <c r="T44" s="7"/>
      <c r="U44" s="7"/>
      <c r="V44" s="7"/>
      <c r="X44" s="7"/>
      <c r="Y44" s="7"/>
      <c r="Z44" s="7"/>
      <c r="AA44" s="7"/>
      <c r="AB44" s="7"/>
      <c r="AC44" s="7"/>
      <c r="AD44" s="7"/>
      <c r="AE44" s="7"/>
      <c r="AF44" s="22" t="s">
        <v>35</v>
      </c>
      <c r="AG44" s="7" t="s">
        <v>2104</v>
      </c>
      <c r="AH44" s="1" t="s">
        <v>2106</v>
      </c>
      <c r="AM44" s="1" t="s">
        <v>2128</v>
      </c>
    </row>
    <row r="45" spans="3:39" x14ac:dyDescent="0.2">
      <c r="D45" s="7"/>
      <c r="E45" s="7"/>
      <c r="F45" s="7"/>
      <c r="G45" s="7"/>
      <c r="H45" s="7"/>
      <c r="I45" s="7"/>
      <c r="J45" s="7"/>
      <c r="K45" s="7"/>
      <c r="L45" s="7"/>
      <c r="M45" s="7"/>
      <c r="S45" s="7"/>
    </row>
    <row r="46" spans="3:39" x14ac:dyDescent="0.2">
      <c r="C46" s="232" t="s">
        <v>2077</v>
      </c>
      <c r="D46" s="16" t="s">
        <v>2078</v>
      </c>
    </row>
    <row r="47" spans="3:39" x14ac:dyDescent="0.2">
      <c r="D47" s="7"/>
      <c r="E47" s="7"/>
      <c r="F47" s="7"/>
      <c r="G47" s="7"/>
      <c r="H47" s="7"/>
      <c r="I47" s="7"/>
      <c r="J47" s="7"/>
      <c r="K47" s="7"/>
      <c r="L47" s="7"/>
      <c r="M47" s="7"/>
      <c r="S47" s="7"/>
      <c r="T47" s="7"/>
      <c r="U47" s="7"/>
      <c r="V47" s="7"/>
      <c r="X47" s="7"/>
      <c r="Y47" s="7"/>
      <c r="Z47" s="7"/>
      <c r="AA47" s="7"/>
      <c r="AB47" s="7"/>
      <c r="AC47" s="7"/>
      <c r="AD47" s="7"/>
      <c r="AE47" s="7"/>
      <c r="AF47" s="7"/>
      <c r="AG47" s="7"/>
    </row>
    <row r="48" spans="3:39" x14ac:dyDescent="0.2">
      <c r="C48" s="1" t="str">
        <f>C$46</f>
        <v>STR</v>
      </c>
      <c r="D48" s="39">
        <v>1</v>
      </c>
      <c r="E48" s="7">
        <v>1</v>
      </c>
      <c r="F48" s="7"/>
      <c r="G48" s="233" t="s">
        <v>34</v>
      </c>
      <c r="H48" s="6" t="s">
        <v>39</v>
      </c>
      <c r="I48" s="7">
        <v>0</v>
      </c>
      <c r="J48" s="234" t="s">
        <v>104</v>
      </c>
      <c r="K48" s="7"/>
      <c r="L48" s="7"/>
      <c r="M48" s="7"/>
      <c r="S48" s="7"/>
      <c r="T48" s="7"/>
      <c r="U48" s="7"/>
      <c r="V48" s="7"/>
      <c r="X48" s="7"/>
      <c r="Y48" s="7"/>
      <c r="Z48" s="7"/>
      <c r="AA48" s="7"/>
      <c r="AB48" s="7"/>
      <c r="AC48" s="7"/>
      <c r="AD48" s="7"/>
      <c r="AE48" s="7"/>
      <c r="AF48" s="22" t="s">
        <v>35</v>
      </c>
      <c r="AG48" s="7" t="s">
        <v>2080</v>
      </c>
      <c r="AH48" s="237" t="s">
        <v>2087</v>
      </c>
      <c r="AK48" s="13" t="s">
        <v>61</v>
      </c>
      <c r="AL48" s="13"/>
    </row>
    <row r="49" spans="3:45" x14ac:dyDescent="0.2">
      <c r="D49" s="7">
        <v>1</v>
      </c>
      <c r="E49" s="7">
        <v>2</v>
      </c>
      <c r="F49" s="7"/>
      <c r="G49" s="233" t="s">
        <v>34</v>
      </c>
      <c r="H49" s="6" t="s">
        <v>2063</v>
      </c>
      <c r="I49" s="7">
        <v>0</v>
      </c>
      <c r="J49" s="6"/>
      <c r="K49" s="7"/>
      <c r="L49" s="7"/>
      <c r="M49" s="7"/>
      <c r="S49" s="7"/>
      <c r="T49" s="7"/>
      <c r="U49" s="7"/>
      <c r="V49" s="7"/>
      <c r="X49" s="7"/>
      <c r="Y49" s="7"/>
      <c r="Z49" s="7"/>
      <c r="AA49" s="7"/>
      <c r="AB49" s="7"/>
      <c r="AC49" s="7"/>
      <c r="AD49" s="7"/>
      <c r="AE49" s="7"/>
      <c r="AF49" s="22" t="s">
        <v>35</v>
      </c>
      <c r="AG49" s="7" t="s">
        <v>2080</v>
      </c>
      <c r="AH49" s="40">
        <v>2</v>
      </c>
      <c r="AM49" s="1" t="s">
        <v>2108</v>
      </c>
    </row>
    <row r="50" spans="3:45" x14ac:dyDescent="0.2">
      <c r="D50" s="7">
        <v>1</v>
      </c>
      <c r="E50" s="7">
        <v>3</v>
      </c>
      <c r="F50" s="7"/>
      <c r="G50" s="233" t="s">
        <v>34</v>
      </c>
      <c r="H50" s="6" t="s">
        <v>63</v>
      </c>
      <c r="I50" s="6" t="s">
        <v>62</v>
      </c>
      <c r="J50" s="6"/>
      <c r="K50" s="7"/>
      <c r="L50" s="6"/>
      <c r="M50" s="6"/>
      <c r="S50" s="7"/>
      <c r="T50" s="7"/>
      <c r="U50" s="7"/>
      <c r="V50" s="7"/>
      <c r="X50" s="7"/>
      <c r="Y50" s="7"/>
      <c r="Z50" s="7"/>
      <c r="AA50" s="7"/>
      <c r="AB50" s="7"/>
      <c r="AC50" s="7"/>
      <c r="AD50" s="7"/>
      <c r="AE50" s="7"/>
      <c r="AF50" s="22" t="s">
        <v>35</v>
      </c>
      <c r="AG50" s="7" t="s">
        <v>2080</v>
      </c>
      <c r="AH50" s="40">
        <v>2</v>
      </c>
      <c r="AM50" s="1" t="s">
        <v>2108</v>
      </c>
      <c r="AS50" s="1" t="s">
        <v>2109</v>
      </c>
    </row>
    <row r="51" spans="3:45" x14ac:dyDescent="0.2">
      <c r="D51" s="7"/>
      <c r="E51" s="7"/>
      <c r="F51" s="7"/>
      <c r="G51" s="7"/>
      <c r="H51" s="7"/>
      <c r="I51" s="7"/>
      <c r="J51" s="7"/>
      <c r="K51" s="7"/>
      <c r="L51" s="7"/>
      <c r="M51" s="7"/>
      <c r="S51" s="7"/>
      <c r="T51" s="7"/>
      <c r="U51" s="7"/>
      <c r="V51" s="7"/>
      <c r="X51" s="7"/>
      <c r="Y51" s="7"/>
      <c r="Z51" s="7"/>
      <c r="AA51" s="7"/>
      <c r="AB51" s="7"/>
      <c r="AC51" s="7"/>
      <c r="AD51" s="7"/>
      <c r="AE51" s="7"/>
      <c r="AF51" s="7"/>
      <c r="AG51" s="7"/>
    </row>
    <row r="52" spans="3:45" x14ac:dyDescent="0.2">
      <c r="C52" s="1" t="str">
        <f>C$46</f>
        <v>STR</v>
      </c>
      <c r="D52" s="40">
        <v>2</v>
      </c>
      <c r="E52" s="7">
        <v>1</v>
      </c>
      <c r="F52" s="7"/>
      <c r="G52" s="233" t="s">
        <v>34</v>
      </c>
      <c r="H52" s="7"/>
      <c r="I52" s="7"/>
      <c r="J52" s="7"/>
      <c r="K52" s="7" t="s">
        <v>41</v>
      </c>
      <c r="L52" s="7"/>
      <c r="M52" s="7"/>
      <c r="S52" s="7"/>
      <c r="T52" s="7"/>
      <c r="U52" s="7"/>
      <c r="V52" s="7"/>
      <c r="X52" s="7"/>
      <c r="Y52" s="7"/>
      <c r="Z52" s="7"/>
      <c r="AA52" s="7"/>
      <c r="AB52" s="7"/>
      <c r="AC52" s="7"/>
      <c r="AD52" s="7"/>
      <c r="AE52" s="7"/>
      <c r="AF52" s="22" t="s">
        <v>35</v>
      </c>
      <c r="AG52" s="7" t="s">
        <v>2080</v>
      </c>
      <c r="AH52" s="237" t="s">
        <v>2087</v>
      </c>
      <c r="AK52" s="13" t="s">
        <v>61</v>
      </c>
      <c r="AL52" s="13"/>
    </row>
    <row r="53" spans="3:45" x14ac:dyDescent="0.2">
      <c r="D53" s="7">
        <v>2</v>
      </c>
      <c r="E53" s="7">
        <v>2</v>
      </c>
      <c r="F53" s="7"/>
      <c r="G53" s="233" t="s">
        <v>34</v>
      </c>
      <c r="H53" s="7"/>
      <c r="I53" s="7"/>
      <c r="J53" s="7"/>
      <c r="K53" s="7" t="s">
        <v>37</v>
      </c>
      <c r="L53" s="7"/>
      <c r="M53" s="7"/>
      <c r="S53" s="7"/>
      <c r="T53" s="7"/>
      <c r="U53" s="7"/>
      <c r="V53" s="7"/>
      <c r="X53" s="7"/>
      <c r="Y53" s="7"/>
      <c r="Z53" s="7"/>
      <c r="AA53" s="7"/>
      <c r="AB53" s="7"/>
      <c r="AC53" s="7"/>
      <c r="AD53" s="7"/>
      <c r="AE53" s="7"/>
      <c r="AF53" s="22" t="s">
        <v>35</v>
      </c>
      <c r="AG53" s="7" t="s">
        <v>2080</v>
      </c>
      <c r="AH53" s="237" t="s">
        <v>2087</v>
      </c>
      <c r="AK53" s="13" t="s">
        <v>61</v>
      </c>
      <c r="AL53" s="13"/>
    </row>
    <row r="54" spans="3:45" x14ac:dyDescent="0.2">
      <c r="D54" s="7">
        <v>2</v>
      </c>
      <c r="E54" s="7">
        <v>3</v>
      </c>
      <c r="F54" s="7"/>
      <c r="G54" s="233" t="s">
        <v>34</v>
      </c>
      <c r="H54" s="7"/>
      <c r="I54" s="7"/>
      <c r="J54" s="7"/>
      <c r="K54" s="7" t="s">
        <v>67</v>
      </c>
      <c r="L54" s="7"/>
      <c r="M54" s="7"/>
      <c r="S54" s="7"/>
      <c r="T54" s="7"/>
      <c r="U54" s="7"/>
      <c r="V54" s="7"/>
      <c r="X54" s="7"/>
      <c r="Y54" s="7"/>
      <c r="Z54" s="7"/>
      <c r="AA54" s="7"/>
      <c r="AB54" s="7"/>
      <c r="AC54" s="7"/>
      <c r="AD54" s="7"/>
      <c r="AE54" s="7"/>
      <c r="AF54" s="22" t="s">
        <v>35</v>
      </c>
      <c r="AG54" s="7" t="s">
        <v>2080</v>
      </c>
      <c r="AH54" s="22">
        <v>3.1</v>
      </c>
      <c r="AM54" s="1" t="s">
        <v>2113</v>
      </c>
      <c r="AN54" s="7"/>
      <c r="AO54" s="14"/>
    </row>
    <row r="55" spans="3:45" x14ac:dyDescent="0.2">
      <c r="D55" s="7">
        <v>2</v>
      </c>
      <c r="E55" s="7">
        <v>4</v>
      </c>
      <c r="F55" s="7"/>
      <c r="G55" s="233" t="s">
        <v>34</v>
      </c>
      <c r="H55" s="7"/>
      <c r="I55" s="7"/>
      <c r="J55" s="7"/>
      <c r="K55" s="7" t="s">
        <v>68</v>
      </c>
      <c r="L55" s="7"/>
      <c r="M55" s="7"/>
      <c r="N55" s="233" t="s">
        <v>193</v>
      </c>
      <c r="O55" s="1" t="s">
        <v>1872</v>
      </c>
      <c r="P55" s="1" t="s">
        <v>1871</v>
      </c>
      <c r="Q55" s="1" t="s">
        <v>2123</v>
      </c>
      <c r="S55" s="7"/>
      <c r="T55" s="7"/>
      <c r="U55" s="7"/>
      <c r="V55" s="7"/>
      <c r="X55" s="7"/>
      <c r="Y55" s="7"/>
      <c r="Z55" s="7"/>
      <c r="AA55" s="7"/>
      <c r="AB55" s="7"/>
      <c r="AC55" s="7"/>
      <c r="AD55" s="7"/>
      <c r="AE55" s="7"/>
      <c r="AF55" s="22" t="s">
        <v>35</v>
      </c>
      <c r="AG55" s="7" t="s">
        <v>2080</v>
      </c>
      <c r="AH55" s="22">
        <v>3.2</v>
      </c>
      <c r="AM55" s="1" t="s">
        <v>2114</v>
      </c>
      <c r="AN55" s="7"/>
      <c r="AO55" s="14"/>
    </row>
    <row r="56" spans="3:45" x14ac:dyDescent="0.2">
      <c r="D56" s="7"/>
      <c r="E56" s="7"/>
      <c r="F56" s="7"/>
      <c r="G56" s="7"/>
      <c r="H56" s="7"/>
      <c r="I56" s="7"/>
      <c r="J56" s="7"/>
      <c r="K56" s="7"/>
      <c r="L56" s="7"/>
      <c r="M56" s="7"/>
      <c r="S56" s="7"/>
      <c r="T56" s="7"/>
      <c r="U56" s="7"/>
      <c r="V56" s="7"/>
      <c r="X56" s="7"/>
      <c r="Y56" s="7"/>
      <c r="Z56" s="7"/>
      <c r="AA56" s="7"/>
      <c r="AB56" s="7"/>
      <c r="AC56" s="7"/>
      <c r="AD56" s="7"/>
      <c r="AE56" s="7"/>
      <c r="AF56" s="7"/>
      <c r="AG56" s="7"/>
    </row>
    <row r="57" spans="3:45" x14ac:dyDescent="0.2">
      <c r="C57" s="1" t="str">
        <f>C$46</f>
        <v>STR</v>
      </c>
      <c r="D57" s="22">
        <v>3</v>
      </c>
      <c r="E57" s="7">
        <v>1</v>
      </c>
      <c r="F57" s="7">
        <v>1</v>
      </c>
      <c r="G57" s="233" t="s">
        <v>34</v>
      </c>
      <c r="H57" s="7"/>
      <c r="I57" s="7"/>
      <c r="J57" s="7"/>
      <c r="K57" s="7" t="s">
        <v>67</v>
      </c>
      <c r="L57" s="233" t="s">
        <v>193</v>
      </c>
      <c r="M57" s="7" t="s">
        <v>53</v>
      </c>
      <c r="S57" s="233" t="s">
        <v>193</v>
      </c>
      <c r="T57" s="235" t="s">
        <v>2088</v>
      </c>
      <c r="U57" s="233" t="s">
        <v>193</v>
      </c>
      <c r="V57" s="238" t="s">
        <v>199</v>
      </c>
      <c r="W57" s="1" t="s">
        <v>2122</v>
      </c>
      <c r="X57" s="7" t="s">
        <v>1871</v>
      </c>
      <c r="Y57" s="7" t="s">
        <v>2093</v>
      </c>
      <c r="Z57" s="239" t="s">
        <v>2091</v>
      </c>
      <c r="AA57" s="7" t="s">
        <v>2095</v>
      </c>
      <c r="AB57" s="7" t="s">
        <v>1870</v>
      </c>
      <c r="AC57" s="233" t="s">
        <v>193</v>
      </c>
      <c r="AD57" s="7" t="s">
        <v>2100</v>
      </c>
      <c r="AE57" s="7"/>
      <c r="AF57" s="22" t="s">
        <v>35</v>
      </c>
      <c r="AG57" s="7" t="s">
        <v>2080</v>
      </c>
      <c r="AH57" s="21">
        <v>4</v>
      </c>
      <c r="AI57" s="233" t="s">
        <v>193</v>
      </c>
      <c r="AJ57" s="7" t="s">
        <v>74</v>
      </c>
      <c r="AK57" s="12" t="s">
        <v>71</v>
      </c>
      <c r="AL57" s="12"/>
      <c r="AM57" s="1" t="s">
        <v>2118</v>
      </c>
    </row>
    <row r="58" spans="3:45" x14ac:dyDescent="0.2">
      <c r="D58" s="7">
        <v>3</v>
      </c>
      <c r="E58" s="7">
        <v>1</v>
      </c>
      <c r="F58" s="7">
        <v>2</v>
      </c>
      <c r="G58" s="233" t="s">
        <v>34</v>
      </c>
      <c r="H58" s="7"/>
      <c r="I58" s="7"/>
      <c r="J58" s="7"/>
      <c r="K58" s="7" t="s">
        <v>67</v>
      </c>
      <c r="L58" s="233" t="s">
        <v>193</v>
      </c>
      <c r="M58" s="7" t="s">
        <v>57</v>
      </c>
      <c r="S58" s="233" t="s">
        <v>193</v>
      </c>
      <c r="T58" s="235" t="s">
        <v>2088</v>
      </c>
      <c r="U58" s="233" t="s">
        <v>193</v>
      </c>
      <c r="V58" s="238" t="s">
        <v>199</v>
      </c>
      <c r="W58" s="1" t="s">
        <v>2122</v>
      </c>
      <c r="X58" s="7" t="s">
        <v>1870</v>
      </c>
      <c r="Y58" s="7" t="s">
        <v>2093</v>
      </c>
      <c r="Z58" s="239" t="s">
        <v>2091</v>
      </c>
      <c r="AA58" s="7" t="s">
        <v>2095</v>
      </c>
      <c r="AB58" s="7" t="s">
        <v>1869</v>
      </c>
      <c r="AC58" s="233" t="s">
        <v>193</v>
      </c>
      <c r="AD58" s="7" t="s">
        <v>2100</v>
      </c>
      <c r="AE58" s="7"/>
      <c r="AF58" s="22" t="s">
        <v>35</v>
      </c>
      <c r="AG58" s="7" t="s">
        <v>2080</v>
      </c>
      <c r="AH58" s="21">
        <v>4</v>
      </c>
      <c r="AI58" s="233" t="s">
        <v>193</v>
      </c>
      <c r="AJ58" s="7" t="s">
        <v>74</v>
      </c>
      <c r="AK58" s="3" t="s">
        <v>72</v>
      </c>
      <c r="AL58" s="3"/>
      <c r="AM58" s="1" t="s">
        <v>2119</v>
      </c>
    </row>
    <row r="59" spans="3:45" x14ac:dyDescent="0.2">
      <c r="D59" s="7">
        <v>3</v>
      </c>
      <c r="E59" s="7">
        <v>2</v>
      </c>
      <c r="F59" s="7">
        <v>1</v>
      </c>
      <c r="G59" s="233" t="s">
        <v>34</v>
      </c>
      <c r="H59" s="7"/>
      <c r="I59" s="7"/>
      <c r="J59" s="7"/>
      <c r="K59" s="7" t="s">
        <v>68</v>
      </c>
      <c r="L59" s="233" t="s">
        <v>193</v>
      </c>
      <c r="M59" s="7" t="s">
        <v>49</v>
      </c>
      <c r="N59" s="233" t="s">
        <v>193</v>
      </c>
      <c r="O59" s="1" t="s">
        <v>1872</v>
      </c>
      <c r="P59" s="1" t="s">
        <v>1871</v>
      </c>
      <c r="Q59" s="1" t="s">
        <v>2123</v>
      </c>
      <c r="S59" s="233" t="s">
        <v>193</v>
      </c>
      <c r="T59" s="235" t="s">
        <v>2088</v>
      </c>
      <c r="U59" s="233" t="s">
        <v>193</v>
      </c>
      <c r="V59" s="238" t="s">
        <v>199</v>
      </c>
      <c r="W59" s="1" t="s">
        <v>2122</v>
      </c>
      <c r="X59" s="7" t="s">
        <v>1872</v>
      </c>
      <c r="Y59" s="7" t="s">
        <v>2093</v>
      </c>
      <c r="Z59" s="239" t="s">
        <v>2091</v>
      </c>
      <c r="AA59" s="7" t="s">
        <v>2095</v>
      </c>
      <c r="AB59" s="7" t="s">
        <v>1871</v>
      </c>
      <c r="AC59" s="233" t="s">
        <v>193</v>
      </c>
      <c r="AD59" s="7" t="s">
        <v>2100</v>
      </c>
      <c r="AE59" s="7"/>
      <c r="AF59" s="22" t="s">
        <v>35</v>
      </c>
      <c r="AG59" s="7" t="s">
        <v>2080</v>
      </c>
      <c r="AH59" s="21">
        <v>4</v>
      </c>
      <c r="AI59" s="233" t="s">
        <v>193</v>
      </c>
      <c r="AJ59" s="7" t="s">
        <v>74</v>
      </c>
      <c r="AK59" s="11" t="s">
        <v>73</v>
      </c>
      <c r="AL59" s="11"/>
      <c r="AM59" s="1" t="s">
        <v>2120</v>
      </c>
    </row>
    <row r="60" spans="3:45" x14ac:dyDescent="0.2">
      <c r="D60" s="7">
        <v>3</v>
      </c>
      <c r="E60" s="7">
        <v>2</v>
      </c>
      <c r="F60" s="7">
        <v>2</v>
      </c>
      <c r="G60" s="233" t="s">
        <v>34</v>
      </c>
      <c r="H60" s="7"/>
      <c r="I60" s="7"/>
      <c r="J60" s="7"/>
      <c r="K60" s="7" t="s">
        <v>68</v>
      </c>
      <c r="L60" s="233" t="s">
        <v>193</v>
      </c>
      <c r="M60" s="7" t="s">
        <v>53</v>
      </c>
      <c r="N60" s="233" t="s">
        <v>193</v>
      </c>
      <c r="O60" s="1" t="s">
        <v>1871</v>
      </c>
      <c r="P60" s="1" t="s">
        <v>1870</v>
      </c>
      <c r="Q60" s="1" t="s">
        <v>2123</v>
      </c>
      <c r="S60" s="233" t="s">
        <v>193</v>
      </c>
      <c r="T60" s="235" t="s">
        <v>2088</v>
      </c>
      <c r="U60" s="233" t="s">
        <v>193</v>
      </c>
      <c r="V60" s="238" t="s">
        <v>199</v>
      </c>
      <c r="W60" s="1" t="s">
        <v>2122</v>
      </c>
      <c r="X60" s="7" t="s">
        <v>1871</v>
      </c>
      <c r="Y60" s="7" t="s">
        <v>2093</v>
      </c>
      <c r="Z60" s="239" t="s">
        <v>2091</v>
      </c>
      <c r="AA60" s="7" t="s">
        <v>2095</v>
      </c>
      <c r="AB60" s="7" t="s">
        <v>1870</v>
      </c>
      <c r="AC60" s="233" t="s">
        <v>193</v>
      </c>
      <c r="AD60" s="7" t="s">
        <v>2100</v>
      </c>
      <c r="AE60" s="7"/>
      <c r="AF60" s="22" t="s">
        <v>35</v>
      </c>
      <c r="AG60" s="7" t="s">
        <v>2080</v>
      </c>
      <c r="AH60" s="21">
        <v>4</v>
      </c>
      <c r="AI60" s="233" t="s">
        <v>193</v>
      </c>
      <c r="AJ60" s="7" t="s">
        <v>74</v>
      </c>
      <c r="AK60" s="12" t="s">
        <v>71</v>
      </c>
      <c r="AL60" s="12"/>
      <c r="AM60" s="1" t="s">
        <v>2118</v>
      </c>
    </row>
    <row r="61" spans="3:45" x14ac:dyDescent="0.2">
      <c r="D61" s="7">
        <v>3</v>
      </c>
      <c r="E61" s="7">
        <v>2</v>
      </c>
      <c r="F61" s="7">
        <v>3</v>
      </c>
      <c r="G61" s="233" t="s">
        <v>34</v>
      </c>
      <c r="H61" s="7"/>
      <c r="I61" s="7"/>
      <c r="J61" s="7"/>
      <c r="K61" s="7" t="s">
        <v>68</v>
      </c>
      <c r="L61" s="233" t="s">
        <v>193</v>
      </c>
      <c r="M61" s="7" t="s">
        <v>57</v>
      </c>
      <c r="N61" s="233" t="s">
        <v>193</v>
      </c>
      <c r="O61" s="1" t="s">
        <v>1870</v>
      </c>
      <c r="P61" s="1" t="s">
        <v>1869</v>
      </c>
      <c r="Q61" s="1" t="s">
        <v>2123</v>
      </c>
      <c r="S61" s="233" t="s">
        <v>193</v>
      </c>
      <c r="T61" s="235" t="s">
        <v>2088</v>
      </c>
      <c r="U61" s="233" t="s">
        <v>193</v>
      </c>
      <c r="V61" s="238" t="s">
        <v>199</v>
      </c>
      <c r="W61" s="1" t="s">
        <v>2122</v>
      </c>
      <c r="X61" s="7" t="s">
        <v>1870</v>
      </c>
      <c r="Y61" s="7" t="s">
        <v>2093</v>
      </c>
      <c r="Z61" s="239" t="s">
        <v>2091</v>
      </c>
      <c r="AA61" s="7" t="s">
        <v>2095</v>
      </c>
      <c r="AB61" s="7" t="s">
        <v>1869</v>
      </c>
      <c r="AC61" s="233" t="s">
        <v>193</v>
      </c>
      <c r="AD61" s="7" t="s">
        <v>2100</v>
      </c>
      <c r="AE61" s="7"/>
      <c r="AF61" s="22" t="s">
        <v>35</v>
      </c>
      <c r="AG61" s="7" t="s">
        <v>2080</v>
      </c>
      <c r="AH61" s="21">
        <v>4</v>
      </c>
      <c r="AI61" s="233" t="s">
        <v>193</v>
      </c>
      <c r="AJ61" s="7" t="s">
        <v>74</v>
      </c>
      <c r="AK61" s="3" t="s">
        <v>72</v>
      </c>
      <c r="AL61" s="3"/>
      <c r="AM61" s="1" t="s">
        <v>2119</v>
      </c>
    </row>
    <row r="62" spans="3:45" x14ac:dyDescent="0.2">
      <c r="D62" s="7">
        <v>3</v>
      </c>
      <c r="E62" s="7"/>
      <c r="F62" s="7"/>
      <c r="G62" s="233" t="s">
        <v>34</v>
      </c>
      <c r="H62" s="7"/>
      <c r="I62" s="7"/>
      <c r="J62" s="7"/>
      <c r="K62" s="7"/>
      <c r="L62" s="7"/>
      <c r="M62" s="7"/>
      <c r="S62" s="7"/>
      <c r="T62" s="7"/>
      <c r="U62" s="7"/>
      <c r="V62" s="7"/>
      <c r="X62" s="7"/>
      <c r="Y62" s="7"/>
      <c r="Z62" s="7"/>
      <c r="AA62" s="7"/>
      <c r="AB62" s="7"/>
      <c r="AC62" s="7"/>
      <c r="AD62" s="7"/>
      <c r="AE62" s="7"/>
      <c r="AF62" s="7"/>
      <c r="AG62" s="7"/>
    </row>
    <row r="63" spans="3:45" x14ac:dyDescent="0.2">
      <c r="D63" s="7">
        <v>3</v>
      </c>
      <c r="E63" s="7"/>
      <c r="F63" s="7"/>
      <c r="G63" s="233" t="s">
        <v>34</v>
      </c>
      <c r="H63" s="7"/>
      <c r="I63" s="7"/>
      <c r="J63" s="7"/>
      <c r="K63" s="7"/>
      <c r="L63" s="7"/>
      <c r="M63" s="7"/>
      <c r="S63" s="7"/>
      <c r="T63" s="7"/>
      <c r="U63" s="7"/>
      <c r="V63" s="7"/>
      <c r="X63" s="7"/>
      <c r="Y63" s="7"/>
      <c r="Z63" s="7"/>
      <c r="AA63" s="7"/>
      <c r="AB63" s="7"/>
      <c r="AC63" s="7"/>
      <c r="AD63" s="7"/>
      <c r="AE63" s="7"/>
      <c r="AF63" s="7"/>
      <c r="AG63" s="7"/>
    </row>
    <row r="64" spans="3:45" x14ac:dyDescent="0.2">
      <c r="D64" s="7"/>
      <c r="E64" s="7"/>
      <c r="F64" s="7"/>
      <c r="G64" s="7"/>
      <c r="H64" s="7"/>
      <c r="I64" s="7"/>
      <c r="J64" s="7"/>
      <c r="K64" s="7"/>
      <c r="L64" s="7"/>
      <c r="M64" s="7"/>
      <c r="S64" s="7"/>
      <c r="T64" s="7"/>
      <c r="U64" s="7"/>
      <c r="V64" s="7"/>
      <c r="X64" s="7"/>
      <c r="Y64" s="7"/>
      <c r="Z64" s="7"/>
      <c r="AA64" s="7"/>
      <c r="AB64" s="7"/>
      <c r="AC64" s="7"/>
      <c r="AD64" s="7"/>
      <c r="AE64" s="7"/>
      <c r="AF64" s="7"/>
      <c r="AG64" s="7"/>
    </row>
    <row r="65" spans="3:39" x14ac:dyDescent="0.2">
      <c r="C65" s="1" t="str">
        <f>C$46</f>
        <v>STR</v>
      </c>
      <c r="D65" s="21">
        <v>4</v>
      </c>
      <c r="E65" s="7">
        <v>1</v>
      </c>
      <c r="F65" s="7">
        <v>1</v>
      </c>
      <c r="G65" s="7"/>
      <c r="H65" s="7"/>
      <c r="I65" s="7"/>
      <c r="J65" s="7"/>
      <c r="K65" s="7"/>
      <c r="L65" s="7"/>
      <c r="M65" s="7"/>
      <c r="S65" s="7"/>
      <c r="T65" s="7"/>
      <c r="U65" s="7"/>
      <c r="V65" s="7"/>
      <c r="X65" s="7"/>
      <c r="Y65" s="7"/>
      <c r="Z65" s="7"/>
      <c r="AA65" s="7"/>
      <c r="AB65" s="7"/>
      <c r="AC65" s="7"/>
      <c r="AD65" s="7"/>
      <c r="AE65" s="7"/>
      <c r="AF65" s="22" t="s">
        <v>35</v>
      </c>
      <c r="AG65" s="7" t="s">
        <v>2096</v>
      </c>
      <c r="AM65" s="1" t="s">
        <v>16</v>
      </c>
    </row>
    <row r="66" spans="3:39" x14ac:dyDescent="0.2">
      <c r="D66" s="7">
        <v>4</v>
      </c>
      <c r="E66" s="7">
        <v>1</v>
      </c>
      <c r="F66" s="7">
        <v>2</v>
      </c>
      <c r="G66" s="7"/>
      <c r="H66" s="7"/>
      <c r="I66" s="7"/>
      <c r="J66" s="7"/>
      <c r="K66" s="7"/>
      <c r="L66" s="7"/>
      <c r="M66" s="7"/>
      <c r="S66" s="7"/>
      <c r="T66" s="7"/>
      <c r="U66" s="7"/>
      <c r="V66" s="7"/>
      <c r="X66" s="7"/>
      <c r="Y66" s="7"/>
      <c r="Z66" s="7"/>
      <c r="AA66" s="7"/>
      <c r="AB66" s="7"/>
      <c r="AC66" s="7"/>
      <c r="AD66" s="7"/>
      <c r="AE66" s="7"/>
      <c r="AF66" s="22" t="s">
        <v>35</v>
      </c>
      <c r="AG66" s="7" t="s">
        <v>2104</v>
      </c>
      <c r="AH66" s="1" t="s">
        <v>2107</v>
      </c>
      <c r="AM66" s="1" t="s">
        <v>2126</v>
      </c>
    </row>
    <row r="67" spans="3:39" x14ac:dyDescent="0.2">
      <c r="D67" s="7">
        <v>4</v>
      </c>
      <c r="E67" s="7">
        <v>1</v>
      </c>
      <c r="F67" s="7">
        <v>3</v>
      </c>
      <c r="G67" s="7"/>
      <c r="H67" s="7"/>
      <c r="I67" s="7"/>
      <c r="J67" s="7"/>
      <c r="K67" s="7"/>
      <c r="L67" s="7"/>
      <c r="M67" s="7"/>
      <c r="S67" s="7"/>
      <c r="T67" s="7"/>
      <c r="U67" s="7"/>
      <c r="V67" s="7"/>
      <c r="X67" s="7"/>
      <c r="Y67" s="7"/>
      <c r="Z67" s="7"/>
      <c r="AA67" s="7"/>
      <c r="AB67" s="7"/>
      <c r="AC67" s="7"/>
      <c r="AD67" s="7"/>
      <c r="AE67" s="7"/>
      <c r="AF67" s="22" t="s">
        <v>35</v>
      </c>
      <c r="AG67" s="7" t="s">
        <v>2104</v>
      </c>
      <c r="AH67" s="1" t="s">
        <v>2106</v>
      </c>
      <c r="AM67" s="1" t="s">
        <v>2127</v>
      </c>
    </row>
    <row r="88" spans="2:5" x14ac:dyDescent="0.2">
      <c r="B88" s="1" t="s">
        <v>31</v>
      </c>
    </row>
    <row r="89" spans="2:5" x14ac:dyDescent="0.2">
      <c r="C89" s="1" t="s">
        <v>0</v>
      </c>
    </row>
    <row r="90" spans="2:5" x14ac:dyDescent="0.2">
      <c r="D90" s="1" t="s">
        <v>100</v>
      </c>
    </row>
    <row r="91" spans="2:5" x14ac:dyDescent="0.2">
      <c r="E91" s="1" t="s">
        <v>8</v>
      </c>
    </row>
    <row r="92" spans="2:5" x14ac:dyDescent="0.2">
      <c r="D92" s="1" t="s">
        <v>101</v>
      </c>
    </row>
    <row r="93" spans="2:5" x14ac:dyDescent="0.2">
      <c r="E93" s="1" t="s">
        <v>2</v>
      </c>
    </row>
    <row r="94" spans="2:5" x14ac:dyDescent="0.2">
      <c r="E94" s="1" t="s">
        <v>93</v>
      </c>
    </row>
    <row r="95" spans="2:5" x14ac:dyDescent="0.2">
      <c r="E95" s="1" t="s">
        <v>92</v>
      </c>
    </row>
    <row r="96" spans="2:5" x14ac:dyDescent="0.2">
      <c r="D96" s="1" t="s">
        <v>102</v>
      </c>
    </row>
    <row r="97" spans="3:6" x14ac:dyDescent="0.2">
      <c r="E97" s="1" t="s">
        <v>10</v>
      </c>
    </row>
    <row r="98" spans="3:6" x14ac:dyDescent="0.2">
      <c r="F98" s="1" t="s">
        <v>94</v>
      </c>
    </row>
    <row r="99" spans="3:6" x14ac:dyDescent="0.2">
      <c r="F99" s="1" t="s">
        <v>95</v>
      </c>
    </row>
    <row r="100" spans="3:6" x14ac:dyDescent="0.2">
      <c r="E100" s="1" t="s">
        <v>13</v>
      </c>
    </row>
    <row r="101" spans="3:6" x14ac:dyDescent="0.2">
      <c r="F101" s="1" t="s">
        <v>94</v>
      </c>
    </row>
    <row r="102" spans="3:6" x14ac:dyDescent="0.2">
      <c r="F102" s="1" t="s">
        <v>95</v>
      </c>
    </row>
    <row r="103" spans="3:6" x14ac:dyDescent="0.2">
      <c r="F103" s="1" t="s">
        <v>96</v>
      </c>
    </row>
    <row r="104" spans="3:6" x14ac:dyDescent="0.2">
      <c r="D104" s="1" t="s">
        <v>103</v>
      </c>
    </row>
    <row r="105" spans="3:6" x14ac:dyDescent="0.2">
      <c r="E105" s="1" t="s">
        <v>16</v>
      </c>
    </row>
    <row r="106" spans="3:6" x14ac:dyDescent="0.2">
      <c r="F106" s="1" t="s">
        <v>17</v>
      </c>
    </row>
    <row r="107" spans="3:6" x14ac:dyDescent="0.2">
      <c r="F107" s="1" t="s">
        <v>18</v>
      </c>
    </row>
    <row r="109" spans="3:6" x14ac:dyDescent="0.2">
      <c r="C109" s="1" t="s">
        <v>19</v>
      </c>
    </row>
    <row r="110" spans="3:6" x14ac:dyDescent="0.2">
      <c r="D110" s="1" t="s">
        <v>100</v>
      </c>
    </row>
    <row r="111" spans="3:6" x14ac:dyDescent="0.2">
      <c r="E111" s="1" t="s">
        <v>23</v>
      </c>
    </row>
    <row r="112" spans="3:6" x14ac:dyDescent="0.2">
      <c r="D112" s="1" t="s">
        <v>101</v>
      </c>
    </row>
    <row r="113" spans="4:6" x14ac:dyDescent="0.2">
      <c r="E113" s="1" t="s">
        <v>20</v>
      </c>
    </row>
    <row r="114" spans="4:6" x14ac:dyDescent="0.2">
      <c r="E114" s="1" t="s">
        <v>21</v>
      </c>
    </row>
    <row r="115" spans="4:6" x14ac:dyDescent="0.2">
      <c r="E115" s="1" t="s">
        <v>22</v>
      </c>
    </row>
    <row r="116" spans="4:6" x14ac:dyDescent="0.2">
      <c r="D116" s="1" t="s">
        <v>102</v>
      </c>
    </row>
    <row r="117" spans="4:6" x14ac:dyDescent="0.2">
      <c r="E117" s="1" t="s">
        <v>10</v>
      </c>
    </row>
    <row r="118" spans="4:6" x14ac:dyDescent="0.2">
      <c r="F118" s="1" t="s">
        <v>97</v>
      </c>
    </row>
    <row r="119" spans="4:6" x14ac:dyDescent="0.2">
      <c r="F119" s="1" t="s">
        <v>98</v>
      </c>
    </row>
    <row r="120" spans="4:6" x14ac:dyDescent="0.2">
      <c r="E120" s="1" t="s">
        <v>13</v>
      </c>
    </row>
    <row r="121" spans="4:6" x14ac:dyDescent="0.2">
      <c r="F121" s="1" t="s">
        <v>97</v>
      </c>
    </row>
    <row r="122" spans="4:6" x14ac:dyDescent="0.2">
      <c r="F122" s="1" t="s">
        <v>105</v>
      </c>
    </row>
    <row r="123" spans="4:6" x14ac:dyDescent="0.2">
      <c r="F123" s="1" t="s">
        <v>106</v>
      </c>
    </row>
    <row r="124" spans="4:6" x14ac:dyDescent="0.2">
      <c r="D124" s="1" t="s">
        <v>103</v>
      </c>
    </row>
    <row r="125" spans="4:6" x14ac:dyDescent="0.2">
      <c r="E125" s="1" t="s">
        <v>28</v>
      </c>
    </row>
    <row r="126" spans="4:6" x14ac:dyDescent="0.2">
      <c r="F126" s="1" t="s">
        <v>29</v>
      </c>
    </row>
    <row r="127" spans="4:6" x14ac:dyDescent="0.2">
      <c r="F127" s="1" t="s">
        <v>30</v>
      </c>
    </row>
  </sheetData>
  <mergeCells count="8">
    <mergeCell ref="O5:U5"/>
    <mergeCell ref="D6:D8"/>
    <mergeCell ref="E6:K6"/>
    <mergeCell ref="E7:E8"/>
    <mergeCell ref="F7:F8"/>
    <mergeCell ref="G7:G8"/>
    <mergeCell ref="I7:K7"/>
    <mergeCell ref="H7:H8"/>
  </mergeCells>
  <dataValidations count="10">
    <dataValidation allowBlank="1" showInputMessage="1" showErrorMessage="1" promptTitle="Trending Weak" prompt=" " sqref="K8" xr:uid="{7B03B919-6363-F845-98D1-E138EF3B9DAB}"/>
    <dataValidation allowBlank="1" showInputMessage="1" showErrorMessage="1" promptTitle="Trending Medium" prompt=" " sqref="J8" xr:uid="{EC3D6201-D862-EB40-9E0D-859B088B251A}"/>
    <dataValidation allowBlank="1" showInputMessage="1" showErrorMessage="1" promptTitle="Trending Strong" prompt=" " sqref="I8" xr:uid="{4CE73D65-3AC5-6E48-AC4F-A2E19720151F}"/>
    <dataValidation allowBlank="1" showInputMessage="1" showErrorMessage="1" promptTitle="Trending Market" prompt=" " sqref="I7:K7 H7:H8" xr:uid="{1A579DED-065A-8946-839D-EFBD9D0FEB40}"/>
    <dataValidation allowBlank="1" showInputMessage="1" showErrorMessage="1" promptTitle="Emerging Market" prompt=" " sqref="G7:G8" xr:uid="{FEE34A66-669F-CD44-92E9-82109B75E433}"/>
    <dataValidation allowBlank="1" showInputMessage="1" showErrorMessage="1" promptTitle="Unordered" prompt=" " sqref="F7:F8" xr:uid="{BA493FAE-91D3-7D45-95CA-F7906482E57C}"/>
    <dataValidation allowBlank="1" showInputMessage="1" showErrorMessage="1" promptTitle="Undefined" prompt=" " sqref="E7:E8 D9" xr:uid="{8B218339-7457-304D-853F-4B9214961B84}"/>
    <dataValidation allowBlank="1" showInputMessage="1" showErrorMessage="1" promptTitle="Market Type" prompt=" " sqref="E6:K6" xr:uid="{AD9AAFDF-40AE-6C40-B364-A27E24DCD1FE}"/>
    <dataValidation allowBlank="1" showInputMessage="1" showErrorMessage="1" promptTitle="Short" prompt=" " sqref="D12:D13" xr:uid="{6B8174D3-0B15-C340-85F3-9B55DDFEA2BE}"/>
    <dataValidation allowBlank="1" showInputMessage="1" showErrorMessage="1" promptTitle="Long" prompt=" " sqref="D10:D11" xr:uid="{FAE7098B-5841-0142-B302-B2F8F2149FC4}"/>
  </dataValidation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802E2-EEB7-F74C-A2C4-C672055BE4F6}">
  <sheetPr codeName="Sheet7"/>
  <dimension ref="B2:R80"/>
  <sheetViews>
    <sheetView zoomScale="120" zoomScaleNormal="120" workbookViewId="0">
      <selection activeCell="F77" sqref="F77"/>
    </sheetView>
  </sheetViews>
  <sheetFormatPr baseColWidth="10" defaultColWidth="5.83203125" defaultRowHeight="16" x14ac:dyDescent="0.2"/>
  <cols>
    <col min="1" max="16384" width="5.83203125" style="1"/>
  </cols>
  <sheetData>
    <row r="2" spans="2:18" x14ac:dyDescent="0.2">
      <c r="B2" s="1" t="s">
        <v>99</v>
      </c>
    </row>
    <row r="4" spans="2:18" x14ac:dyDescent="0.2">
      <c r="D4" s="223" t="s">
        <v>78</v>
      </c>
      <c r="E4" s="226" t="s">
        <v>40</v>
      </c>
      <c r="F4" s="227"/>
      <c r="G4" s="227"/>
      <c r="H4" s="227"/>
      <c r="I4" s="227"/>
      <c r="J4" s="228"/>
      <c r="M4" s="1" t="s">
        <v>40</v>
      </c>
      <c r="N4" s="1" t="s">
        <v>36</v>
      </c>
      <c r="Q4" s="1" t="s">
        <v>49</v>
      </c>
      <c r="R4" s="1" t="s">
        <v>52</v>
      </c>
    </row>
    <row r="5" spans="2:18" x14ac:dyDescent="0.2">
      <c r="D5" s="224"/>
      <c r="E5" s="229" t="s">
        <v>41</v>
      </c>
      <c r="F5" s="229" t="s">
        <v>43</v>
      </c>
      <c r="G5" s="229" t="s">
        <v>67</v>
      </c>
      <c r="H5" s="222" t="s">
        <v>68</v>
      </c>
      <c r="I5" s="222"/>
      <c r="J5" s="222"/>
      <c r="M5" s="1" t="s">
        <v>41</v>
      </c>
      <c r="N5" s="1" t="s">
        <v>42</v>
      </c>
      <c r="Q5" s="1" t="s">
        <v>50</v>
      </c>
      <c r="R5" s="1" t="s">
        <v>51</v>
      </c>
    </row>
    <row r="6" spans="2:18" x14ac:dyDescent="0.2">
      <c r="D6" s="225"/>
      <c r="E6" s="230"/>
      <c r="F6" s="230"/>
      <c r="G6" s="230"/>
      <c r="H6" s="9" t="s">
        <v>74</v>
      </c>
      <c r="I6" s="9" t="s">
        <v>68</v>
      </c>
      <c r="J6" s="9" t="s">
        <v>75</v>
      </c>
      <c r="M6" s="1" t="s">
        <v>43</v>
      </c>
      <c r="N6" s="1" t="s">
        <v>44</v>
      </c>
      <c r="Q6" s="1" t="s">
        <v>53</v>
      </c>
      <c r="R6" s="1" t="s">
        <v>55</v>
      </c>
    </row>
    <row r="7" spans="2:18" x14ac:dyDescent="0.2">
      <c r="D7" s="10" t="s">
        <v>62</v>
      </c>
      <c r="E7" s="8" t="s">
        <v>41</v>
      </c>
      <c r="F7" s="8" t="s">
        <v>43</v>
      </c>
      <c r="G7" s="8" t="s">
        <v>62</v>
      </c>
      <c r="H7" s="8" t="s">
        <v>62</v>
      </c>
      <c r="I7" s="8" t="s">
        <v>62</v>
      </c>
      <c r="J7" s="8" t="s">
        <v>62</v>
      </c>
      <c r="Q7" s="1" t="s">
        <v>54</v>
      </c>
      <c r="R7" s="1" t="s">
        <v>56</v>
      </c>
    </row>
    <row r="8" spans="2:18" x14ac:dyDescent="0.2">
      <c r="D8" s="10" t="s">
        <v>76</v>
      </c>
      <c r="E8" s="8" t="s">
        <v>62</v>
      </c>
      <c r="F8" s="8" t="s">
        <v>62</v>
      </c>
      <c r="G8" s="8" t="s">
        <v>45</v>
      </c>
      <c r="H8" s="8" t="s">
        <v>49</v>
      </c>
      <c r="I8" s="8" t="s">
        <v>53</v>
      </c>
      <c r="J8" s="8" t="s">
        <v>57</v>
      </c>
      <c r="M8" s="1" t="s">
        <v>45</v>
      </c>
      <c r="N8" s="1" t="s">
        <v>47</v>
      </c>
      <c r="Q8" s="1" t="s">
        <v>57</v>
      </c>
      <c r="R8" s="1" t="s">
        <v>59</v>
      </c>
    </row>
    <row r="9" spans="2:18" x14ac:dyDescent="0.2">
      <c r="D9" s="10" t="s">
        <v>77</v>
      </c>
      <c r="E9" s="8" t="s">
        <v>62</v>
      </c>
      <c r="F9" s="8" t="s">
        <v>62</v>
      </c>
      <c r="G9" s="8" t="s">
        <v>46</v>
      </c>
      <c r="H9" s="8" t="s">
        <v>50</v>
      </c>
      <c r="I9" s="8" t="s">
        <v>54</v>
      </c>
      <c r="J9" s="8" t="s">
        <v>58</v>
      </c>
      <c r="M9" s="1" t="s">
        <v>46</v>
      </c>
      <c r="N9" s="1" t="s">
        <v>48</v>
      </c>
      <c r="Q9" s="1" t="s">
        <v>58</v>
      </c>
      <c r="R9" s="1" t="s">
        <v>60</v>
      </c>
    </row>
    <row r="11" spans="2:18" x14ac:dyDescent="0.2">
      <c r="B11" s="1" t="s">
        <v>31</v>
      </c>
    </row>
    <row r="12" spans="2:18" x14ac:dyDescent="0.2">
      <c r="C12" s="1" t="s">
        <v>69</v>
      </c>
    </row>
    <row r="13" spans="2:18" x14ac:dyDescent="0.2">
      <c r="D13" s="1" t="s">
        <v>32</v>
      </c>
      <c r="E13" s="1">
        <v>1</v>
      </c>
      <c r="F13" s="1" t="s">
        <v>86</v>
      </c>
      <c r="I13" s="1" t="s">
        <v>33</v>
      </c>
    </row>
    <row r="14" spans="2:18" x14ac:dyDescent="0.2">
      <c r="E14" s="1">
        <v>1</v>
      </c>
      <c r="F14" s="1">
        <v>1</v>
      </c>
      <c r="H14" s="2" t="s">
        <v>34</v>
      </c>
      <c r="I14" s="6" t="s">
        <v>39</v>
      </c>
      <c r="J14" s="7">
        <v>0</v>
      </c>
      <c r="K14" s="4" t="s">
        <v>35</v>
      </c>
      <c r="M14" s="13" t="s">
        <v>61</v>
      </c>
      <c r="N14" s="13"/>
      <c r="P14" s="5" t="s">
        <v>104</v>
      </c>
    </row>
    <row r="15" spans="2:18" x14ac:dyDescent="0.2">
      <c r="E15" s="1">
        <v>1</v>
      </c>
      <c r="F15" s="1">
        <v>2</v>
      </c>
      <c r="H15" s="2" t="s">
        <v>34</v>
      </c>
      <c r="I15" s="6" t="s">
        <v>38</v>
      </c>
      <c r="J15" s="7">
        <v>0</v>
      </c>
      <c r="K15" s="4" t="s">
        <v>35</v>
      </c>
      <c r="M15" s="1" t="s">
        <v>65</v>
      </c>
    </row>
    <row r="16" spans="2:18" x14ac:dyDescent="0.2">
      <c r="E16" s="1">
        <v>1</v>
      </c>
      <c r="F16" s="1">
        <v>3</v>
      </c>
      <c r="H16" s="2" t="s">
        <v>34</v>
      </c>
      <c r="I16" s="6" t="s">
        <v>62</v>
      </c>
      <c r="J16" s="6" t="s">
        <v>63</v>
      </c>
      <c r="K16" s="4" t="s">
        <v>35</v>
      </c>
      <c r="M16" s="1" t="s">
        <v>65</v>
      </c>
    </row>
    <row r="17" spans="4:18" x14ac:dyDescent="0.2">
      <c r="D17" s="1" t="s">
        <v>32</v>
      </c>
      <c r="E17" s="1">
        <v>2</v>
      </c>
      <c r="F17" s="1" t="s">
        <v>87</v>
      </c>
      <c r="I17" s="1" t="s">
        <v>40</v>
      </c>
    </row>
    <row r="18" spans="4:18" x14ac:dyDescent="0.2">
      <c r="E18" s="1">
        <v>2</v>
      </c>
      <c r="F18" s="1">
        <v>1</v>
      </c>
      <c r="H18" s="2" t="s">
        <v>34</v>
      </c>
      <c r="J18" s="1" t="s">
        <v>41</v>
      </c>
      <c r="K18" s="4" t="s">
        <v>35</v>
      </c>
      <c r="M18" s="13" t="s">
        <v>61</v>
      </c>
      <c r="N18" s="13"/>
    </row>
    <row r="19" spans="4:18" x14ac:dyDescent="0.2">
      <c r="E19" s="1">
        <v>2</v>
      </c>
      <c r="F19" s="1">
        <v>2</v>
      </c>
      <c r="H19" s="2" t="s">
        <v>34</v>
      </c>
      <c r="J19" s="1" t="s">
        <v>37</v>
      </c>
      <c r="K19" s="4" t="s">
        <v>35</v>
      </c>
      <c r="M19" s="13" t="s">
        <v>61</v>
      </c>
      <c r="N19" s="13"/>
    </row>
    <row r="20" spans="4:18" x14ac:dyDescent="0.2">
      <c r="E20" s="1">
        <v>2</v>
      </c>
      <c r="F20" s="1">
        <v>3</v>
      </c>
      <c r="H20" s="2" t="s">
        <v>34</v>
      </c>
      <c r="J20" s="1" t="s">
        <v>67</v>
      </c>
      <c r="K20" s="4" t="s">
        <v>35</v>
      </c>
      <c r="L20" s="2" t="s">
        <v>34</v>
      </c>
      <c r="M20" s="14" t="s">
        <v>66</v>
      </c>
      <c r="N20" s="7" t="s">
        <v>38</v>
      </c>
      <c r="O20" s="14" t="s">
        <v>83</v>
      </c>
      <c r="P20" s="7" t="s">
        <v>38</v>
      </c>
      <c r="Q20" s="14" t="s">
        <v>82</v>
      </c>
      <c r="R20" s="1" t="s">
        <v>84</v>
      </c>
    </row>
    <row r="21" spans="4:18" x14ac:dyDescent="0.2">
      <c r="E21" s="1">
        <v>2</v>
      </c>
      <c r="F21" s="1">
        <v>4</v>
      </c>
      <c r="H21" s="2" t="s">
        <v>34</v>
      </c>
      <c r="J21" s="1" t="s">
        <v>68</v>
      </c>
      <c r="K21" s="4" t="s">
        <v>35</v>
      </c>
      <c r="L21" s="2" t="s">
        <v>34</v>
      </c>
      <c r="M21" s="14" t="s">
        <v>66</v>
      </c>
      <c r="N21" s="7" t="s">
        <v>38</v>
      </c>
      <c r="O21" s="14" t="s">
        <v>82</v>
      </c>
      <c r="P21" s="7" t="s">
        <v>38</v>
      </c>
      <c r="Q21" s="14" t="s">
        <v>83</v>
      </c>
      <c r="R21" s="1" t="s">
        <v>85</v>
      </c>
    </row>
    <row r="22" spans="4:18" x14ac:dyDescent="0.2">
      <c r="D22" s="1" t="s">
        <v>32</v>
      </c>
      <c r="E22" s="1">
        <v>3</v>
      </c>
      <c r="F22" s="1" t="s">
        <v>88</v>
      </c>
      <c r="I22" s="1" t="s">
        <v>40</v>
      </c>
    </row>
    <row r="23" spans="4:18" x14ac:dyDescent="0.2">
      <c r="E23" s="1">
        <v>3</v>
      </c>
      <c r="F23" s="1">
        <v>1</v>
      </c>
      <c r="G23" s="1">
        <v>1</v>
      </c>
      <c r="H23" s="2" t="s">
        <v>34</v>
      </c>
      <c r="J23" s="1" t="s">
        <v>41</v>
      </c>
      <c r="K23" s="4" t="s">
        <v>35</v>
      </c>
      <c r="M23" s="13" t="s">
        <v>61</v>
      </c>
      <c r="N23" s="13"/>
    </row>
    <row r="24" spans="4:18" x14ac:dyDescent="0.2">
      <c r="E24" s="1">
        <v>3</v>
      </c>
      <c r="F24" s="1">
        <v>2</v>
      </c>
      <c r="G24" s="1">
        <v>1</v>
      </c>
      <c r="H24" s="2" t="s">
        <v>34</v>
      </c>
      <c r="J24" s="1" t="s">
        <v>37</v>
      </c>
      <c r="K24" s="4" t="s">
        <v>35</v>
      </c>
      <c r="M24" s="13" t="s">
        <v>61</v>
      </c>
      <c r="N24" s="13"/>
    </row>
    <row r="25" spans="4:18" x14ac:dyDescent="0.2">
      <c r="E25" s="1">
        <v>3</v>
      </c>
      <c r="F25" s="1">
        <v>3</v>
      </c>
      <c r="G25" s="1">
        <v>1</v>
      </c>
      <c r="H25" s="2" t="s">
        <v>34</v>
      </c>
      <c r="J25" s="1" t="s">
        <v>45</v>
      </c>
      <c r="K25" s="4" t="s">
        <v>35</v>
      </c>
      <c r="L25" s="2" t="s">
        <v>34</v>
      </c>
      <c r="M25" s="12" t="s">
        <v>71</v>
      </c>
      <c r="N25" s="12"/>
      <c r="O25" s="1" t="s">
        <v>79</v>
      </c>
    </row>
    <row r="26" spans="4:18" x14ac:dyDescent="0.2">
      <c r="E26" s="1">
        <v>3</v>
      </c>
      <c r="F26" s="1">
        <v>3</v>
      </c>
      <c r="G26" s="1">
        <v>2</v>
      </c>
      <c r="H26" s="2" t="s">
        <v>34</v>
      </c>
      <c r="J26" s="1" t="s">
        <v>70</v>
      </c>
      <c r="K26" s="4" t="s">
        <v>35</v>
      </c>
      <c r="L26" s="2" t="s">
        <v>34</v>
      </c>
      <c r="M26" s="3" t="s">
        <v>72</v>
      </c>
      <c r="N26" s="3"/>
      <c r="O26" s="1" t="s">
        <v>80</v>
      </c>
    </row>
    <row r="27" spans="4:18" x14ac:dyDescent="0.2">
      <c r="E27" s="1">
        <v>3</v>
      </c>
      <c r="F27" s="1">
        <v>4</v>
      </c>
      <c r="G27" s="1">
        <v>1</v>
      </c>
      <c r="H27" s="2" t="s">
        <v>34</v>
      </c>
      <c r="J27" s="1" t="s">
        <v>64</v>
      </c>
      <c r="K27" s="4" t="s">
        <v>35</v>
      </c>
      <c r="L27" s="2" t="s">
        <v>34</v>
      </c>
      <c r="M27" s="11" t="s">
        <v>73</v>
      </c>
      <c r="N27" s="11"/>
      <c r="O27" s="1" t="s">
        <v>81</v>
      </c>
    </row>
    <row r="28" spans="4:18" x14ac:dyDescent="0.2">
      <c r="E28" s="1">
        <v>3</v>
      </c>
      <c r="F28" s="1">
        <v>4</v>
      </c>
      <c r="G28" s="1">
        <v>2</v>
      </c>
      <c r="H28" s="2" t="s">
        <v>34</v>
      </c>
      <c r="J28" s="1" t="s">
        <v>45</v>
      </c>
      <c r="K28" s="4" t="s">
        <v>35</v>
      </c>
      <c r="L28" s="2" t="s">
        <v>34</v>
      </c>
      <c r="M28" s="12" t="s">
        <v>71</v>
      </c>
      <c r="N28" s="12"/>
      <c r="O28" s="1" t="s">
        <v>79</v>
      </c>
    </row>
    <row r="29" spans="4:18" x14ac:dyDescent="0.2">
      <c r="E29" s="1">
        <v>3</v>
      </c>
      <c r="F29" s="1">
        <v>4</v>
      </c>
      <c r="G29" s="1">
        <v>3</v>
      </c>
      <c r="H29" s="2" t="s">
        <v>34</v>
      </c>
      <c r="J29" s="1" t="s">
        <v>70</v>
      </c>
      <c r="K29" s="4" t="s">
        <v>35</v>
      </c>
      <c r="L29" s="2" t="s">
        <v>34</v>
      </c>
      <c r="M29" s="3" t="s">
        <v>72</v>
      </c>
      <c r="N29" s="3"/>
      <c r="O29" s="1" t="s">
        <v>80</v>
      </c>
    </row>
    <row r="30" spans="4:18" x14ac:dyDescent="0.2">
      <c r="D30" s="1" t="s">
        <v>32</v>
      </c>
      <c r="E30" s="1">
        <v>4</v>
      </c>
      <c r="F30" s="1" t="s">
        <v>89</v>
      </c>
    </row>
    <row r="31" spans="4:18" x14ac:dyDescent="0.2">
      <c r="E31" s="1">
        <v>4</v>
      </c>
      <c r="F31" s="1">
        <v>1</v>
      </c>
      <c r="G31" s="1">
        <v>1</v>
      </c>
      <c r="H31" s="1" t="s">
        <v>16</v>
      </c>
    </row>
    <row r="32" spans="4:18" x14ac:dyDescent="0.2">
      <c r="E32" s="1">
        <v>4</v>
      </c>
      <c r="F32" s="1">
        <v>1</v>
      </c>
      <c r="G32" s="1">
        <v>2</v>
      </c>
      <c r="H32" s="1" t="s">
        <v>90</v>
      </c>
    </row>
    <row r="33" spans="2:8" x14ac:dyDescent="0.2">
      <c r="E33" s="1">
        <v>4</v>
      </c>
      <c r="F33" s="1">
        <v>1</v>
      </c>
      <c r="G33" s="1">
        <v>3</v>
      </c>
      <c r="H33" s="1" t="s">
        <v>91</v>
      </c>
    </row>
    <row r="41" spans="2:8" x14ac:dyDescent="0.2">
      <c r="B41" s="1" t="s">
        <v>31</v>
      </c>
    </row>
    <row r="42" spans="2:8" x14ac:dyDescent="0.2">
      <c r="C42" s="1" t="s">
        <v>0</v>
      </c>
    </row>
    <row r="43" spans="2:8" x14ac:dyDescent="0.2">
      <c r="D43" s="1" t="s">
        <v>100</v>
      </c>
    </row>
    <row r="44" spans="2:8" x14ac:dyDescent="0.2">
      <c r="E44" s="1" t="s">
        <v>8</v>
      </c>
    </row>
    <row r="45" spans="2:8" x14ac:dyDescent="0.2">
      <c r="D45" s="1" t="s">
        <v>101</v>
      </c>
    </row>
    <row r="46" spans="2:8" x14ac:dyDescent="0.2">
      <c r="E46" s="1" t="s">
        <v>2</v>
      </c>
    </row>
    <row r="47" spans="2:8" x14ac:dyDescent="0.2">
      <c r="E47" s="1" t="s">
        <v>93</v>
      </c>
    </row>
    <row r="48" spans="2:8" x14ac:dyDescent="0.2">
      <c r="E48" s="1" t="s">
        <v>92</v>
      </c>
    </row>
    <row r="49" spans="3:6" x14ac:dyDescent="0.2">
      <c r="D49" s="1" t="s">
        <v>102</v>
      </c>
    </row>
    <row r="50" spans="3:6" x14ac:dyDescent="0.2">
      <c r="E50" s="1" t="s">
        <v>10</v>
      </c>
    </row>
    <row r="51" spans="3:6" x14ac:dyDescent="0.2">
      <c r="F51" s="1" t="s">
        <v>94</v>
      </c>
    </row>
    <row r="52" spans="3:6" x14ac:dyDescent="0.2">
      <c r="F52" s="1" t="s">
        <v>95</v>
      </c>
    </row>
    <row r="53" spans="3:6" x14ac:dyDescent="0.2">
      <c r="E53" s="1" t="s">
        <v>13</v>
      </c>
    </row>
    <row r="54" spans="3:6" x14ac:dyDescent="0.2">
      <c r="F54" s="1" t="s">
        <v>94</v>
      </c>
    </row>
    <row r="55" spans="3:6" x14ac:dyDescent="0.2">
      <c r="F55" s="1" t="s">
        <v>95</v>
      </c>
    </row>
    <row r="56" spans="3:6" x14ac:dyDescent="0.2">
      <c r="F56" s="1" t="s">
        <v>96</v>
      </c>
    </row>
    <row r="57" spans="3:6" x14ac:dyDescent="0.2">
      <c r="D57" s="1" t="s">
        <v>103</v>
      </c>
    </row>
    <row r="58" spans="3:6" x14ac:dyDescent="0.2">
      <c r="E58" s="1" t="s">
        <v>16</v>
      </c>
    </row>
    <row r="59" spans="3:6" x14ac:dyDescent="0.2">
      <c r="F59" s="1" t="s">
        <v>17</v>
      </c>
    </row>
    <row r="60" spans="3:6" x14ac:dyDescent="0.2">
      <c r="F60" s="1" t="s">
        <v>18</v>
      </c>
    </row>
    <row r="62" spans="3:6" x14ac:dyDescent="0.2">
      <c r="C62" s="1" t="s">
        <v>19</v>
      </c>
    </row>
    <row r="63" spans="3:6" x14ac:dyDescent="0.2">
      <c r="D63" s="1" t="s">
        <v>100</v>
      </c>
    </row>
    <row r="64" spans="3:6" x14ac:dyDescent="0.2">
      <c r="E64" s="1" t="s">
        <v>23</v>
      </c>
    </row>
    <row r="65" spans="4:6" x14ac:dyDescent="0.2">
      <c r="D65" s="1" t="s">
        <v>101</v>
      </c>
    </row>
    <row r="66" spans="4:6" x14ac:dyDescent="0.2">
      <c r="E66" s="1" t="s">
        <v>20</v>
      </c>
    </row>
    <row r="67" spans="4:6" x14ac:dyDescent="0.2">
      <c r="E67" s="1" t="s">
        <v>21</v>
      </c>
    </row>
    <row r="68" spans="4:6" x14ac:dyDescent="0.2">
      <c r="E68" s="1" t="s">
        <v>22</v>
      </c>
    </row>
    <row r="69" spans="4:6" x14ac:dyDescent="0.2">
      <c r="D69" s="1" t="s">
        <v>102</v>
      </c>
    </row>
    <row r="70" spans="4:6" x14ac:dyDescent="0.2">
      <c r="E70" s="1" t="s">
        <v>10</v>
      </c>
    </row>
    <row r="71" spans="4:6" x14ac:dyDescent="0.2">
      <c r="F71" s="1" t="s">
        <v>97</v>
      </c>
    </row>
    <row r="72" spans="4:6" x14ac:dyDescent="0.2">
      <c r="F72" s="1" t="s">
        <v>98</v>
      </c>
    </row>
    <row r="73" spans="4:6" x14ac:dyDescent="0.2">
      <c r="E73" s="1" t="s">
        <v>13</v>
      </c>
    </row>
    <row r="74" spans="4:6" x14ac:dyDescent="0.2">
      <c r="F74" s="1" t="s">
        <v>97</v>
      </c>
    </row>
    <row r="75" spans="4:6" x14ac:dyDescent="0.2">
      <c r="F75" s="1" t="s">
        <v>105</v>
      </c>
    </row>
    <row r="76" spans="4:6" x14ac:dyDescent="0.2">
      <c r="F76" s="1" t="s">
        <v>106</v>
      </c>
    </row>
    <row r="77" spans="4:6" x14ac:dyDescent="0.2">
      <c r="D77" s="1" t="s">
        <v>103</v>
      </c>
    </row>
    <row r="78" spans="4:6" x14ac:dyDescent="0.2">
      <c r="E78" s="1" t="s">
        <v>28</v>
      </c>
    </row>
    <row r="79" spans="4:6" x14ac:dyDescent="0.2">
      <c r="F79" s="1" t="s">
        <v>29</v>
      </c>
    </row>
    <row r="80" spans="4:6" x14ac:dyDescent="0.2">
      <c r="F80" s="1" t="s">
        <v>30</v>
      </c>
    </row>
  </sheetData>
  <mergeCells count="6">
    <mergeCell ref="H5:J5"/>
    <mergeCell ref="D4:D6"/>
    <mergeCell ref="E4:J4"/>
    <mergeCell ref="E5:E6"/>
    <mergeCell ref="F5:F6"/>
    <mergeCell ref="G5:G6"/>
  </mergeCells>
  <dataValidations count="10">
    <dataValidation allowBlank="1" showInputMessage="1" showErrorMessage="1" promptTitle="Long" prompt=" " sqref="D8" xr:uid="{4E812D29-70A7-1F45-8A3D-44C9DBF41148}"/>
    <dataValidation allowBlank="1" showInputMessage="1" showErrorMessage="1" promptTitle="Short" prompt=" " sqref="D9" xr:uid="{1AD23547-C9AE-F54F-96BD-B8F90A20B8E8}"/>
    <dataValidation allowBlank="1" showInputMessage="1" showErrorMessage="1" promptTitle="Market Type" prompt=" " sqref="E4:J4" xr:uid="{1EA681E6-D733-8F4E-8826-33E848B786B9}"/>
    <dataValidation allowBlank="1" showInputMessage="1" showErrorMessage="1" promptTitle="Undefined" prompt=" " sqref="E5:E6 D7" xr:uid="{B58068D0-782B-AC44-9F67-807509759B1C}"/>
    <dataValidation allowBlank="1" showInputMessage="1" showErrorMessage="1" promptTitle="Unordered" prompt=" " sqref="F5:F6" xr:uid="{0B0F9E60-67E7-9044-BDE0-7775AEAD9D3A}"/>
    <dataValidation allowBlank="1" showInputMessage="1" showErrorMessage="1" promptTitle="Emerging Market" prompt=" " sqref="G5:G6" xr:uid="{1367D084-D08D-7041-87C6-AFE822343F9C}"/>
    <dataValidation allowBlank="1" showInputMessage="1" showErrorMessage="1" promptTitle="Trending Market" prompt=" " sqref="H5:J5" xr:uid="{6D193890-1FAA-F540-A0FD-64D00D0317DE}"/>
    <dataValidation allowBlank="1" showInputMessage="1" showErrorMessage="1" promptTitle="Trending Strong" prompt=" " sqref="H6" xr:uid="{3E631BC4-1EE9-A84B-BF35-12F98085BA9F}"/>
    <dataValidation allowBlank="1" showInputMessage="1" showErrorMessage="1" promptTitle="Trending Medium" prompt=" " sqref="I6" xr:uid="{CF3F8E5D-4FA2-6448-AF14-FAAB9486D31D}"/>
    <dataValidation allowBlank="1" showInputMessage="1" showErrorMessage="1" promptTitle="Trending Weak" prompt=" " sqref="J6" xr:uid="{C18E6BF4-BED2-FC4D-B316-E08B894874F9}"/>
  </dataValidation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EC88-E716-DA4C-8379-731B4BDDC5A8}">
  <sheetPr codeName="Sheet8"/>
  <dimension ref="B2:B65"/>
  <sheetViews>
    <sheetView zoomScale="120" zoomScaleNormal="120" workbookViewId="0">
      <selection activeCell="B2" sqref="B2"/>
    </sheetView>
  </sheetViews>
  <sheetFormatPr baseColWidth="10" defaultColWidth="5.83203125" defaultRowHeight="16" x14ac:dyDescent="0.2"/>
  <cols>
    <col min="1" max="16384" width="5.83203125" style="1"/>
  </cols>
  <sheetData>
    <row r="2" spans="2:2" x14ac:dyDescent="0.2">
      <c r="B2" s="1" t="s">
        <v>31</v>
      </c>
    </row>
    <row r="4" spans="2:2" x14ac:dyDescent="0.2">
      <c r="B4" s="1" t="s">
        <v>0</v>
      </c>
    </row>
    <row r="6" spans="2:2" x14ac:dyDescent="0.2">
      <c r="B6" s="1" t="s">
        <v>1</v>
      </c>
    </row>
    <row r="8" spans="2:2" x14ac:dyDescent="0.2">
      <c r="B8" s="1" t="s">
        <v>2</v>
      </c>
    </row>
    <row r="9" spans="2:2" x14ac:dyDescent="0.2">
      <c r="B9" s="1" t="s">
        <v>3</v>
      </c>
    </row>
    <row r="10" spans="2:2" x14ac:dyDescent="0.2">
      <c r="B10" s="1" t="s">
        <v>4</v>
      </c>
    </row>
    <row r="11" spans="2:2" x14ac:dyDescent="0.2">
      <c r="B11" s="1" t="s">
        <v>5</v>
      </c>
    </row>
    <row r="12" spans="2:2" x14ac:dyDescent="0.2">
      <c r="B12" s="1" t="s">
        <v>6</v>
      </c>
    </row>
    <row r="14" spans="2:2" x14ac:dyDescent="0.2">
      <c r="B14" s="1" t="s">
        <v>7</v>
      </c>
    </row>
    <row r="16" spans="2:2" x14ac:dyDescent="0.2">
      <c r="B16" s="1" t="s">
        <v>8</v>
      </c>
    </row>
    <row r="18" spans="2:2" x14ac:dyDescent="0.2">
      <c r="B18" s="1" t="s">
        <v>9</v>
      </c>
    </row>
    <row r="19" spans="2:2" x14ac:dyDescent="0.2">
      <c r="B19" s="1" t="s">
        <v>10</v>
      </c>
    </row>
    <row r="20" spans="2:2" x14ac:dyDescent="0.2">
      <c r="B20" s="1" t="s">
        <v>11</v>
      </c>
    </row>
    <row r="21" spans="2:2" x14ac:dyDescent="0.2">
      <c r="B21" s="1" t="s">
        <v>12</v>
      </c>
    </row>
    <row r="23" spans="2:2" x14ac:dyDescent="0.2">
      <c r="B23" s="1" t="s">
        <v>13</v>
      </c>
    </row>
    <row r="24" spans="2:2" x14ac:dyDescent="0.2">
      <c r="B24" s="1" t="s">
        <v>11</v>
      </c>
    </row>
    <row r="25" spans="2:2" x14ac:dyDescent="0.2">
      <c r="B25" s="1" t="s">
        <v>12</v>
      </c>
    </row>
    <row r="26" spans="2:2" x14ac:dyDescent="0.2">
      <c r="B26" s="1" t="s">
        <v>14</v>
      </c>
    </row>
    <row r="28" spans="2:2" x14ac:dyDescent="0.2">
      <c r="B28" s="1" t="s">
        <v>15</v>
      </c>
    </row>
    <row r="29" spans="2:2" x14ac:dyDescent="0.2">
      <c r="B29" s="1" t="s">
        <v>16</v>
      </c>
    </row>
    <row r="30" spans="2:2" x14ac:dyDescent="0.2">
      <c r="B30" s="1" t="s">
        <v>17</v>
      </c>
    </row>
    <row r="31" spans="2:2" x14ac:dyDescent="0.2">
      <c r="B31" s="1" t="s">
        <v>18</v>
      </c>
    </row>
    <row r="34" spans="2:2" x14ac:dyDescent="0.2">
      <c r="B34" s="1" t="s">
        <v>19</v>
      </c>
    </row>
    <row r="36" spans="2:2" x14ac:dyDescent="0.2">
      <c r="B36" s="1" t="s">
        <v>1</v>
      </c>
    </row>
    <row r="38" spans="2:2" x14ac:dyDescent="0.2">
      <c r="B38" s="1" t="s">
        <v>20</v>
      </c>
    </row>
    <row r="39" spans="2:2" x14ac:dyDescent="0.2">
      <c r="B39" s="1" t="s">
        <v>21</v>
      </c>
    </row>
    <row r="40" spans="2:2" x14ac:dyDescent="0.2">
      <c r="B40" s="1" t="s">
        <v>22</v>
      </c>
    </row>
    <row r="43" spans="2:2" x14ac:dyDescent="0.2">
      <c r="B43" s="1" t="s">
        <v>7</v>
      </c>
    </row>
    <row r="45" spans="2:2" x14ac:dyDescent="0.2">
      <c r="B45" s="1" t="s">
        <v>23</v>
      </c>
    </row>
    <row r="47" spans="2:2" x14ac:dyDescent="0.2">
      <c r="B47" s="1" t="s">
        <v>9</v>
      </c>
    </row>
    <row r="48" spans="2:2" x14ac:dyDescent="0.2">
      <c r="B48" s="1" t="s">
        <v>10</v>
      </c>
    </row>
    <row r="50" spans="2:2" x14ac:dyDescent="0.2">
      <c r="B50" s="1" t="s">
        <v>24</v>
      </c>
    </row>
    <row r="51" spans="2:2" x14ac:dyDescent="0.2">
      <c r="B51" s="1" t="s">
        <v>25</v>
      </c>
    </row>
    <row r="54" spans="2:2" x14ac:dyDescent="0.2">
      <c r="B54" s="1" t="s">
        <v>13</v>
      </c>
    </row>
    <row r="56" spans="2:2" x14ac:dyDescent="0.2">
      <c r="B56" s="1" t="s">
        <v>24</v>
      </c>
    </row>
    <row r="57" spans="2:2" x14ac:dyDescent="0.2">
      <c r="B57" s="1" t="s">
        <v>26</v>
      </c>
    </row>
    <row r="59" spans="2:2" x14ac:dyDescent="0.2">
      <c r="B59" s="1" t="s">
        <v>27</v>
      </c>
    </row>
    <row r="61" spans="2:2" x14ac:dyDescent="0.2">
      <c r="B61" s="1" t="s">
        <v>15</v>
      </c>
    </row>
    <row r="62" spans="2:2" x14ac:dyDescent="0.2">
      <c r="B62" s="1" t="s">
        <v>28</v>
      </c>
    </row>
    <row r="64" spans="2:2" x14ac:dyDescent="0.2">
      <c r="B64" s="1" t="s">
        <v>29</v>
      </c>
    </row>
    <row r="65" spans="2:2" x14ac:dyDescent="0.2">
      <c r="B65" s="1" t="s">
        <v>30</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4CE99-ADC8-A14F-8D43-475157AE866F}">
  <dimension ref="B2:D3"/>
  <sheetViews>
    <sheetView workbookViewId="0">
      <selection activeCell="B3" sqref="B3"/>
    </sheetView>
  </sheetViews>
  <sheetFormatPr baseColWidth="10" defaultRowHeight="16" x14ac:dyDescent="0.2"/>
  <sheetData>
    <row r="2" spans="2:4" x14ac:dyDescent="0.2">
      <c r="B2" t="s">
        <v>1221</v>
      </c>
      <c r="C2" t="s">
        <v>107</v>
      </c>
      <c r="D2" t="s">
        <v>2061</v>
      </c>
    </row>
    <row r="3" spans="2:4" x14ac:dyDescent="0.2">
      <c r="B3" t="s">
        <v>2059</v>
      </c>
      <c r="C3" t="s">
        <v>2060</v>
      </c>
      <c r="D3" s="231">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094AE-A8E2-5140-B396-51C528FF81DC}">
  <sheetPr codeName="Sheet9"/>
  <dimension ref="B2:W462"/>
  <sheetViews>
    <sheetView workbookViewId="0">
      <selection activeCell="B4" sqref="B4"/>
    </sheetView>
  </sheetViews>
  <sheetFormatPr baseColWidth="10" defaultRowHeight="16" x14ac:dyDescent="0.2"/>
  <cols>
    <col min="1" max="16384" width="10.83203125" style="57"/>
  </cols>
  <sheetData>
    <row r="2" spans="2:9" ht="24" x14ac:dyDescent="0.3">
      <c r="B2" s="56" t="s">
        <v>33</v>
      </c>
    </row>
    <row r="4" spans="2:9" ht="19" x14ac:dyDescent="0.25">
      <c r="B4" s="58" t="s">
        <v>1219</v>
      </c>
    </row>
    <row r="6" spans="2:9" x14ac:dyDescent="0.2">
      <c r="B6" s="59" t="s">
        <v>1183</v>
      </c>
      <c r="C6" s="59" t="s">
        <v>1184</v>
      </c>
      <c r="D6" s="59" t="s">
        <v>1185</v>
      </c>
      <c r="E6" s="59" t="s">
        <v>1186</v>
      </c>
      <c r="F6" s="59" t="s">
        <v>1206</v>
      </c>
      <c r="G6" s="59" t="s">
        <v>1221</v>
      </c>
      <c r="H6" s="59" t="s">
        <v>1207</v>
      </c>
      <c r="I6" s="59" t="s">
        <v>1187</v>
      </c>
    </row>
    <row r="7" spans="2:9" x14ac:dyDescent="0.2">
      <c r="B7" s="57" t="s">
        <v>1188</v>
      </c>
      <c r="C7" s="57">
        <v>5</v>
      </c>
      <c r="D7" s="57">
        <v>8</v>
      </c>
      <c r="E7" s="57">
        <v>5</v>
      </c>
      <c r="F7" s="57" t="s">
        <v>1211</v>
      </c>
      <c r="G7" s="57" t="s">
        <v>1222</v>
      </c>
      <c r="H7" s="57" t="s">
        <v>1212</v>
      </c>
      <c r="I7" s="57" t="s">
        <v>1213</v>
      </c>
    </row>
    <row r="8" spans="2:9" x14ac:dyDescent="0.2">
      <c r="B8" s="57" t="s">
        <v>1190</v>
      </c>
      <c r="C8" s="57">
        <v>5</v>
      </c>
      <c r="D8" s="57">
        <v>8</v>
      </c>
      <c r="E8" s="57">
        <v>5</v>
      </c>
      <c r="F8" s="57" t="s">
        <v>1211</v>
      </c>
      <c r="G8" s="57" t="s">
        <v>1222</v>
      </c>
      <c r="H8" s="57" t="s">
        <v>1212</v>
      </c>
      <c r="I8" s="57" t="s">
        <v>1213</v>
      </c>
    </row>
    <row r="9" spans="2:9" x14ac:dyDescent="0.2">
      <c r="B9" s="57" t="s">
        <v>1192</v>
      </c>
      <c r="C9" s="57">
        <v>5</v>
      </c>
      <c r="D9" s="57">
        <v>8</v>
      </c>
      <c r="E9" s="57">
        <v>5</v>
      </c>
      <c r="F9" s="57" t="s">
        <v>1211</v>
      </c>
      <c r="G9" s="57" t="s">
        <v>1222</v>
      </c>
      <c r="H9" s="57" t="s">
        <v>1212</v>
      </c>
      <c r="I9" s="57" t="s">
        <v>1213</v>
      </c>
    </row>
    <row r="10" spans="2:9" x14ac:dyDescent="0.2">
      <c r="B10" s="57" t="s">
        <v>1188</v>
      </c>
      <c r="C10" s="57">
        <v>5</v>
      </c>
      <c r="D10" s="57">
        <v>13</v>
      </c>
      <c r="E10" s="57">
        <v>8</v>
      </c>
      <c r="G10" s="57" t="s">
        <v>1222</v>
      </c>
    </row>
    <row r="11" spans="2:9" x14ac:dyDescent="0.2">
      <c r="B11" s="57" t="s">
        <v>1190</v>
      </c>
      <c r="C11" s="57">
        <v>5</v>
      </c>
      <c r="D11" s="57">
        <v>13</v>
      </c>
      <c r="E11" s="57">
        <v>8</v>
      </c>
      <c r="G11" s="57" t="s">
        <v>1222</v>
      </c>
    </row>
    <row r="12" spans="2:9" x14ac:dyDescent="0.2">
      <c r="B12" s="57" t="s">
        <v>1192</v>
      </c>
      <c r="C12" s="57">
        <v>5</v>
      </c>
      <c r="D12" s="57">
        <v>13</v>
      </c>
      <c r="E12" s="57">
        <v>8</v>
      </c>
      <c r="G12" s="57" t="s">
        <v>1222</v>
      </c>
    </row>
    <row r="13" spans="2:9" x14ac:dyDescent="0.2">
      <c r="B13" s="57" t="s">
        <v>1190</v>
      </c>
      <c r="C13" s="57">
        <v>8</v>
      </c>
      <c r="D13" s="57">
        <v>13</v>
      </c>
      <c r="E13" s="57">
        <v>8</v>
      </c>
      <c r="F13" s="57" t="s">
        <v>1216</v>
      </c>
      <c r="G13" s="57" t="s">
        <v>1222</v>
      </c>
      <c r="H13" s="57" t="s">
        <v>1217</v>
      </c>
      <c r="I13" s="57" t="s">
        <v>1218</v>
      </c>
    </row>
    <row r="14" spans="2:9" x14ac:dyDescent="0.2">
      <c r="B14" s="57" t="s">
        <v>1192</v>
      </c>
      <c r="C14" s="57">
        <v>8</v>
      </c>
      <c r="D14" s="57">
        <v>13</v>
      </c>
      <c r="E14" s="57">
        <v>8</v>
      </c>
      <c r="F14" s="57" t="s">
        <v>1216</v>
      </c>
      <c r="G14" s="57" t="s">
        <v>1222</v>
      </c>
      <c r="H14" s="57" t="s">
        <v>1217</v>
      </c>
      <c r="I14" s="57" t="s">
        <v>1218</v>
      </c>
    </row>
    <row r="15" spans="2:9" x14ac:dyDescent="0.2">
      <c r="B15" s="57" t="s">
        <v>1194</v>
      </c>
      <c r="C15" s="57">
        <v>8</v>
      </c>
      <c r="D15" s="57">
        <v>13</v>
      </c>
      <c r="E15" s="57">
        <v>8</v>
      </c>
      <c r="F15" s="57" t="s">
        <v>1216</v>
      </c>
      <c r="G15" s="57" t="s">
        <v>1222</v>
      </c>
      <c r="H15" s="57" t="s">
        <v>1217</v>
      </c>
      <c r="I15" s="57" t="s">
        <v>1218</v>
      </c>
    </row>
    <row r="16" spans="2:9" x14ac:dyDescent="0.2">
      <c r="B16" s="57" t="s">
        <v>1188</v>
      </c>
      <c r="C16" s="57">
        <v>5</v>
      </c>
      <c r="D16" s="57">
        <v>13</v>
      </c>
      <c r="E16" s="57">
        <v>8</v>
      </c>
      <c r="G16" s="57" t="s">
        <v>1223</v>
      </c>
      <c r="I16" s="57" t="s">
        <v>1189</v>
      </c>
    </row>
    <row r="17" spans="2:9" x14ac:dyDescent="0.2">
      <c r="B17" s="57" t="s">
        <v>1190</v>
      </c>
      <c r="C17" s="57">
        <v>5</v>
      </c>
      <c r="D17" s="57">
        <v>13</v>
      </c>
      <c r="E17" s="57">
        <v>8</v>
      </c>
      <c r="G17" s="57" t="s">
        <v>1223</v>
      </c>
      <c r="I17" s="57" t="s">
        <v>1191</v>
      </c>
    </row>
    <row r="18" spans="2:9" x14ac:dyDescent="0.2">
      <c r="B18" s="57" t="s">
        <v>1192</v>
      </c>
      <c r="C18" s="57">
        <v>8</v>
      </c>
      <c r="D18" s="57">
        <v>17</v>
      </c>
      <c r="E18" s="57">
        <v>9</v>
      </c>
      <c r="G18" s="57" t="s">
        <v>1223</v>
      </c>
      <c r="I18" s="57" t="s">
        <v>1193</v>
      </c>
    </row>
    <row r="19" spans="2:9" x14ac:dyDescent="0.2">
      <c r="B19" s="57" t="s">
        <v>1194</v>
      </c>
      <c r="C19" s="57">
        <v>8</v>
      </c>
      <c r="D19" s="57">
        <v>17</v>
      </c>
      <c r="E19" s="57">
        <v>9</v>
      </c>
      <c r="G19" s="57" t="s">
        <v>1223</v>
      </c>
      <c r="I19" s="57" t="s">
        <v>1195</v>
      </c>
    </row>
    <row r="20" spans="2:9" x14ac:dyDescent="0.2">
      <c r="B20" s="57" t="s">
        <v>1196</v>
      </c>
      <c r="C20" s="57">
        <v>12</v>
      </c>
      <c r="D20" s="57">
        <v>26</v>
      </c>
      <c r="E20" s="57">
        <v>9</v>
      </c>
      <c r="G20" s="57" t="s">
        <v>1223</v>
      </c>
      <c r="I20" s="57" t="s">
        <v>1197</v>
      </c>
    </row>
    <row r="21" spans="2:9" x14ac:dyDescent="0.2">
      <c r="B21" s="57" t="s">
        <v>1198</v>
      </c>
      <c r="C21" s="57">
        <v>12</v>
      </c>
      <c r="D21" s="57">
        <v>26</v>
      </c>
      <c r="E21" s="57">
        <v>9</v>
      </c>
      <c r="G21" s="57" t="s">
        <v>1223</v>
      </c>
      <c r="I21" s="57" t="s">
        <v>1199</v>
      </c>
    </row>
    <row r="22" spans="2:9" x14ac:dyDescent="0.2">
      <c r="B22" s="57" t="s">
        <v>1200</v>
      </c>
      <c r="C22" s="57">
        <v>12</v>
      </c>
      <c r="D22" s="57">
        <v>26</v>
      </c>
      <c r="E22" s="57">
        <v>9</v>
      </c>
      <c r="G22" s="57" t="s">
        <v>1223</v>
      </c>
      <c r="I22" s="57" t="s">
        <v>1201</v>
      </c>
    </row>
    <row r="23" spans="2:9" x14ac:dyDescent="0.2">
      <c r="B23" s="57" t="s">
        <v>1202</v>
      </c>
      <c r="C23" s="57">
        <v>21</v>
      </c>
      <c r="D23" s="57">
        <v>34</v>
      </c>
      <c r="E23" s="57">
        <v>9</v>
      </c>
      <c r="G23" s="57" t="s">
        <v>1223</v>
      </c>
      <c r="I23" s="57" t="s">
        <v>1203</v>
      </c>
    </row>
    <row r="25" spans="2:9" ht="19" x14ac:dyDescent="0.25">
      <c r="B25" s="58" t="s">
        <v>1204</v>
      </c>
    </row>
    <row r="27" spans="2:9" x14ac:dyDescent="0.2">
      <c r="B27" s="59" t="s">
        <v>325</v>
      </c>
      <c r="C27" s="59" t="s">
        <v>1205</v>
      </c>
      <c r="D27" s="59" t="s">
        <v>1206</v>
      </c>
      <c r="E27" s="59" t="s">
        <v>1207</v>
      </c>
      <c r="F27" s="59" t="s">
        <v>1208</v>
      </c>
    </row>
    <row r="28" spans="2:9" x14ac:dyDescent="0.2">
      <c r="B28" s="57" t="s">
        <v>1209</v>
      </c>
      <c r="C28" s="57" t="s">
        <v>1210</v>
      </c>
      <c r="D28" s="57" t="s">
        <v>1211</v>
      </c>
      <c r="E28" s="57" t="s">
        <v>1212</v>
      </c>
      <c r="F28" s="57" t="s">
        <v>1213</v>
      </c>
    </row>
    <row r="29" spans="2:9" x14ac:dyDescent="0.2">
      <c r="B29" s="57" t="s">
        <v>1214</v>
      </c>
      <c r="C29" s="57" t="s">
        <v>1215</v>
      </c>
      <c r="D29" s="57" t="s">
        <v>1216</v>
      </c>
      <c r="E29" s="57" t="s">
        <v>1217</v>
      </c>
      <c r="F29" s="57" t="s">
        <v>1218</v>
      </c>
    </row>
    <row r="31" spans="2:9" ht="19" x14ac:dyDescent="0.25">
      <c r="B31" s="58" t="s">
        <v>1220</v>
      </c>
    </row>
    <row r="32" spans="2:9" ht="19" x14ac:dyDescent="0.25">
      <c r="B32" s="58"/>
    </row>
    <row r="33" spans="2:18" x14ac:dyDescent="0.2">
      <c r="B33" s="59" t="s">
        <v>1274</v>
      </c>
    </row>
    <row r="34" spans="2:18" x14ac:dyDescent="0.2">
      <c r="B34" s="59" t="s">
        <v>1275</v>
      </c>
    </row>
    <row r="35" spans="2:18" x14ac:dyDescent="0.2">
      <c r="B35" s="59" t="s">
        <v>1276</v>
      </c>
    </row>
    <row r="38" spans="2:18" ht="19" x14ac:dyDescent="0.25">
      <c r="B38" s="58"/>
    </row>
    <row r="39" spans="2:18" ht="19" x14ac:dyDescent="0.25">
      <c r="B39" s="58"/>
    </row>
    <row r="40" spans="2:18" x14ac:dyDescent="0.2">
      <c r="B40" s="63"/>
    </row>
    <row r="41" spans="2:18" x14ac:dyDescent="0.2">
      <c r="B41" s="59"/>
      <c r="C41" s="59"/>
      <c r="D41" s="59"/>
      <c r="E41" s="59"/>
      <c r="F41" s="59"/>
      <c r="G41" s="59"/>
      <c r="H41" s="59"/>
      <c r="I41" s="59"/>
      <c r="J41" s="59"/>
      <c r="K41" s="59"/>
      <c r="L41" s="62"/>
      <c r="M41" s="62"/>
      <c r="N41" s="62"/>
      <c r="O41" s="62"/>
      <c r="P41" s="62"/>
      <c r="Q41" s="62"/>
      <c r="R41" s="62"/>
    </row>
    <row r="42" spans="2:18" x14ac:dyDescent="0.2">
      <c r="D42" s="65"/>
      <c r="L42" s="64"/>
      <c r="Q42" s="64"/>
    </row>
    <row r="43" spans="2:18" x14ac:dyDescent="0.2">
      <c r="D43" s="65"/>
      <c r="L43" s="64"/>
      <c r="Q43" s="64"/>
    </row>
    <row r="44" spans="2:18" x14ac:dyDescent="0.2">
      <c r="D44" s="65"/>
      <c r="L44" s="64"/>
      <c r="Q44" s="64"/>
    </row>
    <row r="45" spans="2:18" x14ac:dyDescent="0.2">
      <c r="D45" s="65"/>
      <c r="L45" s="64"/>
      <c r="Q45" s="64"/>
    </row>
    <row r="46" spans="2:18" x14ac:dyDescent="0.2">
      <c r="D46" s="65"/>
      <c r="L46" s="64"/>
      <c r="Q46" s="64"/>
    </row>
    <row r="47" spans="2:18" x14ac:dyDescent="0.2">
      <c r="D47" s="65"/>
      <c r="L47" s="64"/>
      <c r="Q47" s="64"/>
    </row>
    <row r="49" spans="2:2" x14ac:dyDescent="0.2">
      <c r="B49" s="63"/>
    </row>
    <row r="51" spans="2:2" x14ac:dyDescent="0.2">
      <c r="B51" s="59"/>
    </row>
    <row r="62" spans="2:2" x14ac:dyDescent="0.2">
      <c r="B62" s="63"/>
    </row>
    <row r="64" spans="2:2" x14ac:dyDescent="0.2">
      <c r="B64" s="63"/>
    </row>
    <row r="65" spans="2:2" x14ac:dyDescent="0.2">
      <c r="B65" s="63"/>
    </row>
    <row r="66" spans="2:2" x14ac:dyDescent="0.2">
      <c r="B66" s="63"/>
    </row>
    <row r="67" spans="2:2" x14ac:dyDescent="0.2">
      <c r="B67" s="63"/>
    </row>
    <row r="68" spans="2:2" x14ac:dyDescent="0.2">
      <c r="B68" s="63"/>
    </row>
    <row r="69" spans="2:2" x14ac:dyDescent="0.2">
      <c r="B69" s="63"/>
    </row>
    <row r="70" spans="2:2" x14ac:dyDescent="0.2">
      <c r="B70" s="63"/>
    </row>
    <row r="71" spans="2:2" x14ac:dyDescent="0.2">
      <c r="B71" s="63"/>
    </row>
    <row r="72" spans="2:2" x14ac:dyDescent="0.2">
      <c r="B72" s="63"/>
    </row>
    <row r="73" spans="2:2" x14ac:dyDescent="0.2">
      <c r="B73" s="63"/>
    </row>
    <row r="74" spans="2:2" x14ac:dyDescent="0.2">
      <c r="B74" s="63"/>
    </row>
    <row r="75" spans="2:2" x14ac:dyDescent="0.2">
      <c r="B75" s="63"/>
    </row>
    <row r="76" spans="2:2" x14ac:dyDescent="0.2">
      <c r="B76" s="63"/>
    </row>
    <row r="77" spans="2:2" x14ac:dyDescent="0.2">
      <c r="B77" s="63"/>
    </row>
    <row r="78" spans="2:2" x14ac:dyDescent="0.2">
      <c r="B78" s="63"/>
    </row>
    <row r="79" spans="2:2" x14ac:dyDescent="0.2">
      <c r="B79" s="63"/>
    </row>
    <row r="80" spans="2:2" x14ac:dyDescent="0.2">
      <c r="B80" s="63"/>
    </row>
    <row r="81" spans="2:2" x14ac:dyDescent="0.2">
      <c r="B81" s="63"/>
    </row>
    <row r="82" spans="2:2" x14ac:dyDescent="0.2">
      <c r="B82" s="63"/>
    </row>
    <row r="83" spans="2:2" x14ac:dyDescent="0.2">
      <c r="B83" s="63"/>
    </row>
    <row r="84" spans="2:2" x14ac:dyDescent="0.2">
      <c r="B84" s="63"/>
    </row>
    <row r="85" spans="2:2" x14ac:dyDescent="0.2">
      <c r="B85" s="63"/>
    </row>
    <row r="86" spans="2:2" x14ac:dyDescent="0.2">
      <c r="B86" s="63"/>
    </row>
    <row r="87" spans="2:2" x14ac:dyDescent="0.2">
      <c r="B87" s="63"/>
    </row>
    <row r="88" spans="2:2" x14ac:dyDescent="0.2">
      <c r="B88" s="63"/>
    </row>
    <row r="89" spans="2:2" x14ac:dyDescent="0.2">
      <c r="B89" s="63"/>
    </row>
    <row r="90" spans="2:2" x14ac:dyDescent="0.2">
      <c r="B90" s="63"/>
    </row>
    <row r="91" spans="2:2" x14ac:dyDescent="0.2">
      <c r="B91" s="63"/>
    </row>
    <row r="92" spans="2:2" x14ac:dyDescent="0.2">
      <c r="B92" s="63"/>
    </row>
    <row r="93" spans="2:2" x14ac:dyDescent="0.2">
      <c r="B93" s="63"/>
    </row>
    <row r="94" spans="2:2" x14ac:dyDescent="0.2">
      <c r="B94" s="63"/>
    </row>
    <row r="95" spans="2:2" x14ac:dyDescent="0.2">
      <c r="B95" s="63"/>
    </row>
    <row r="96" spans="2:2" x14ac:dyDescent="0.2">
      <c r="B96" s="63"/>
    </row>
    <row r="97" spans="2:2" x14ac:dyDescent="0.2">
      <c r="B97" s="63"/>
    </row>
    <row r="98" spans="2:2" x14ac:dyDescent="0.2">
      <c r="B98" s="63"/>
    </row>
    <row r="99" spans="2:2" x14ac:dyDescent="0.2">
      <c r="B99" s="63"/>
    </row>
    <row r="100" spans="2:2" x14ac:dyDescent="0.2">
      <c r="B100" s="63"/>
    </row>
    <row r="101" spans="2:2" x14ac:dyDescent="0.2">
      <c r="B101" s="63"/>
    </row>
    <row r="102" spans="2:2" x14ac:dyDescent="0.2">
      <c r="B102" s="63"/>
    </row>
    <row r="103" spans="2:2" x14ac:dyDescent="0.2">
      <c r="B103" s="63"/>
    </row>
    <row r="104" spans="2:2" x14ac:dyDescent="0.2">
      <c r="B104" s="63"/>
    </row>
    <row r="105" spans="2:2" x14ac:dyDescent="0.2">
      <c r="B105" s="63"/>
    </row>
    <row r="106" spans="2:2" x14ac:dyDescent="0.2">
      <c r="B106" s="63"/>
    </row>
    <row r="107" spans="2:2" x14ac:dyDescent="0.2">
      <c r="B107" s="63"/>
    </row>
    <row r="108" spans="2:2" x14ac:dyDescent="0.2">
      <c r="B108" s="63"/>
    </row>
    <row r="109" spans="2:2" x14ac:dyDescent="0.2">
      <c r="B109" s="63"/>
    </row>
    <row r="110" spans="2:2" x14ac:dyDescent="0.2">
      <c r="B110" s="63"/>
    </row>
    <row r="111" spans="2:2" x14ac:dyDescent="0.2">
      <c r="B111" s="63"/>
    </row>
    <row r="112" spans="2:2" x14ac:dyDescent="0.2">
      <c r="B112" s="63"/>
    </row>
    <row r="114" spans="2:2" x14ac:dyDescent="0.2">
      <c r="B114" s="63"/>
    </row>
    <row r="116" spans="2:2" x14ac:dyDescent="0.2">
      <c r="B116" s="63"/>
    </row>
    <row r="117" spans="2:2" x14ac:dyDescent="0.2">
      <c r="B117" s="63"/>
    </row>
    <row r="118" spans="2:2" x14ac:dyDescent="0.2">
      <c r="B118" s="63"/>
    </row>
    <row r="119" spans="2:2" x14ac:dyDescent="0.2">
      <c r="B119" s="63"/>
    </row>
    <row r="120" spans="2:2" x14ac:dyDescent="0.2">
      <c r="B120" s="63"/>
    </row>
    <row r="121" spans="2:2" x14ac:dyDescent="0.2">
      <c r="B121" s="63"/>
    </row>
    <row r="122" spans="2:2" x14ac:dyDescent="0.2">
      <c r="B122" s="63"/>
    </row>
    <row r="123" spans="2:2" x14ac:dyDescent="0.2">
      <c r="B123" s="63"/>
    </row>
    <row r="124" spans="2:2" x14ac:dyDescent="0.2">
      <c r="B124" s="63"/>
    </row>
    <row r="125" spans="2:2" x14ac:dyDescent="0.2">
      <c r="B125" s="63"/>
    </row>
    <row r="126" spans="2:2" x14ac:dyDescent="0.2">
      <c r="B126" s="63"/>
    </row>
    <row r="127" spans="2:2" x14ac:dyDescent="0.2">
      <c r="B127" s="63"/>
    </row>
    <row r="128" spans="2:2" x14ac:dyDescent="0.2">
      <c r="B128" s="63"/>
    </row>
    <row r="129" spans="2:2" x14ac:dyDescent="0.2">
      <c r="B129" s="63"/>
    </row>
    <row r="130" spans="2:2" x14ac:dyDescent="0.2">
      <c r="B130" s="63"/>
    </row>
    <row r="131" spans="2:2" x14ac:dyDescent="0.2">
      <c r="B131" s="63"/>
    </row>
    <row r="132" spans="2:2" x14ac:dyDescent="0.2">
      <c r="B132" s="63"/>
    </row>
    <row r="133" spans="2:2" x14ac:dyDescent="0.2">
      <c r="B133" s="63"/>
    </row>
    <row r="134" spans="2:2" x14ac:dyDescent="0.2">
      <c r="B134" s="63"/>
    </row>
    <row r="135" spans="2:2" x14ac:dyDescent="0.2">
      <c r="B135" s="63"/>
    </row>
    <row r="136" spans="2:2" x14ac:dyDescent="0.2">
      <c r="B136" s="63"/>
    </row>
    <row r="137" spans="2:2" x14ac:dyDescent="0.2">
      <c r="B137" s="63"/>
    </row>
    <row r="138" spans="2:2" x14ac:dyDescent="0.2">
      <c r="B138" s="63"/>
    </row>
    <row r="139" spans="2:2" x14ac:dyDescent="0.2">
      <c r="B139" s="63"/>
    </row>
    <row r="140" spans="2:2" x14ac:dyDescent="0.2">
      <c r="B140" s="63"/>
    </row>
    <row r="141" spans="2:2" x14ac:dyDescent="0.2">
      <c r="B141" s="63"/>
    </row>
    <row r="142" spans="2:2" x14ac:dyDescent="0.2">
      <c r="B142" s="63"/>
    </row>
    <row r="143" spans="2:2" x14ac:dyDescent="0.2">
      <c r="B143" s="63"/>
    </row>
    <row r="144" spans="2:2" x14ac:dyDescent="0.2">
      <c r="B144" s="63"/>
    </row>
    <row r="145" spans="2:2" x14ac:dyDescent="0.2">
      <c r="B145" s="63"/>
    </row>
    <row r="146" spans="2:2" x14ac:dyDescent="0.2">
      <c r="B146" s="63"/>
    </row>
    <row r="147" spans="2:2" x14ac:dyDescent="0.2">
      <c r="B147" s="63"/>
    </row>
    <row r="148" spans="2:2" x14ac:dyDescent="0.2">
      <c r="B148" s="63"/>
    </row>
    <row r="149" spans="2:2" x14ac:dyDescent="0.2">
      <c r="B149" s="63"/>
    </row>
    <row r="150" spans="2:2" x14ac:dyDescent="0.2">
      <c r="B150" s="63"/>
    </row>
    <row r="151" spans="2:2" x14ac:dyDescent="0.2">
      <c r="B151" s="63"/>
    </row>
    <row r="152" spans="2:2" x14ac:dyDescent="0.2">
      <c r="B152" s="63"/>
    </row>
    <row r="153" spans="2:2" x14ac:dyDescent="0.2">
      <c r="B153" s="63"/>
    </row>
    <row r="154" spans="2:2" x14ac:dyDescent="0.2">
      <c r="B154" s="63"/>
    </row>
    <row r="155" spans="2:2" x14ac:dyDescent="0.2">
      <c r="B155" s="63"/>
    </row>
    <row r="156" spans="2:2" x14ac:dyDescent="0.2">
      <c r="B156" s="63"/>
    </row>
    <row r="157" spans="2:2" x14ac:dyDescent="0.2">
      <c r="B157" s="63"/>
    </row>
    <row r="158" spans="2:2" x14ac:dyDescent="0.2">
      <c r="B158" s="63"/>
    </row>
    <row r="159" spans="2:2" x14ac:dyDescent="0.2">
      <c r="B159" s="63"/>
    </row>
    <row r="160" spans="2:2" x14ac:dyDescent="0.2">
      <c r="B160" s="63"/>
    </row>
    <row r="161" spans="2:2" x14ac:dyDescent="0.2">
      <c r="B161" s="63"/>
    </row>
    <row r="163" spans="2:2" x14ac:dyDescent="0.2">
      <c r="B163" s="63"/>
    </row>
    <row r="165" spans="2:2" x14ac:dyDescent="0.2">
      <c r="B165" s="63"/>
    </row>
    <row r="166" spans="2:2" x14ac:dyDescent="0.2">
      <c r="B166" s="63"/>
    </row>
    <row r="167" spans="2:2" x14ac:dyDescent="0.2">
      <c r="B167" s="63"/>
    </row>
    <row r="168" spans="2:2" x14ac:dyDescent="0.2">
      <c r="B168" s="63"/>
    </row>
    <row r="169" spans="2:2" x14ac:dyDescent="0.2">
      <c r="B169" s="63"/>
    </row>
    <row r="170" spans="2:2" x14ac:dyDescent="0.2">
      <c r="B170" s="63"/>
    </row>
    <row r="171" spans="2:2" x14ac:dyDescent="0.2">
      <c r="B171" s="63"/>
    </row>
    <row r="172" spans="2:2" x14ac:dyDescent="0.2">
      <c r="B172" s="63"/>
    </row>
    <row r="173" spans="2:2" x14ac:dyDescent="0.2">
      <c r="B173" s="63"/>
    </row>
    <row r="174" spans="2:2" x14ac:dyDescent="0.2">
      <c r="B174" s="63"/>
    </row>
    <row r="175" spans="2:2" x14ac:dyDescent="0.2">
      <c r="B175" s="63"/>
    </row>
    <row r="176" spans="2:2" x14ac:dyDescent="0.2">
      <c r="B176" s="63"/>
    </row>
    <row r="177" spans="2:2" x14ac:dyDescent="0.2">
      <c r="B177" s="63"/>
    </row>
    <row r="178" spans="2:2" x14ac:dyDescent="0.2">
      <c r="B178" s="63"/>
    </row>
    <row r="179" spans="2:2" x14ac:dyDescent="0.2">
      <c r="B179" s="63"/>
    </row>
    <row r="180" spans="2:2" x14ac:dyDescent="0.2">
      <c r="B180" s="63"/>
    </row>
    <row r="181" spans="2:2" x14ac:dyDescent="0.2">
      <c r="B181" s="63"/>
    </row>
    <row r="182" spans="2:2" x14ac:dyDescent="0.2">
      <c r="B182" s="63"/>
    </row>
    <row r="183" spans="2:2" x14ac:dyDescent="0.2">
      <c r="B183" s="63"/>
    </row>
    <row r="184" spans="2:2" x14ac:dyDescent="0.2">
      <c r="B184" s="63"/>
    </row>
    <row r="185" spans="2:2" x14ac:dyDescent="0.2">
      <c r="B185" s="63"/>
    </row>
    <row r="186" spans="2:2" x14ac:dyDescent="0.2">
      <c r="B186" s="63"/>
    </row>
    <row r="187" spans="2:2" x14ac:dyDescent="0.2">
      <c r="B187" s="63"/>
    </row>
    <row r="188" spans="2:2" x14ac:dyDescent="0.2">
      <c r="B188" s="63"/>
    </row>
    <row r="189" spans="2:2" x14ac:dyDescent="0.2">
      <c r="B189" s="63"/>
    </row>
    <row r="190" spans="2:2" x14ac:dyDescent="0.2">
      <c r="B190" s="63"/>
    </row>
    <row r="191" spans="2:2" x14ac:dyDescent="0.2">
      <c r="B191" s="63"/>
    </row>
    <row r="192" spans="2:2" x14ac:dyDescent="0.2">
      <c r="B192" s="63"/>
    </row>
    <row r="193" spans="2:2" x14ac:dyDescent="0.2">
      <c r="B193" s="63"/>
    </row>
    <row r="194" spans="2:2" x14ac:dyDescent="0.2">
      <c r="B194" s="63"/>
    </row>
    <row r="195" spans="2:2" x14ac:dyDescent="0.2">
      <c r="B195" s="63"/>
    </row>
    <row r="196" spans="2:2" x14ac:dyDescent="0.2">
      <c r="B196" s="63"/>
    </row>
    <row r="197" spans="2:2" x14ac:dyDescent="0.2">
      <c r="B197" s="63"/>
    </row>
    <row r="198" spans="2:2" x14ac:dyDescent="0.2">
      <c r="B198" s="63"/>
    </row>
    <row r="199" spans="2:2" x14ac:dyDescent="0.2">
      <c r="B199" s="63"/>
    </row>
    <row r="200" spans="2:2" x14ac:dyDescent="0.2">
      <c r="B200" s="63"/>
    </row>
    <row r="201" spans="2:2" x14ac:dyDescent="0.2">
      <c r="B201" s="63"/>
    </row>
    <row r="202" spans="2:2" x14ac:dyDescent="0.2">
      <c r="B202" s="63"/>
    </row>
    <row r="203" spans="2:2" x14ac:dyDescent="0.2">
      <c r="B203" s="63"/>
    </row>
    <row r="204" spans="2:2" x14ac:dyDescent="0.2">
      <c r="B204" s="63"/>
    </row>
    <row r="205" spans="2:2" x14ac:dyDescent="0.2">
      <c r="B205" s="63"/>
    </row>
    <row r="206" spans="2:2" x14ac:dyDescent="0.2">
      <c r="B206" s="63"/>
    </row>
    <row r="207" spans="2:2" x14ac:dyDescent="0.2">
      <c r="B207" s="63"/>
    </row>
    <row r="209" spans="2:2" x14ac:dyDescent="0.2">
      <c r="B209" s="63"/>
    </row>
    <row r="211" spans="2:2" x14ac:dyDescent="0.2">
      <c r="B211" s="63"/>
    </row>
    <row r="212" spans="2:2" x14ac:dyDescent="0.2">
      <c r="B212" s="63"/>
    </row>
    <row r="213" spans="2:2" x14ac:dyDescent="0.2">
      <c r="B213" s="63"/>
    </row>
    <row r="214" spans="2:2" x14ac:dyDescent="0.2">
      <c r="B214" s="63"/>
    </row>
    <row r="215" spans="2:2" x14ac:dyDescent="0.2">
      <c r="B215" s="63"/>
    </row>
    <row r="216" spans="2:2" x14ac:dyDescent="0.2">
      <c r="B216" s="63"/>
    </row>
    <row r="217" spans="2:2" x14ac:dyDescent="0.2">
      <c r="B217" s="63"/>
    </row>
    <row r="218" spans="2:2" x14ac:dyDescent="0.2">
      <c r="B218" s="63"/>
    </row>
    <row r="219" spans="2:2" x14ac:dyDescent="0.2">
      <c r="B219" s="63"/>
    </row>
    <row r="220" spans="2:2" x14ac:dyDescent="0.2">
      <c r="B220" s="63"/>
    </row>
    <row r="221" spans="2:2" x14ac:dyDescent="0.2">
      <c r="B221" s="63"/>
    </row>
    <row r="222" spans="2:2" x14ac:dyDescent="0.2">
      <c r="B222" s="63"/>
    </row>
    <row r="223" spans="2:2" x14ac:dyDescent="0.2">
      <c r="B223" s="63"/>
    </row>
    <row r="224" spans="2:2" x14ac:dyDescent="0.2">
      <c r="B224" s="63"/>
    </row>
    <row r="225" spans="2:2" x14ac:dyDescent="0.2">
      <c r="B225" s="63"/>
    </row>
    <row r="226" spans="2:2" x14ac:dyDescent="0.2">
      <c r="B226" s="63"/>
    </row>
    <row r="227" spans="2:2" x14ac:dyDescent="0.2">
      <c r="B227" s="63"/>
    </row>
    <row r="228" spans="2:2" x14ac:dyDescent="0.2">
      <c r="B228" s="63"/>
    </row>
    <row r="229" spans="2:2" x14ac:dyDescent="0.2">
      <c r="B229" s="63"/>
    </row>
    <row r="230" spans="2:2" x14ac:dyDescent="0.2">
      <c r="B230" s="63"/>
    </row>
    <row r="231" spans="2:2" x14ac:dyDescent="0.2">
      <c r="B231" s="63"/>
    </row>
    <row r="232" spans="2:2" x14ac:dyDescent="0.2">
      <c r="B232" s="63"/>
    </row>
    <row r="233" spans="2:2" x14ac:dyDescent="0.2">
      <c r="B233" s="63"/>
    </row>
    <row r="234" spans="2:2" x14ac:dyDescent="0.2">
      <c r="B234" s="63"/>
    </row>
    <row r="235" spans="2:2" x14ac:dyDescent="0.2">
      <c r="B235" s="63"/>
    </row>
    <row r="236" spans="2:2" x14ac:dyDescent="0.2">
      <c r="B236" s="63"/>
    </row>
    <row r="237" spans="2:2" x14ac:dyDescent="0.2">
      <c r="B237" s="63"/>
    </row>
    <row r="238" spans="2:2" x14ac:dyDescent="0.2">
      <c r="B238" s="63"/>
    </row>
    <row r="239" spans="2:2" x14ac:dyDescent="0.2">
      <c r="B239" s="63"/>
    </row>
    <row r="240" spans="2:2" x14ac:dyDescent="0.2">
      <c r="B240" s="63"/>
    </row>
    <row r="241" spans="2:2" x14ac:dyDescent="0.2">
      <c r="B241" s="63"/>
    </row>
    <row r="242" spans="2:2" x14ac:dyDescent="0.2">
      <c r="B242" s="63"/>
    </row>
    <row r="243" spans="2:2" x14ac:dyDescent="0.2">
      <c r="B243" s="63"/>
    </row>
    <row r="244" spans="2:2" x14ac:dyDescent="0.2">
      <c r="B244" s="63"/>
    </row>
    <row r="245" spans="2:2" x14ac:dyDescent="0.2">
      <c r="B245" s="63"/>
    </row>
    <row r="246" spans="2:2" x14ac:dyDescent="0.2">
      <c r="B246" s="63"/>
    </row>
    <row r="247" spans="2:2" x14ac:dyDescent="0.2">
      <c r="B247" s="63"/>
    </row>
    <row r="248" spans="2:2" x14ac:dyDescent="0.2">
      <c r="B248" s="63"/>
    </row>
    <row r="249" spans="2:2" x14ac:dyDescent="0.2">
      <c r="B249" s="63"/>
    </row>
    <row r="250" spans="2:2" x14ac:dyDescent="0.2">
      <c r="B250" s="63"/>
    </row>
    <row r="251" spans="2:2" x14ac:dyDescent="0.2">
      <c r="B251" s="63"/>
    </row>
    <row r="252" spans="2:2" x14ac:dyDescent="0.2">
      <c r="B252" s="63"/>
    </row>
    <row r="253" spans="2:2" x14ac:dyDescent="0.2">
      <c r="B253" s="63"/>
    </row>
    <row r="255" spans="2:2" x14ac:dyDescent="0.2">
      <c r="B255" s="63"/>
    </row>
    <row r="257" spans="2:2" x14ac:dyDescent="0.2">
      <c r="B257" s="63"/>
    </row>
    <row r="258" spans="2:2" x14ac:dyDescent="0.2">
      <c r="B258" s="63"/>
    </row>
    <row r="259" spans="2:2" x14ac:dyDescent="0.2">
      <c r="B259" s="63"/>
    </row>
    <row r="260" spans="2:2" x14ac:dyDescent="0.2">
      <c r="B260" s="63"/>
    </row>
    <row r="261" spans="2:2" x14ac:dyDescent="0.2">
      <c r="B261" s="63"/>
    </row>
    <row r="262" spans="2:2" x14ac:dyDescent="0.2">
      <c r="B262" s="63"/>
    </row>
    <row r="263" spans="2:2" x14ac:dyDescent="0.2">
      <c r="B263" s="63"/>
    </row>
    <row r="264" spans="2:2" x14ac:dyDescent="0.2">
      <c r="B264" s="63"/>
    </row>
    <row r="265" spans="2:2" x14ac:dyDescent="0.2">
      <c r="B265" s="63"/>
    </row>
    <row r="266" spans="2:2" x14ac:dyDescent="0.2">
      <c r="B266" s="63"/>
    </row>
    <row r="267" spans="2:2" x14ac:dyDescent="0.2">
      <c r="B267" s="63"/>
    </row>
    <row r="268" spans="2:2" x14ac:dyDescent="0.2">
      <c r="B268" s="63"/>
    </row>
    <row r="269" spans="2:2" x14ac:dyDescent="0.2">
      <c r="B269" s="63"/>
    </row>
    <row r="270" spans="2:2" x14ac:dyDescent="0.2">
      <c r="B270" s="63"/>
    </row>
    <row r="271" spans="2:2" x14ac:dyDescent="0.2">
      <c r="B271" s="63"/>
    </row>
    <row r="272" spans="2:2" x14ac:dyDescent="0.2">
      <c r="B272" s="63"/>
    </row>
    <row r="273" spans="2:2" x14ac:dyDescent="0.2">
      <c r="B273" s="63"/>
    </row>
    <row r="274" spans="2:2" x14ac:dyDescent="0.2">
      <c r="B274" s="63"/>
    </row>
    <row r="275" spans="2:2" x14ac:dyDescent="0.2">
      <c r="B275" s="63"/>
    </row>
    <row r="276" spans="2:2" x14ac:dyDescent="0.2">
      <c r="B276" s="63"/>
    </row>
    <row r="277" spans="2:2" x14ac:dyDescent="0.2">
      <c r="B277" s="63"/>
    </row>
    <row r="278" spans="2:2" x14ac:dyDescent="0.2">
      <c r="B278" s="63"/>
    </row>
    <row r="279" spans="2:2" x14ac:dyDescent="0.2">
      <c r="B279" s="63"/>
    </row>
    <row r="280" spans="2:2" x14ac:dyDescent="0.2">
      <c r="B280" s="63"/>
    </row>
    <row r="281" spans="2:2" x14ac:dyDescent="0.2">
      <c r="B281" s="63"/>
    </row>
    <row r="282" spans="2:2" x14ac:dyDescent="0.2">
      <c r="B282" s="63"/>
    </row>
    <row r="283" spans="2:2" x14ac:dyDescent="0.2">
      <c r="B283" s="63"/>
    </row>
    <row r="284" spans="2:2" x14ac:dyDescent="0.2">
      <c r="B284" s="63"/>
    </row>
    <row r="285" spans="2:2" x14ac:dyDescent="0.2">
      <c r="B285" s="63"/>
    </row>
    <row r="286" spans="2:2" x14ac:dyDescent="0.2">
      <c r="B286" s="63"/>
    </row>
    <row r="287" spans="2:2" x14ac:dyDescent="0.2">
      <c r="B287" s="63"/>
    </row>
    <row r="288" spans="2:2" x14ac:dyDescent="0.2">
      <c r="B288" s="63"/>
    </row>
    <row r="289" spans="2:2" x14ac:dyDescent="0.2">
      <c r="B289" s="63"/>
    </row>
    <row r="290" spans="2:2" x14ac:dyDescent="0.2">
      <c r="B290" s="63"/>
    </row>
    <row r="291" spans="2:2" x14ac:dyDescent="0.2">
      <c r="B291" s="63"/>
    </row>
    <row r="292" spans="2:2" x14ac:dyDescent="0.2">
      <c r="B292" s="63"/>
    </row>
    <row r="293" spans="2:2" x14ac:dyDescent="0.2">
      <c r="B293" s="63"/>
    </row>
    <row r="294" spans="2:2" x14ac:dyDescent="0.2">
      <c r="B294" s="63"/>
    </row>
    <row r="295" spans="2:2" x14ac:dyDescent="0.2">
      <c r="B295" s="63"/>
    </row>
    <row r="296" spans="2:2" x14ac:dyDescent="0.2">
      <c r="B296" s="63"/>
    </row>
    <row r="297" spans="2:2" x14ac:dyDescent="0.2">
      <c r="B297" s="63"/>
    </row>
    <row r="298" spans="2:2" x14ac:dyDescent="0.2">
      <c r="B298" s="63"/>
    </row>
    <row r="299" spans="2:2" x14ac:dyDescent="0.2">
      <c r="B299" s="63"/>
    </row>
    <row r="300" spans="2:2" x14ac:dyDescent="0.2">
      <c r="B300" s="63"/>
    </row>
    <row r="301" spans="2:2" x14ac:dyDescent="0.2">
      <c r="B301" s="63"/>
    </row>
    <row r="302" spans="2:2" x14ac:dyDescent="0.2">
      <c r="B302" s="63"/>
    </row>
    <row r="303" spans="2:2" x14ac:dyDescent="0.2">
      <c r="B303" s="63"/>
    </row>
    <row r="305" spans="2:2" x14ac:dyDescent="0.2">
      <c r="B305" s="63"/>
    </row>
    <row r="307" spans="2:2" x14ac:dyDescent="0.2">
      <c r="B307" s="63"/>
    </row>
    <row r="308" spans="2:2" x14ac:dyDescent="0.2">
      <c r="B308" s="63"/>
    </row>
    <row r="309" spans="2:2" x14ac:dyDescent="0.2">
      <c r="B309" s="63"/>
    </row>
    <row r="310" spans="2:2" x14ac:dyDescent="0.2">
      <c r="B310" s="63"/>
    </row>
    <row r="311" spans="2:2" x14ac:dyDescent="0.2">
      <c r="B311" s="63"/>
    </row>
    <row r="312" spans="2:2" x14ac:dyDescent="0.2">
      <c r="B312" s="63"/>
    </row>
    <row r="313" spans="2:2" x14ac:dyDescent="0.2">
      <c r="B313" s="63"/>
    </row>
    <row r="314" spans="2:2" x14ac:dyDescent="0.2">
      <c r="B314" s="63"/>
    </row>
    <row r="315" spans="2:2" x14ac:dyDescent="0.2">
      <c r="B315" s="63"/>
    </row>
    <row r="316" spans="2:2" x14ac:dyDescent="0.2">
      <c r="B316" s="63"/>
    </row>
    <row r="317" spans="2:2" x14ac:dyDescent="0.2">
      <c r="B317" s="63"/>
    </row>
    <row r="318" spans="2:2" x14ac:dyDescent="0.2">
      <c r="B318" s="63"/>
    </row>
    <row r="319" spans="2:2" x14ac:dyDescent="0.2">
      <c r="B319" s="63"/>
    </row>
    <row r="320" spans="2:2" x14ac:dyDescent="0.2">
      <c r="B320" s="63"/>
    </row>
    <row r="321" spans="2:2" x14ac:dyDescent="0.2">
      <c r="B321" s="63"/>
    </row>
    <row r="322" spans="2:2" x14ac:dyDescent="0.2">
      <c r="B322" s="63"/>
    </row>
    <row r="323" spans="2:2" x14ac:dyDescent="0.2">
      <c r="B323" s="63"/>
    </row>
    <row r="324" spans="2:2" x14ac:dyDescent="0.2">
      <c r="B324" s="63"/>
    </row>
    <row r="325" spans="2:2" x14ac:dyDescent="0.2">
      <c r="B325" s="63"/>
    </row>
    <row r="326" spans="2:2" x14ac:dyDescent="0.2">
      <c r="B326" s="63"/>
    </row>
    <row r="327" spans="2:2" x14ac:dyDescent="0.2">
      <c r="B327" s="63"/>
    </row>
    <row r="328" spans="2:2" x14ac:dyDescent="0.2">
      <c r="B328" s="63"/>
    </row>
    <row r="329" spans="2:2" x14ac:dyDescent="0.2">
      <c r="B329" s="63"/>
    </row>
    <row r="330" spans="2:2" x14ac:dyDescent="0.2">
      <c r="B330" s="63"/>
    </row>
    <row r="331" spans="2:2" x14ac:dyDescent="0.2">
      <c r="B331" s="63"/>
    </row>
    <row r="332" spans="2:2" x14ac:dyDescent="0.2">
      <c r="B332" s="63"/>
    </row>
    <row r="333" spans="2:2" x14ac:dyDescent="0.2">
      <c r="B333" s="63"/>
    </row>
    <row r="334" spans="2:2" x14ac:dyDescent="0.2">
      <c r="B334" s="63"/>
    </row>
    <row r="335" spans="2:2" x14ac:dyDescent="0.2">
      <c r="B335" s="63"/>
    </row>
    <row r="336" spans="2:2" x14ac:dyDescent="0.2">
      <c r="B336" s="63"/>
    </row>
    <row r="337" spans="2:2" x14ac:dyDescent="0.2">
      <c r="B337" s="63"/>
    </row>
    <row r="338" spans="2:2" x14ac:dyDescent="0.2">
      <c r="B338" s="63"/>
    </row>
    <row r="339" spans="2:2" x14ac:dyDescent="0.2">
      <c r="B339" s="63"/>
    </row>
    <row r="340" spans="2:2" x14ac:dyDescent="0.2">
      <c r="B340" s="63"/>
    </row>
    <row r="341" spans="2:2" x14ac:dyDescent="0.2">
      <c r="B341" s="63"/>
    </row>
    <row r="342" spans="2:2" x14ac:dyDescent="0.2">
      <c r="B342" s="63"/>
    </row>
    <row r="343" spans="2:2" x14ac:dyDescent="0.2">
      <c r="B343" s="63"/>
    </row>
    <row r="344" spans="2:2" x14ac:dyDescent="0.2">
      <c r="B344" s="63"/>
    </row>
    <row r="345" spans="2:2" x14ac:dyDescent="0.2">
      <c r="B345" s="63"/>
    </row>
    <row r="346" spans="2:2" x14ac:dyDescent="0.2">
      <c r="B346" s="63"/>
    </row>
    <row r="347" spans="2:2" x14ac:dyDescent="0.2">
      <c r="B347" s="63"/>
    </row>
    <row r="348" spans="2:2" x14ac:dyDescent="0.2">
      <c r="B348" s="63"/>
    </row>
    <row r="349" spans="2:2" x14ac:dyDescent="0.2">
      <c r="B349" s="63"/>
    </row>
    <row r="350" spans="2:2" x14ac:dyDescent="0.2">
      <c r="B350" s="63"/>
    </row>
    <row r="351" spans="2:2" x14ac:dyDescent="0.2">
      <c r="B351" s="63"/>
    </row>
    <row r="352" spans="2:2" x14ac:dyDescent="0.2">
      <c r="B352" s="63"/>
    </row>
    <row r="353" spans="2:2" x14ac:dyDescent="0.2">
      <c r="B353" s="63"/>
    </row>
    <row r="354" spans="2:2" x14ac:dyDescent="0.2">
      <c r="B354" s="63"/>
    </row>
    <row r="355" spans="2:2" x14ac:dyDescent="0.2">
      <c r="B355" s="63"/>
    </row>
    <row r="356" spans="2:2" x14ac:dyDescent="0.2">
      <c r="B356" s="63"/>
    </row>
    <row r="357" spans="2:2" x14ac:dyDescent="0.2">
      <c r="B357" s="63"/>
    </row>
    <row r="358" spans="2:2" x14ac:dyDescent="0.2">
      <c r="B358" s="63"/>
    </row>
    <row r="359" spans="2:2" x14ac:dyDescent="0.2">
      <c r="B359" s="63"/>
    </row>
    <row r="360" spans="2:2" x14ac:dyDescent="0.2">
      <c r="B360" s="63"/>
    </row>
    <row r="362" spans="2:2" x14ac:dyDescent="0.2">
      <c r="B362" s="63"/>
    </row>
    <row r="365" spans="2:2" s="63" customFormat="1" ht="15" x14ac:dyDescent="0.2"/>
    <row r="366" spans="2:2" s="63" customFormat="1" ht="15" x14ac:dyDescent="0.2"/>
    <row r="367" spans="2:2" s="63" customFormat="1" ht="15" x14ac:dyDescent="0.2"/>
    <row r="368" spans="2:2" s="63" customFormat="1" ht="15" x14ac:dyDescent="0.2"/>
    <row r="369" spans="3:23" s="63" customFormat="1" ht="15" x14ac:dyDescent="0.2"/>
    <row r="370" spans="3:23" s="63" customFormat="1" ht="15" x14ac:dyDescent="0.2"/>
    <row r="371" spans="3:23" s="63" customFormat="1" ht="15" x14ac:dyDescent="0.2"/>
    <row r="372" spans="3:23" s="63" customFormat="1" ht="15" x14ac:dyDescent="0.2"/>
    <row r="373" spans="3:23" s="63" customFormat="1" ht="15" x14ac:dyDescent="0.2"/>
    <row r="374" spans="3:23" s="63" customFormat="1" ht="15" x14ac:dyDescent="0.2"/>
    <row r="375" spans="3:23" s="63" customFormat="1" ht="15" x14ac:dyDescent="0.2">
      <c r="C375" s="63" t="s">
        <v>1336</v>
      </c>
      <c r="D375" s="63" t="s">
        <v>1337</v>
      </c>
      <c r="E375" s="63" t="s">
        <v>1338</v>
      </c>
      <c r="F375" s="63" t="s">
        <v>1339</v>
      </c>
      <c r="G375" s="63" t="s">
        <v>1340</v>
      </c>
      <c r="H375" s="63" t="s">
        <v>1341</v>
      </c>
      <c r="I375" s="63" t="s">
        <v>1152</v>
      </c>
      <c r="J375" s="63" t="s">
        <v>1342</v>
      </c>
      <c r="K375" s="63" t="s">
        <v>1343</v>
      </c>
      <c r="L375" s="63" t="s">
        <v>1344</v>
      </c>
      <c r="M375" s="63" t="s">
        <v>1154</v>
      </c>
      <c r="N375" s="63" t="s">
        <v>1345</v>
      </c>
      <c r="O375" s="63" t="s">
        <v>1346</v>
      </c>
      <c r="P375" s="63" t="s">
        <v>1347</v>
      </c>
      <c r="Q375" s="63" t="s">
        <v>1348</v>
      </c>
      <c r="R375" s="63" t="s">
        <v>1349</v>
      </c>
      <c r="S375" s="63" t="s">
        <v>1350</v>
      </c>
      <c r="T375" s="63" t="s">
        <v>1351</v>
      </c>
      <c r="U375" s="63" t="s">
        <v>1352</v>
      </c>
      <c r="V375" s="63" t="s">
        <v>1353</v>
      </c>
      <c r="W375" s="63" t="s">
        <v>1354</v>
      </c>
    </row>
    <row r="376" spans="3:23" s="63" customFormat="1" ht="15" x14ac:dyDescent="0.2">
      <c r="C376" s="63" t="s">
        <v>1209</v>
      </c>
      <c r="D376" s="63">
        <v>304</v>
      </c>
      <c r="E376" s="63">
        <v>273</v>
      </c>
      <c r="F376" s="63">
        <v>31</v>
      </c>
      <c r="G376" s="63">
        <v>0.57899999999999996</v>
      </c>
      <c r="H376" s="63">
        <v>0.10199999999999999</v>
      </c>
      <c r="I376" s="63">
        <v>4.7699999999999996</v>
      </c>
      <c r="J376" s="63">
        <v>6020.17</v>
      </c>
      <c r="K376" s="63">
        <v>-1596.95</v>
      </c>
      <c r="L376" s="63">
        <v>0.42</v>
      </c>
      <c r="M376" s="63">
        <v>19.8</v>
      </c>
      <c r="N376" s="63">
        <v>0.71</v>
      </c>
      <c r="O376" s="63">
        <v>0.57999999999999996</v>
      </c>
      <c r="P376" s="63">
        <v>2339.1</v>
      </c>
      <c r="Q376" s="63">
        <v>13.29</v>
      </c>
      <c r="R376" s="63">
        <v>12.17</v>
      </c>
      <c r="S376" s="63">
        <v>-5.33</v>
      </c>
      <c r="T376" s="63">
        <v>7020.18</v>
      </c>
      <c r="U376" s="63">
        <v>602.02</v>
      </c>
      <c r="V376" s="63">
        <v>7171.1</v>
      </c>
      <c r="W376" s="63">
        <v>617.11</v>
      </c>
    </row>
    <row r="377" spans="3:23" s="63" customFormat="1" ht="15" x14ac:dyDescent="0.2">
      <c r="C377" s="63" t="s">
        <v>1355</v>
      </c>
      <c r="D377" s="63">
        <v>239</v>
      </c>
      <c r="E377" s="63">
        <v>216</v>
      </c>
      <c r="F377" s="63">
        <v>23</v>
      </c>
      <c r="G377" s="63">
        <v>0.56899999999999995</v>
      </c>
      <c r="H377" s="63">
        <v>9.6000000000000002E-2</v>
      </c>
      <c r="I377" s="63">
        <v>5.05</v>
      </c>
      <c r="J377" s="63">
        <v>3748.22</v>
      </c>
      <c r="K377" s="63">
        <v>-924.2</v>
      </c>
      <c r="L377" s="63">
        <v>0.45</v>
      </c>
      <c r="M377" s="63">
        <v>15.68</v>
      </c>
      <c r="N377" s="63">
        <v>0.73</v>
      </c>
      <c r="O377" s="63">
        <v>0.57999999999999996</v>
      </c>
      <c r="P377" s="63">
        <v>1876</v>
      </c>
      <c r="Q377" s="63">
        <v>13.79</v>
      </c>
      <c r="R377" s="63">
        <v>12.49</v>
      </c>
      <c r="S377" s="63">
        <v>-5.68</v>
      </c>
      <c r="T377" s="63">
        <v>4748.2299999999996</v>
      </c>
      <c r="U377" s="63">
        <v>374.82</v>
      </c>
      <c r="V377" s="63">
        <v>4867.95</v>
      </c>
      <c r="W377" s="63">
        <v>386.8</v>
      </c>
    </row>
    <row r="378" spans="3:23" s="63" customFormat="1" ht="15" x14ac:dyDescent="0.2">
      <c r="C378" s="63" t="s">
        <v>1214</v>
      </c>
      <c r="D378" s="63">
        <v>229</v>
      </c>
      <c r="E378" s="63">
        <v>207</v>
      </c>
      <c r="F378" s="63">
        <v>22</v>
      </c>
      <c r="G378" s="63">
        <v>0.59</v>
      </c>
      <c r="H378" s="63">
        <v>9.1999999999999998E-2</v>
      </c>
      <c r="I378" s="63">
        <v>6.46</v>
      </c>
      <c r="J378" s="63">
        <v>4594.18</v>
      </c>
      <c r="K378" s="63">
        <v>-841.03</v>
      </c>
      <c r="L378" s="63">
        <v>0.49</v>
      </c>
      <c r="M378" s="63">
        <v>20.059999999999999</v>
      </c>
      <c r="N378" s="63">
        <v>0.77</v>
      </c>
      <c r="O378" s="63">
        <v>0.57999999999999996</v>
      </c>
      <c r="P378" s="63">
        <v>1977.6</v>
      </c>
      <c r="Q378" s="63">
        <v>14.65</v>
      </c>
      <c r="R378" s="63">
        <v>13.07</v>
      </c>
      <c r="S378" s="63">
        <v>-5.7</v>
      </c>
      <c r="T378" s="63">
        <v>5594.18</v>
      </c>
      <c r="U378" s="63">
        <v>459.42</v>
      </c>
      <c r="V378" s="63">
        <v>5770.13</v>
      </c>
      <c r="W378" s="63">
        <v>477.01</v>
      </c>
    </row>
    <row r="379" spans="3:23" s="63" customFormat="1" ht="15" x14ac:dyDescent="0.2">
      <c r="C379" s="63" t="s">
        <v>1356</v>
      </c>
      <c r="D379" s="63">
        <v>222</v>
      </c>
      <c r="E379" s="63">
        <v>201</v>
      </c>
      <c r="F379" s="63">
        <v>21</v>
      </c>
      <c r="G379" s="63">
        <v>0.58099999999999996</v>
      </c>
      <c r="H379" s="63">
        <v>0.09</v>
      </c>
      <c r="I379" s="63">
        <v>7.76</v>
      </c>
      <c r="J379" s="63">
        <v>4406.18</v>
      </c>
      <c r="K379" s="63">
        <v>-651.47</v>
      </c>
      <c r="L379" s="63">
        <v>0.52</v>
      </c>
      <c r="M379" s="63">
        <v>19.850000000000001</v>
      </c>
      <c r="N379" s="63">
        <v>0.78</v>
      </c>
      <c r="O379" s="63">
        <v>0.57999999999999996</v>
      </c>
      <c r="P379" s="63">
        <v>1906.2</v>
      </c>
      <c r="Q379" s="63">
        <v>14.78</v>
      </c>
      <c r="R379" s="63">
        <v>13.06</v>
      </c>
      <c r="S379" s="63">
        <v>-4.6100000000000003</v>
      </c>
      <c r="T379" s="63">
        <v>5406.18</v>
      </c>
      <c r="U379" s="63">
        <v>440.62</v>
      </c>
      <c r="V379" s="63">
        <v>5464.77</v>
      </c>
      <c r="W379" s="63">
        <v>446.48</v>
      </c>
    </row>
    <row r="380" spans="3:23" s="63" customFormat="1" ht="15" x14ac:dyDescent="0.2">
      <c r="C380" s="63" t="s">
        <v>1357</v>
      </c>
      <c r="D380" s="63">
        <v>227</v>
      </c>
      <c r="E380" s="63">
        <v>199</v>
      </c>
      <c r="F380" s="63">
        <v>28</v>
      </c>
      <c r="G380" s="63">
        <v>0.60799999999999998</v>
      </c>
      <c r="H380" s="63">
        <v>0.11899999999999999</v>
      </c>
      <c r="I380" s="63">
        <v>4.84</v>
      </c>
      <c r="J380" s="63">
        <v>4628.1099999999997</v>
      </c>
      <c r="K380" s="63">
        <v>-1204.83</v>
      </c>
      <c r="L380" s="63">
        <v>0.46</v>
      </c>
      <c r="M380" s="63">
        <v>20.39</v>
      </c>
      <c r="N380" s="63">
        <v>0.78</v>
      </c>
      <c r="O380" s="63">
        <v>0.59</v>
      </c>
      <c r="P380" s="63">
        <v>1982</v>
      </c>
      <c r="Q380" s="63">
        <v>14.36</v>
      </c>
      <c r="R380" s="63">
        <v>13.01</v>
      </c>
      <c r="S380" s="63">
        <v>-3.96</v>
      </c>
      <c r="T380" s="63">
        <v>5628.11</v>
      </c>
      <c r="U380" s="63">
        <v>462.81</v>
      </c>
      <c r="V380" s="63">
        <v>5805.02</v>
      </c>
      <c r="W380" s="63">
        <v>480.5</v>
      </c>
    </row>
    <row r="381" spans="3:23" s="63" customFormat="1" ht="15" x14ac:dyDescent="0.2">
      <c r="C381" s="63" t="s">
        <v>1358</v>
      </c>
      <c r="D381" s="63">
        <v>291</v>
      </c>
      <c r="E381" s="63">
        <v>250</v>
      </c>
      <c r="F381" s="63">
        <v>41</v>
      </c>
      <c r="G381" s="63">
        <v>0.58099999999999996</v>
      </c>
      <c r="H381" s="63">
        <v>0.13700000000000001</v>
      </c>
      <c r="I381" s="63">
        <v>3.42</v>
      </c>
      <c r="J381" s="63">
        <v>6433.7</v>
      </c>
      <c r="K381" s="63">
        <v>-2657.43</v>
      </c>
      <c r="L381" s="63">
        <v>0.36</v>
      </c>
      <c r="M381" s="63">
        <v>22.11</v>
      </c>
      <c r="N381" s="63">
        <v>0.79</v>
      </c>
      <c r="O381" s="63">
        <v>0.61</v>
      </c>
      <c r="P381" s="63">
        <v>2415.6999999999998</v>
      </c>
      <c r="Q381" s="63">
        <v>14.29</v>
      </c>
      <c r="R381" s="63">
        <v>12.96</v>
      </c>
      <c r="S381" s="63">
        <v>-5.88</v>
      </c>
      <c r="T381" s="63">
        <v>7433.7</v>
      </c>
      <c r="U381" s="63">
        <v>643.37</v>
      </c>
      <c r="V381" s="63">
        <v>7659.06</v>
      </c>
      <c r="W381" s="63">
        <v>665.91</v>
      </c>
    </row>
    <row r="382" spans="3:23" s="63" customFormat="1" ht="15" x14ac:dyDescent="0.2"/>
    <row r="383" spans="3:23" s="63" customFormat="1" ht="15" x14ac:dyDescent="0.2"/>
    <row r="384" spans="3:23" s="63" customFormat="1" ht="15" x14ac:dyDescent="0.2"/>
    <row r="385" s="63" customFormat="1" ht="15" x14ac:dyDescent="0.2"/>
    <row r="386" s="63" customFormat="1" ht="15" x14ac:dyDescent="0.2"/>
    <row r="387" s="63" customFormat="1" ht="15" x14ac:dyDescent="0.2"/>
    <row r="388" s="63" customFormat="1" ht="15" x14ac:dyDescent="0.2"/>
    <row r="389" s="63" customFormat="1" ht="15" x14ac:dyDescent="0.2"/>
    <row r="390" s="63" customFormat="1" ht="15" x14ac:dyDescent="0.2"/>
    <row r="391" s="63" customFormat="1" ht="15" x14ac:dyDescent="0.2"/>
    <row r="392" s="63" customFormat="1" ht="15" x14ac:dyDescent="0.2"/>
    <row r="393" s="63" customFormat="1" ht="15" x14ac:dyDescent="0.2"/>
    <row r="394" s="63" customFormat="1" ht="15" x14ac:dyDescent="0.2"/>
    <row r="395" s="63" customFormat="1" ht="15" x14ac:dyDescent="0.2"/>
    <row r="396" s="63" customFormat="1" ht="15" x14ac:dyDescent="0.2"/>
    <row r="397" s="63" customFormat="1" ht="15" x14ac:dyDescent="0.2"/>
    <row r="398" s="63" customFormat="1" ht="15" x14ac:dyDescent="0.2"/>
    <row r="399" s="63" customFormat="1" ht="15" x14ac:dyDescent="0.2"/>
    <row r="400" s="63" customFormat="1" ht="15" x14ac:dyDescent="0.2"/>
    <row r="401" s="63" customFormat="1" ht="15" x14ac:dyDescent="0.2"/>
    <row r="402" s="63" customFormat="1" ht="15" x14ac:dyDescent="0.2"/>
    <row r="403" s="63" customFormat="1" ht="15" x14ac:dyDescent="0.2"/>
    <row r="404" s="63" customFormat="1" ht="15" x14ac:dyDescent="0.2"/>
    <row r="405" s="63" customFormat="1" ht="15" x14ac:dyDescent="0.2"/>
    <row r="406" s="63" customFormat="1" ht="15" x14ac:dyDescent="0.2"/>
    <row r="407" s="63" customFormat="1" ht="15" x14ac:dyDescent="0.2"/>
    <row r="408" s="63" customFormat="1" ht="15" x14ac:dyDescent="0.2"/>
    <row r="409" s="63" customFormat="1" ht="15" x14ac:dyDescent="0.2"/>
    <row r="410" s="63" customFormat="1" ht="15" x14ac:dyDescent="0.2"/>
    <row r="411" s="63" customFormat="1" ht="15" x14ac:dyDescent="0.2"/>
    <row r="412" s="63" customFormat="1" ht="15" x14ac:dyDescent="0.2"/>
    <row r="413" s="63" customFormat="1" ht="15" x14ac:dyDescent="0.2"/>
    <row r="414" s="63" customFormat="1" ht="15" x14ac:dyDescent="0.2"/>
    <row r="415" s="63" customFormat="1" ht="15" x14ac:dyDescent="0.2"/>
    <row r="416" s="63" customFormat="1" ht="15" x14ac:dyDescent="0.2"/>
    <row r="417" s="63" customFormat="1" ht="15" x14ac:dyDescent="0.2"/>
    <row r="418" s="63" customFormat="1" ht="15" x14ac:dyDescent="0.2"/>
    <row r="419" s="63" customFormat="1" ht="15" x14ac:dyDescent="0.2"/>
    <row r="420" s="63" customFormat="1" ht="15" x14ac:dyDescent="0.2"/>
    <row r="421" s="63" customFormat="1" ht="15" x14ac:dyDescent="0.2"/>
    <row r="422" s="63" customFormat="1" ht="15" x14ac:dyDescent="0.2"/>
    <row r="423" s="63" customFormat="1" ht="15" x14ac:dyDescent="0.2"/>
    <row r="424" s="63" customFormat="1" ht="15" x14ac:dyDescent="0.2"/>
    <row r="425" s="63" customFormat="1" ht="15" x14ac:dyDescent="0.2"/>
    <row r="426" s="63" customFormat="1" ht="15" x14ac:dyDescent="0.2"/>
    <row r="427" s="63" customFormat="1" ht="15" x14ac:dyDescent="0.2"/>
    <row r="428" s="63" customFormat="1" ht="15" x14ac:dyDescent="0.2"/>
    <row r="429" s="63" customFormat="1" ht="15" x14ac:dyDescent="0.2"/>
    <row r="430" s="63" customFormat="1" ht="15" x14ac:dyDescent="0.2"/>
    <row r="431" s="63" customFormat="1" ht="15" x14ac:dyDescent="0.2"/>
    <row r="432" s="63" customFormat="1" ht="15" x14ac:dyDescent="0.2"/>
    <row r="433" s="63" customFormat="1" ht="15" x14ac:dyDescent="0.2"/>
    <row r="434" s="63" customFormat="1" ht="15" x14ac:dyDescent="0.2"/>
    <row r="435" s="63" customFormat="1" ht="15" x14ac:dyDescent="0.2"/>
    <row r="436" s="63" customFormat="1" ht="15" x14ac:dyDescent="0.2"/>
    <row r="437" s="63" customFormat="1" ht="15" x14ac:dyDescent="0.2"/>
    <row r="438" s="63" customFormat="1" ht="15" x14ac:dyDescent="0.2"/>
    <row r="439" s="63" customFormat="1" ht="15" x14ac:dyDescent="0.2"/>
    <row r="440" s="63" customFormat="1" ht="15" x14ac:dyDescent="0.2"/>
    <row r="441" s="63" customFormat="1" ht="15" x14ac:dyDescent="0.2"/>
    <row r="442" s="63" customFormat="1" ht="15" x14ac:dyDescent="0.2"/>
    <row r="443" s="63" customFormat="1" ht="15" x14ac:dyDescent="0.2"/>
    <row r="444" s="63" customFormat="1" ht="15" x14ac:dyDescent="0.2"/>
    <row r="445" s="63" customFormat="1" ht="15" x14ac:dyDescent="0.2"/>
    <row r="446" s="63" customFormat="1" ht="15" x14ac:dyDescent="0.2"/>
    <row r="447" s="63" customFormat="1" ht="15" x14ac:dyDescent="0.2"/>
    <row r="448" s="63" customFormat="1" ht="15" x14ac:dyDescent="0.2"/>
    <row r="449" s="63" customFormat="1" ht="15" x14ac:dyDescent="0.2"/>
    <row r="450" s="63" customFormat="1" ht="15" x14ac:dyDescent="0.2"/>
    <row r="451" s="63" customFormat="1" ht="15" x14ac:dyDescent="0.2"/>
    <row r="452" s="63" customFormat="1" ht="15" x14ac:dyDescent="0.2"/>
    <row r="453" s="63" customFormat="1" ht="15" x14ac:dyDescent="0.2"/>
    <row r="454" s="63" customFormat="1" ht="15" x14ac:dyDescent="0.2"/>
    <row r="455" s="63" customFormat="1" ht="15" x14ac:dyDescent="0.2"/>
    <row r="456" s="63" customFormat="1" ht="15" x14ac:dyDescent="0.2"/>
    <row r="457" s="63" customFormat="1" ht="15" x14ac:dyDescent="0.2"/>
    <row r="458" s="63" customFormat="1" ht="15" x14ac:dyDescent="0.2"/>
    <row r="459" s="63" customFormat="1" ht="15" x14ac:dyDescent="0.2"/>
    <row r="460" s="63" customFormat="1" ht="15" x14ac:dyDescent="0.2"/>
    <row r="461" s="63" customFormat="1" ht="15" x14ac:dyDescent="0.2"/>
    <row r="462" s="63" customFormat="1" ht="15" x14ac:dyDescent="0.2"/>
  </sheetData>
  <phoneticPr fontId="2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145CE-6064-8D43-8539-B569A2E21040}">
  <sheetPr codeName="Sheet10"/>
  <dimension ref="A3:Z741"/>
  <sheetViews>
    <sheetView topLeftCell="A696" zoomScale="90" zoomScaleNormal="90" workbookViewId="0">
      <selection activeCell="B703" sqref="B703"/>
    </sheetView>
  </sheetViews>
  <sheetFormatPr baseColWidth="10" defaultRowHeight="16" x14ac:dyDescent="0.2"/>
  <cols>
    <col min="2" max="2" width="10.83203125" style="69"/>
    <col min="7" max="7" width="10.83203125" style="69"/>
  </cols>
  <sheetData>
    <row r="3" spans="1:26" x14ac:dyDescent="0.2">
      <c r="B3" s="69" t="s">
        <v>1335</v>
      </c>
      <c r="C3" s="59" t="s">
        <v>1183</v>
      </c>
      <c r="D3" s="59" t="s">
        <v>1386</v>
      </c>
      <c r="E3" s="59" t="s">
        <v>1388</v>
      </c>
      <c r="F3" s="59" t="s">
        <v>1184</v>
      </c>
      <c r="G3" s="59" t="s">
        <v>1185</v>
      </c>
      <c r="H3" s="59" t="s">
        <v>1186</v>
      </c>
      <c r="I3" s="59" t="s">
        <v>1206</v>
      </c>
      <c r="J3" s="59" t="s">
        <v>1221</v>
      </c>
      <c r="K3" s="59" t="s">
        <v>1207</v>
      </c>
      <c r="L3" s="59" t="s">
        <v>1187</v>
      </c>
      <c r="M3" s="59" t="s">
        <v>1453</v>
      </c>
      <c r="N3" s="59" t="s">
        <v>1458</v>
      </c>
      <c r="O3" s="59" t="s">
        <v>1450</v>
      </c>
      <c r="P3" s="59" t="s">
        <v>1451</v>
      </c>
      <c r="Q3" s="59" t="s">
        <v>1452</v>
      </c>
      <c r="R3" s="59" t="s">
        <v>1448</v>
      </c>
      <c r="S3" s="59" t="s">
        <v>1449</v>
      </c>
      <c r="T3" s="62" t="s">
        <v>1379</v>
      </c>
      <c r="U3" s="62" t="s">
        <v>1378</v>
      </c>
      <c r="V3" s="62" t="s">
        <v>1380</v>
      </c>
      <c r="W3" s="62" t="s">
        <v>1381</v>
      </c>
      <c r="X3" s="62" t="s">
        <v>1383</v>
      </c>
      <c r="Y3" s="62" t="s">
        <v>1384</v>
      </c>
      <c r="Z3" s="62" t="s">
        <v>1385</v>
      </c>
    </row>
    <row r="4" spans="1:26" x14ac:dyDescent="0.2">
      <c r="B4" s="72" t="s">
        <v>1442</v>
      </c>
      <c r="C4" s="57" t="s">
        <v>1440</v>
      </c>
      <c r="D4" s="57" t="s">
        <v>1387</v>
      </c>
      <c r="E4" s="65" t="s">
        <v>1441</v>
      </c>
      <c r="F4" s="57">
        <v>5</v>
      </c>
      <c r="G4" s="57">
        <v>8</v>
      </c>
      <c r="H4" s="57">
        <v>5</v>
      </c>
      <c r="I4" s="57" t="s">
        <v>1211</v>
      </c>
      <c r="J4" s="57" t="s">
        <v>1222</v>
      </c>
      <c r="K4" s="57" t="s">
        <v>1212</v>
      </c>
      <c r="L4" s="57" t="s">
        <v>1213</v>
      </c>
      <c r="M4" s="57" t="s">
        <v>1454</v>
      </c>
      <c r="N4" s="57">
        <v>1E-3</v>
      </c>
      <c r="O4" s="57">
        <v>13</v>
      </c>
      <c r="P4" s="57">
        <v>75</v>
      </c>
      <c r="Q4" s="57">
        <v>-75</v>
      </c>
      <c r="R4" s="57">
        <v>0.05</v>
      </c>
      <c r="S4" s="57">
        <v>0.5</v>
      </c>
      <c r="T4" s="73">
        <v>2</v>
      </c>
      <c r="U4" s="76" t="b">
        <v>1</v>
      </c>
      <c r="V4" s="57" t="s">
        <v>412</v>
      </c>
      <c r="W4" s="75" t="b">
        <v>0</v>
      </c>
      <c r="X4" s="57" t="s">
        <v>1382</v>
      </c>
      <c r="Y4" s="64">
        <v>1</v>
      </c>
      <c r="Z4" s="57">
        <v>0.5</v>
      </c>
    </row>
    <row r="5" spans="1:26" x14ac:dyDescent="0.2">
      <c r="B5" s="72" t="s">
        <v>1443</v>
      </c>
      <c r="C5" s="57" t="s">
        <v>1440</v>
      </c>
      <c r="D5" s="57" t="s">
        <v>1387</v>
      </c>
      <c r="E5" s="65" t="s">
        <v>1441</v>
      </c>
      <c r="F5" s="57">
        <v>5</v>
      </c>
      <c r="G5" s="57">
        <v>8</v>
      </c>
      <c r="H5" s="57">
        <v>5</v>
      </c>
      <c r="I5" s="57" t="s">
        <v>1211</v>
      </c>
      <c r="J5" s="57" t="s">
        <v>1222</v>
      </c>
      <c r="K5" s="57" t="s">
        <v>1212</v>
      </c>
      <c r="L5" s="57" t="s">
        <v>1213</v>
      </c>
      <c r="M5" s="57" t="s">
        <v>1454</v>
      </c>
      <c r="N5" s="57">
        <v>1E-3</v>
      </c>
      <c r="O5" s="57">
        <v>13</v>
      </c>
      <c r="P5" s="57">
        <v>75</v>
      </c>
      <c r="Q5" s="57">
        <v>-75</v>
      </c>
      <c r="R5" s="57">
        <v>0.05</v>
      </c>
      <c r="S5" s="57">
        <v>0.5</v>
      </c>
      <c r="T5" s="74">
        <v>3</v>
      </c>
      <c r="U5" s="76" t="b">
        <v>1</v>
      </c>
      <c r="V5" s="57" t="s">
        <v>412</v>
      </c>
      <c r="W5" s="75" t="b">
        <v>0</v>
      </c>
      <c r="X5" s="57" t="s">
        <v>1382</v>
      </c>
      <c r="Y5" s="64">
        <v>1</v>
      </c>
      <c r="Z5" s="57">
        <v>0.5</v>
      </c>
    </row>
    <row r="6" spans="1:26" x14ac:dyDescent="0.2">
      <c r="B6" s="72" t="s">
        <v>1444</v>
      </c>
      <c r="C6" s="57" t="s">
        <v>1440</v>
      </c>
      <c r="D6" s="57" t="s">
        <v>1387</v>
      </c>
      <c r="E6" s="65" t="s">
        <v>1441</v>
      </c>
      <c r="F6" s="57">
        <v>5</v>
      </c>
      <c r="G6" s="57">
        <v>8</v>
      </c>
      <c r="H6" s="57">
        <v>5</v>
      </c>
      <c r="I6" s="57" t="s">
        <v>1211</v>
      </c>
      <c r="J6" s="57" t="s">
        <v>1222</v>
      </c>
      <c r="K6" s="57" t="s">
        <v>1212</v>
      </c>
      <c r="L6" s="57" t="s">
        <v>1213</v>
      </c>
      <c r="M6" s="57" t="s">
        <v>1454</v>
      </c>
      <c r="N6" s="57">
        <v>1E-3</v>
      </c>
      <c r="O6" s="57">
        <v>13</v>
      </c>
      <c r="P6" s="57">
        <v>75</v>
      </c>
      <c r="Q6" s="57">
        <v>-75</v>
      </c>
      <c r="R6" s="57">
        <v>0.05</v>
      </c>
      <c r="S6" s="57">
        <v>0.5</v>
      </c>
      <c r="T6" s="74">
        <v>3</v>
      </c>
      <c r="U6" s="76" t="b">
        <v>1</v>
      </c>
      <c r="V6" s="57" t="s">
        <v>412</v>
      </c>
      <c r="W6" s="76" t="b">
        <v>1</v>
      </c>
      <c r="X6" s="57" t="s">
        <v>1382</v>
      </c>
      <c r="Y6" s="64">
        <v>1</v>
      </c>
      <c r="Z6" s="57">
        <v>0.5</v>
      </c>
    </row>
    <row r="7" spans="1:26" x14ac:dyDescent="0.2">
      <c r="B7" s="72" t="s">
        <v>1445</v>
      </c>
      <c r="C7" s="57" t="s">
        <v>1440</v>
      </c>
      <c r="D7" s="57" t="s">
        <v>1387</v>
      </c>
      <c r="E7" s="65" t="s">
        <v>1441</v>
      </c>
      <c r="F7" s="57">
        <v>5</v>
      </c>
      <c r="G7" s="57">
        <v>8</v>
      </c>
      <c r="H7" s="57">
        <v>5</v>
      </c>
      <c r="I7" s="57" t="s">
        <v>1211</v>
      </c>
      <c r="J7" s="57" t="s">
        <v>1222</v>
      </c>
      <c r="K7" s="57" t="s">
        <v>1212</v>
      </c>
      <c r="L7" s="57" t="s">
        <v>1213</v>
      </c>
      <c r="M7" s="57" t="s">
        <v>1454</v>
      </c>
      <c r="N7" s="57">
        <v>1E-3</v>
      </c>
      <c r="O7" s="57">
        <v>13</v>
      </c>
      <c r="P7" s="57">
        <v>75</v>
      </c>
      <c r="Q7" s="57">
        <v>-75</v>
      </c>
      <c r="R7" s="57">
        <v>0.05</v>
      </c>
      <c r="S7" s="57">
        <v>0.5</v>
      </c>
      <c r="T7" s="77">
        <v>4</v>
      </c>
      <c r="U7" s="76" t="b">
        <v>1</v>
      </c>
      <c r="V7" s="57" t="s">
        <v>412</v>
      </c>
      <c r="W7" s="76" t="b">
        <v>1</v>
      </c>
      <c r="X7" s="57" t="s">
        <v>1382</v>
      </c>
      <c r="Y7" s="64">
        <v>1</v>
      </c>
      <c r="Z7" s="57">
        <v>0.5</v>
      </c>
    </row>
    <row r="8" spans="1:26" x14ac:dyDescent="0.2">
      <c r="B8" s="72" t="s">
        <v>1446</v>
      </c>
      <c r="C8" s="57" t="s">
        <v>1440</v>
      </c>
      <c r="D8" s="57" t="s">
        <v>1387</v>
      </c>
      <c r="E8" s="65" t="s">
        <v>1441</v>
      </c>
      <c r="F8" s="57">
        <v>5</v>
      </c>
      <c r="G8" s="57">
        <v>8</v>
      </c>
      <c r="H8" s="57">
        <v>5</v>
      </c>
      <c r="I8" s="57" t="s">
        <v>1211</v>
      </c>
      <c r="J8" s="57" t="s">
        <v>1222</v>
      </c>
      <c r="K8" s="57" t="s">
        <v>1212</v>
      </c>
      <c r="L8" s="57" t="s">
        <v>1213</v>
      </c>
      <c r="M8" s="57" t="s">
        <v>1454</v>
      </c>
      <c r="N8" s="57">
        <v>1E-3</v>
      </c>
      <c r="O8" s="57">
        <v>13</v>
      </c>
      <c r="P8" s="57">
        <v>75</v>
      </c>
      <c r="Q8" s="57">
        <v>-75</v>
      </c>
      <c r="R8" s="57">
        <v>0.05</v>
      </c>
      <c r="S8" s="57">
        <v>0.5</v>
      </c>
      <c r="T8" s="73">
        <v>2</v>
      </c>
      <c r="U8" s="76" t="b">
        <v>1</v>
      </c>
      <c r="V8" s="78" t="s">
        <v>405</v>
      </c>
      <c r="W8" s="76" t="b">
        <v>1</v>
      </c>
      <c r="X8" s="57" t="s">
        <v>1382</v>
      </c>
      <c r="Y8" s="64">
        <v>1</v>
      </c>
      <c r="Z8" s="57">
        <v>0.5</v>
      </c>
    </row>
    <row r="9" spans="1:26" x14ac:dyDescent="0.2">
      <c r="B9" s="72" t="s">
        <v>1447</v>
      </c>
      <c r="C9" s="57" t="s">
        <v>1440</v>
      </c>
      <c r="D9" s="57" t="s">
        <v>1387</v>
      </c>
      <c r="E9" s="65" t="s">
        <v>1441</v>
      </c>
      <c r="F9" s="57">
        <v>5</v>
      </c>
      <c r="G9" s="57">
        <v>8</v>
      </c>
      <c r="H9" s="57">
        <v>5</v>
      </c>
      <c r="I9" s="57" t="s">
        <v>1211</v>
      </c>
      <c r="J9" s="57" t="s">
        <v>1222</v>
      </c>
      <c r="K9" s="57" t="s">
        <v>1212</v>
      </c>
      <c r="L9" s="57" t="s">
        <v>1213</v>
      </c>
      <c r="M9" s="57" t="s">
        <v>1454</v>
      </c>
      <c r="N9" s="57">
        <v>1E-3</v>
      </c>
      <c r="O9" s="57">
        <v>13</v>
      </c>
      <c r="P9" s="57">
        <v>75</v>
      </c>
      <c r="Q9" s="57">
        <v>-75</v>
      </c>
      <c r="R9" s="57">
        <v>0.05</v>
      </c>
      <c r="S9" s="57">
        <v>0.5</v>
      </c>
      <c r="T9" s="73">
        <v>2</v>
      </c>
      <c r="U9" s="76" t="b">
        <v>1</v>
      </c>
      <c r="V9" s="78" t="s">
        <v>405</v>
      </c>
      <c r="W9" s="75" t="b">
        <v>0</v>
      </c>
      <c r="X9" s="57" t="s">
        <v>1382</v>
      </c>
      <c r="Y9" s="64">
        <v>1</v>
      </c>
      <c r="Z9" s="57">
        <v>0.5</v>
      </c>
    </row>
    <row r="10" spans="1:26" x14ac:dyDescent="0.2">
      <c r="A10" s="57"/>
      <c r="B10" s="57"/>
      <c r="C10" s="65"/>
      <c r="D10" s="57"/>
      <c r="E10" s="57"/>
      <c r="F10" s="57"/>
      <c r="G10" s="57"/>
      <c r="H10" s="57"/>
      <c r="I10" s="57"/>
      <c r="J10" s="57"/>
      <c r="K10" s="64"/>
      <c r="L10" s="57"/>
      <c r="M10" s="57"/>
      <c r="N10" s="57"/>
      <c r="O10" s="57"/>
      <c r="P10" s="57"/>
      <c r="Q10" s="57"/>
      <c r="R10" s="57"/>
      <c r="S10" s="57"/>
      <c r="T10" s="57"/>
      <c r="U10" s="57"/>
      <c r="V10" s="64"/>
      <c r="W10" s="57"/>
      <c r="X10" s="57"/>
    </row>
    <row r="11" spans="1:26" x14ac:dyDescent="0.2">
      <c r="B11" s="72" t="s">
        <v>1455</v>
      </c>
      <c r="C11" s="57" t="s">
        <v>1440</v>
      </c>
      <c r="D11" s="57" t="s">
        <v>1387</v>
      </c>
      <c r="E11" s="65" t="s">
        <v>1441</v>
      </c>
      <c r="F11" s="57">
        <v>5</v>
      </c>
      <c r="G11" s="57">
        <v>8</v>
      </c>
      <c r="H11" s="57">
        <v>5</v>
      </c>
      <c r="I11" s="57" t="s">
        <v>1211</v>
      </c>
      <c r="J11" s="57" t="s">
        <v>1222</v>
      </c>
      <c r="K11" s="57" t="s">
        <v>1212</v>
      </c>
      <c r="L11" s="57" t="s">
        <v>1213</v>
      </c>
      <c r="M11" s="57" t="s">
        <v>1454</v>
      </c>
      <c r="N11" s="57">
        <v>1E-3</v>
      </c>
      <c r="O11" s="57">
        <v>13</v>
      </c>
      <c r="P11" s="57">
        <v>75</v>
      </c>
      <c r="Q11" s="57">
        <v>-75</v>
      </c>
      <c r="R11" s="57">
        <v>0.05</v>
      </c>
      <c r="S11" s="57">
        <v>0.5</v>
      </c>
      <c r="T11" s="73">
        <v>2</v>
      </c>
      <c r="U11" s="76" t="b">
        <v>1</v>
      </c>
      <c r="V11" s="57" t="s">
        <v>412</v>
      </c>
      <c r="W11" s="75" t="b">
        <v>0</v>
      </c>
      <c r="X11" s="57" t="s">
        <v>1382</v>
      </c>
      <c r="Y11" s="64">
        <v>1</v>
      </c>
      <c r="Z11" s="57">
        <v>0.5</v>
      </c>
    </row>
    <row r="12" spans="1:26" x14ac:dyDescent="0.2">
      <c r="B12" s="72" t="s">
        <v>1456</v>
      </c>
      <c r="C12" s="57" t="s">
        <v>1440</v>
      </c>
      <c r="D12" s="57" t="s">
        <v>1387</v>
      </c>
      <c r="E12" s="65" t="s">
        <v>1441</v>
      </c>
      <c r="F12" s="57">
        <v>5</v>
      </c>
      <c r="G12" s="57">
        <v>8</v>
      </c>
      <c r="H12" s="57">
        <v>5</v>
      </c>
      <c r="I12" s="57" t="s">
        <v>1211</v>
      </c>
      <c r="J12" s="57" t="s">
        <v>1222</v>
      </c>
      <c r="K12" s="57" t="s">
        <v>1212</v>
      </c>
      <c r="L12" s="57" t="s">
        <v>1213</v>
      </c>
      <c r="M12" s="57" t="s">
        <v>1454</v>
      </c>
      <c r="N12" s="57">
        <v>0.01</v>
      </c>
      <c r="O12" s="57">
        <v>13</v>
      </c>
      <c r="P12" s="57">
        <v>75</v>
      </c>
      <c r="Q12" s="57">
        <v>-75</v>
      </c>
      <c r="R12" s="57">
        <v>0.05</v>
      </c>
      <c r="S12" s="57">
        <v>0.5</v>
      </c>
      <c r="T12" s="73">
        <v>2</v>
      </c>
      <c r="U12" s="76" t="b">
        <v>1</v>
      </c>
      <c r="V12" s="57" t="s">
        <v>412</v>
      </c>
      <c r="W12" s="75" t="b">
        <v>0</v>
      </c>
      <c r="X12" s="57" t="s">
        <v>1382</v>
      </c>
      <c r="Y12" s="64">
        <v>1</v>
      </c>
      <c r="Z12" s="57">
        <v>0.5</v>
      </c>
    </row>
    <row r="13" spans="1:26" x14ac:dyDescent="0.2">
      <c r="B13" s="72" t="s">
        <v>1457</v>
      </c>
      <c r="C13" s="57" t="s">
        <v>1440</v>
      </c>
      <c r="D13" s="57" t="s">
        <v>1387</v>
      </c>
      <c r="E13" s="65" t="s">
        <v>1441</v>
      </c>
      <c r="F13" s="57">
        <v>5</v>
      </c>
      <c r="G13" s="57">
        <v>8</v>
      </c>
      <c r="H13" s="57">
        <v>5</v>
      </c>
      <c r="I13" s="57" t="s">
        <v>1211</v>
      </c>
      <c r="J13" s="57" t="s">
        <v>1222</v>
      </c>
      <c r="K13" s="57" t="s">
        <v>1212</v>
      </c>
      <c r="L13" s="57" t="s">
        <v>1213</v>
      </c>
      <c r="M13" s="57" t="s">
        <v>1454</v>
      </c>
      <c r="N13" s="57">
        <v>1E-4</v>
      </c>
      <c r="O13" s="57">
        <v>13</v>
      </c>
      <c r="P13" s="57">
        <v>75</v>
      </c>
      <c r="Q13" s="57">
        <v>-75</v>
      </c>
      <c r="R13" s="57">
        <v>0.05</v>
      </c>
      <c r="S13" s="57">
        <v>0.5</v>
      </c>
      <c r="T13" s="73">
        <v>2</v>
      </c>
      <c r="U13" s="76" t="b">
        <v>1</v>
      </c>
      <c r="V13" s="57" t="s">
        <v>412</v>
      </c>
      <c r="W13" s="75" t="b">
        <v>0</v>
      </c>
      <c r="X13" s="57" t="s">
        <v>1382</v>
      </c>
      <c r="Y13" s="64">
        <v>1</v>
      </c>
      <c r="Z13" s="57">
        <v>0.5</v>
      </c>
    </row>
    <row r="14" spans="1:26" x14ac:dyDescent="0.2">
      <c r="B14" s="72"/>
      <c r="C14" s="57"/>
      <c r="D14" s="57"/>
      <c r="E14" s="65"/>
      <c r="F14" s="57"/>
      <c r="G14" s="57"/>
      <c r="H14" s="57"/>
      <c r="I14" s="57"/>
      <c r="J14" s="57"/>
      <c r="K14" s="57"/>
      <c r="L14" s="57"/>
      <c r="M14" s="57"/>
      <c r="N14" s="57"/>
      <c r="O14" s="57"/>
      <c r="P14" s="57"/>
      <c r="Q14" s="57"/>
      <c r="R14" s="57"/>
      <c r="S14" s="57"/>
      <c r="T14" s="57"/>
      <c r="U14" s="57"/>
      <c r="V14" s="57"/>
      <c r="W14" s="57"/>
      <c r="X14" s="57"/>
      <c r="Y14" s="57"/>
      <c r="Z14" s="57"/>
    </row>
    <row r="15" spans="1:26" x14ac:dyDescent="0.2">
      <c r="B15" s="72"/>
      <c r="C15" s="57"/>
      <c r="D15" s="57"/>
      <c r="E15" s="65"/>
      <c r="F15" s="57"/>
      <c r="G15" s="57"/>
      <c r="H15" s="57"/>
      <c r="I15" s="57"/>
      <c r="J15" s="57"/>
      <c r="K15" s="57"/>
      <c r="L15" s="57"/>
      <c r="M15" s="57"/>
      <c r="N15" s="57"/>
      <c r="O15" s="57"/>
      <c r="P15" s="57"/>
      <c r="Q15" s="57"/>
      <c r="R15" s="57"/>
      <c r="S15" s="57"/>
      <c r="T15" s="57"/>
      <c r="U15" s="57"/>
      <c r="V15" s="57"/>
      <c r="W15" s="57"/>
      <c r="X15" s="57"/>
      <c r="Y15" s="57"/>
      <c r="Z15" s="57"/>
    </row>
    <row r="16" spans="1:26" x14ac:dyDescent="0.2">
      <c r="B16" s="72"/>
      <c r="C16" s="57"/>
      <c r="D16" s="57"/>
      <c r="E16" s="65"/>
      <c r="F16" s="57"/>
      <c r="G16" s="57"/>
      <c r="H16" s="57"/>
      <c r="I16" s="57"/>
      <c r="J16" s="57"/>
      <c r="K16" s="57"/>
      <c r="L16" s="57"/>
      <c r="M16" s="57"/>
      <c r="N16" s="57"/>
      <c r="O16" s="57"/>
      <c r="P16" s="57"/>
      <c r="Q16" s="57"/>
      <c r="R16" s="57"/>
      <c r="S16" s="57"/>
      <c r="T16" s="57"/>
      <c r="U16" s="57"/>
      <c r="V16" s="57"/>
      <c r="W16" s="57"/>
      <c r="X16" s="57"/>
      <c r="Y16" s="57"/>
      <c r="Z16" s="57"/>
    </row>
    <row r="17" spans="2:7" x14ac:dyDescent="0.2">
      <c r="B17" s="69" t="s">
        <v>1409</v>
      </c>
    </row>
    <row r="19" spans="2:7" x14ac:dyDescent="0.2">
      <c r="B19" s="70" t="s">
        <v>1410</v>
      </c>
      <c r="G19" s="70" t="s">
        <v>1277</v>
      </c>
    </row>
    <row r="20" spans="2:7" x14ac:dyDescent="0.2">
      <c r="B20" s="70" t="s">
        <v>1224</v>
      </c>
    </row>
    <row r="21" spans="2:7" x14ac:dyDescent="0.2">
      <c r="B21" s="70" t="s">
        <v>1225</v>
      </c>
      <c r="G21" s="70" t="s">
        <v>1299</v>
      </c>
    </row>
    <row r="22" spans="2:7" x14ac:dyDescent="0.2">
      <c r="G22" s="70" t="s">
        <v>1278</v>
      </c>
    </row>
    <row r="23" spans="2:7" x14ac:dyDescent="0.2">
      <c r="B23" s="70" t="s">
        <v>1256</v>
      </c>
      <c r="G23" s="70" t="s">
        <v>1300</v>
      </c>
    </row>
    <row r="24" spans="2:7" x14ac:dyDescent="0.2">
      <c r="B24" s="70" t="s">
        <v>1257</v>
      </c>
      <c r="G24" s="70" t="s">
        <v>1301</v>
      </c>
    </row>
    <row r="25" spans="2:7" x14ac:dyDescent="0.2">
      <c r="B25" s="70" t="s">
        <v>1411</v>
      </c>
      <c r="G25" s="70" t="s">
        <v>1302</v>
      </c>
    </row>
    <row r="26" spans="2:7" x14ac:dyDescent="0.2">
      <c r="B26" s="70" t="s">
        <v>1412</v>
      </c>
      <c r="G26" s="71" t="s">
        <v>1303</v>
      </c>
    </row>
    <row r="27" spans="2:7" x14ac:dyDescent="0.2">
      <c r="B27" s="70" t="s">
        <v>1413</v>
      </c>
      <c r="G27" s="71" t="s">
        <v>1304</v>
      </c>
    </row>
    <row r="28" spans="2:7" x14ac:dyDescent="0.2">
      <c r="B28" s="70" t="s">
        <v>1258</v>
      </c>
      <c r="G28" s="71" t="s">
        <v>1305</v>
      </c>
    </row>
    <row r="29" spans="2:7" x14ac:dyDescent="0.2">
      <c r="B29" s="70" t="s">
        <v>1259</v>
      </c>
      <c r="G29" s="70" t="s">
        <v>450</v>
      </c>
    </row>
    <row r="30" spans="2:7" x14ac:dyDescent="0.2">
      <c r="B30" s="70" t="s">
        <v>1260</v>
      </c>
      <c r="G30" s="70" t="s">
        <v>1306</v>
      </c>
    </row>
    <row r="31" spans="2:7" x14ac:dyDescent="0.2">
      <c r="B31" s="70" t="s">
        <v>1232</v>
      </c>
      <c r="G31" s="70" t="s">
        <v>1307</v>
      </c>
    </row>
    <row r="32" spans="2:7" x14ac:dyDescent="0.2">
      <c r="B32" s="70" t="s">
        <v>1233</v>
      </c>
    </row>
    <row r="33" spans="2:7" x14ac:dyDescent="0.2">
      <c r="B33" s="70" t="s">
        <v>1414</v>
      </c>
      <c r="G33" s="70" t="s">
        <v>1294</v>
      </c>
    </row>
    <row r="34" spans="2:7" x14ac:dyDescent="0.2">
      <c r="B34" s="70" t="s">
        <v>1415</v>
      </c>
      <c r="G34" s="70" t="s">
        <v>1308</v>
      </c>
    </row>
    <row r="35" spans="2:7" x14ac:dyDescent="0.2">
      <c r="B35" s="70" t="s">
        <v>1416</v>
      </c>
      <c r="G35" s="70" t="s">
        <v>1280</v>
      </c>
    </row>
    <row r="36" spans="2:7" x14ac:dyDescent="0.2">
      <c r="B36" s="70" t="s">
        <v>1417</v>
      </c>
      <c r="G36" s="70" t="s">
        <v>1309</v>
      </c>
    </row>
    <row r="38" spans="2:7" x14ac:dyDescent="0.2">
      <c r="B38" s="70" t="s">
        <v>1244</v>
      </c>
      <c r="G38" s="70" t="s">
        <v>1298</v>
      </c>
    </row>
    <row r="39" spans="2:7" x14ac:dyDescent="0.2">
      <c r="B39" s="70" t="s">
        <v>1245</v>
      </c>
      <c r="G39" s="70" t="s">
        <v>1297</v>
      </c>
    </row>
    <row r="40" spans="2:7" x14ac:dyDescent="0.2">
      <c r="B40" s="70" t="s">
        <v>1246</v>
      </c>
      <c r="G40" s="70" t="s">
        <v>1310</v>
      </c>
    </row>
    <row r="41" spans="2:7" x14ac:dyDescent="0.2">
      <c r="B41" s="70" t="s">
        <v>1247</v>
      </c>
      <c r="G41" s="70" t="s">
        <v>1311</v>
      </c>
    </row>
    <row r="42" spans="2:7" x14ac:dyDescent="0.2">
      <c r="B42" s="70" t="s">
        <v>1418</v>
      </c>
      <c r="G42" s="70" t="s">
        <v>1312</v>
      </c>
    </row>
    <row r="43" spans="2:7" x14ac:dyDescent="0.2">
      <c r="B43" s="70" t="s">
        <v>1419</v>
      </c>
      <c r="G43" s="70" t="s">
        <v>450</v>
      </c>
    </row>
    <row r="44" spans="2:7" x14ac:dyDescent="0.2">
      <c r="B44" s="71" t="s">
        <v>1420</v>
      </c>
      <c r="G44" s="70" t="s">
        <v>1313</v>
      </c>
    </row>
    <row r="45" spans="2:7" x14ac:dyDescent="0.2">
      <c r="B45" s="71" t="s">
        <v>1421</v>
      </c>
      <c r="G45" s="70" t="s">
        <v>1314</v>
      </c>
    </row>
    <row r="46" spans="2:7" x14ac:dyDescent="0.2">
      <c r="B46" s="70" t="s">
        <v>1248</v>
      </c>
    </row>
    <row r="47" spans="2:7" x14ac:dyDescent="0.2">
      <c r="B47" s="70" t="s">
        <v>1249</v>
      </c>
      <c r="G47" s="70" t="s">
        <v>1315</v>
      </c>
    </row>
    <row r="48" spans="2:7" x14ac:dyDescent="0.2">
      <c r="B48" s="70" t="s">
        <v>1250</v>
      </c>
      <c r="G48" s="70" t="s">
        <v>1316</v>
      </c>
    </row>
    <row r="49" spans="2:7" x14ac:dyDescent="0.2">
      <c r="B49" s="70" t="s">
        <v>1251</v>
      </c>
      <c r="G49" s="70" t="s">
        <v>1317</v>
      </c>
    </row>
    <row r="50" spans="2:7" x14ac:dyDescent="0.2">
      <c r="B50" s="70" t="s">
        <v>1252</v>
      </c>
      <c r="G50" s="70" t="s">
        <v>1318</v>
      </c>
    </row>
    <row r="51" spans="2:7" x14ac:dyDescent="0.2">
      <c r="B51" s="70" t="s">
        <v>510</v>
      </c>
      <c r="G51" s="70" t="s">
        <v>456</v>
      </c>
    </row>
    <row r="52" spans="2:7" x14ac:dyDescent="0.2">
      <c r="G52" s="70" t="s">
        <v>450</v>
      </c>
    </row>
    <row r="53" spans="2:7" x14ac:dyDescent="0.2">
      <c r="B53" s="70" t="s">
        <v>1263</v>
      </c>
    </row>
    <row r="54" spans="2:7" x14ac:dyDescent="0.2">
      <c r="B54" s="70" t="s">
        <v>1264</v>
      </c>
    </row>
    <row r="55" spans="2:7" x14ac:dyDescent="0.2">
      <c r="B55" s="70" t="s">
        <v>1265</v>
      </c>
      <c r="G55" s="70" t="s">
        <v>1288</v>
      </c>
    </row>
    <row r="56" spans="2:7" x14ac:dyDescent="0.2">
      <c r="B56" s="70" t="s">
        <v>1266</v>
      </c>
      <c r="G56" s="70" t="s">
        <v>1278</v>
      </c>
    </row>
    <row r="57" spans="2:7" x14ac:dyDescent="0.2">
      <c r="B57" s="70" t="s">
        <v>1267</v>
      </c>
      <c r="G57" s="70" t="s">
        <v>1289</v>
      </c>
    </row>
    <row r="58" spans="2:7" x14ac:dyDescent="0.2">
      <c r="B58" s="70" t="s">
        <v>1422</v>
      </c>
      <c r="G58" s="71" t="s">
        <v>1406</v>
      </c>
    </row>
    <row r="59" spans="2:7" x14ac:dyDescent="0.2">
      <c r="B59" s="70" t="s">
        <v>1268</v>
      </c>
      <c r="G59" s="71" t="s">
        <v>1407</v>
      </c>
    </row>
    <row r="60" spans="2:7" x14ac:dyDescent="0.2">
      <c r="G60" s="71" t="s">
        <v>1408</v>
      </c>
    </row>
    <row r="61" spans="2:7" x14ac:dyDescent="0.2">
      <c r="B61" s="70" t="s">
        <v>1226</v>
      </c>
    </row>
    <row r="62" spans="2:7" x14ac:dyDescent="0.2">
      <c r="B62" s="70" t="s">
        <v>1227</v>
      </c>
      <c r="G62" s="70" t="s">
        <v>1290</v>
      </c>
    </row>
    <row r="63" spans="2:7" x14ac:dyDescent="0.2">
      <c r="B63" s="70" t="s">
        <v>1423</v>
      </c>
      <c r="G63" s="70" t="s">
        <v>1291</v>
      </c>
    </row>
    <row r="64" spans="2:7" x14ac:dyDescent="0.2">
      <c r="B64" s="70" t="s">
        <v>1424</v>
      </c>
      <c r="G64" s="70" t="s">
        <v>1292</v>
      </c>
    </row>
    <row r="65" spans="2:7" x14ac:dyDescent="0.2">
      <c r="B65" s="70" t="s">
        <v>1425</v>
      </c>
    </row>
    <row r="66" spans="2:7" x14ac:dyDescent="0.2">
      <c r="B66" s="70" t="s">
        <v>1228</v>
      </c>
      <c r="G66" s="70" t="s">
        <v>1280</v>
      </c>
    </row>
    <row r="67" spans="2:7" x14ac:dyDescent="0.2">
      <c r="B67" s="70" t="s">
        <v>1229</v>
      </c>
      <c r="G67" s="70" t="s">
        <v>1293</v>
      </c>
    </row>
    <row r="68" spans="2:7" x14ac:dyDescent="0.2">
      <c r="B68" s="70" t="s">
        <v>1230</v>
      </c>
    </row>
    <row r="69" spans="2:7" x14ac:dyDescent="0.2">
      <c r="B69" s="70" t="s">
        <v>1231</v>
      </c>
      <c r="G69" s="70" t="s">
        <v>1294</v>
      </c>
    </row>
    <row r="70" spans="2:7" x14ac:dyDescent="0.2">
      <c r="G70" s="70" t="s">
        <v>1295</v>
      </c>
    </row>
    <row r="71" spans="2:7" x14ac:dyDescent="0.2">
      <c r="B71" s="70" t="s">
        <v>1253</v>
      </c>
      <c r="G71" s="70" t="s">
        <v>1296</v>
      </c>
    </row>
    <row r="72" spans="2:7" x14ac:dyDescent="0.2">
      <c r="B72" s="71" t="s">
        <v>1426</v>
      </c>
    </row>
    <row r="73" spans="2:7" x14ac:dyDescent="0.2">
      <c r="B73" s="71" t="s">
        <v>1254</v>
      </c>
    </row>
    <row r="74" spans="2:7" x14ac:dyDescent="0.2">
      <c r="B74" s="70" t="s">
        <v>1255</v>
      </c>
      <c r="G74" s="70" t="s">
        <v>1281</v>
      </c>
    </row>
    <row r="75" spans="2:7" x14ac:dyDescent="0.2">
      <c r="G75" s="70" t="s">
        <v>1278</v>
      </c>
    </row>
    <row r="76" spans="2:7" x14ac:dyDescent="0.2">
      <c r="B76" s="70" t="s">
        <v>1234</v>
      </c>
      <c r="G76" s="70" t="s">
        <v>1279</v>
      </c>
    </row>
    <row r="77" spans="2:7" x14ac:dyDescent="0.2">
      <c r="B77" s="70" t="s">
        <v>1427</v>
      </c>
    </row>
    <row r="78" spans="2:7" x14ac:dyDescent="0.2">
      <c r="B78" s="70" t="s">
        <v>1428</v>
      </c>
      <c r="G78" s="71" t="s">
        <v>1282</v>
      </c>
    </row>
    <row r="79" spans="2:7" x14ac:dyDescent="0.2">
      <c r="G79" s="71" t="s">
        <v>1283</v>
      </c>
    </row>
    <row r="80" spans="2:7" x14ac:dyDescent="0.2">
      <c r="B80" s="70" t="s">
        <v>1235</v>
      </c>
      <c r="G80" s="70" t="s">
        <v>1284</v>
      </c>
    </row>
    <row r="81" spans="2:7" x14ac:dyDescent="0.2">
      <c r="B81" s="70" t="s">
        <v>1236</v>
      </c>
      <c r="G81" s="70" t="s">
        <v>1285</v>
      </c>
    </row>
    <row r="82" spans="2:7" x14ac:dyDescent="0.2">
      <c r="B82" s="70" t="s">
        <v>1237</v>
      </c>
      <c r="G82" s="70" t="s">
        <v>1286</v>
      </c>
    </row>
    <row r="83" spans="2:7" x14ac:dyDescent="0.2">
      <c r="B83" s="70" t="s">
        <v>1238</v>
      </c>
      <c r="G83" s="70" t="s">
        <v>1280</v>
      </c>
    </row>
    <row r="84" spans="2:7" x14ac:dyDescent="0.2">
      <c r="B84" s="70" t="s">
        <v>1239</v>
      </c>
      <c r="G84" s="70" t="s">
        <v>1287</v>
      </c>
    </row>
    <row r="85" spans="2:7" x14ac:dyDescent="0.2">
      <c r="B85" s="70" t="s">
        <v>1240</v>
      </c>
      <c r="G85" s="70" t="s">
        <v>450</v>
      </c>
    </row>
    <row r="86" spans="2:7" x14ac:dyDescent="0.2">
      <c r="B86" s="71" t="s">
        <v>1429</v>
      </c>
    </row>
    <row r="87" spans="2:7" x14ac:dyDescent="0.2">
      <c r="B87" s="70" t="s">
        <v>1241</v>
      </c>
    </row>
    <row r="88" spans="2:7" x14ac:dyDescent="0.2">
      <c r="B88" s="70" t="s">
        <v>1242</v>
      </c>
      <c r="G88" s="70" t="s">
        <v>1433</v>
      </c>
    </row>
    <row r="89" spans="2:7" x14ac:dyDescent="0.2">
      <c r="B89" s="70" t="s">
        <v>1243</v>
      </c>
    </row>
    <row r="90" spans="2:7" x14ac:dyDescent="0.2">
      <c r="G90" s="70" t="s">
        <v>1434</v>
      </c>
    </row>
    <row r="91" spans="2:7" x14ac:dyDescent="0.2">
      <c r="B91" s="70" t="s">
        <v>1261</v>
      </c>
      <c r="G91" s="70" t="s">
        <v>1435</v>
      </c>
    </row>
    <row r="92" spans="2:7" x14ac:dyDescent="0.2">
      <c r="B92" s="70" t="s">
        <v>1262</v>
      </c>
      <c r="G92" s="71" t="s">
        <v>1436</v>
      </c>
    </row>
    <row r="93" spans="2:7" x14ac:dyDescent="0.2">
      <c r="B93" s="70" t="s">
        <v>1430</v>
      </c>
      <c r="G93" s="70" t="s">
        <v>450</v>
      </c>
    </row>
    <row r="94" spans="2:7" x14ac:dyDescent="0.2">
      <c r="B94" s="70" t="s">
        <v>1431</v>
      </c>
    </row>
    <row r="95" spans="2:7" x14ac:dyDescent="0.2">
      <c r="B95" s="70" t="s">
        <v>1432</v>
      </c>
      <c r="G95" s="70" t="s">
        <v>1437</v>
      </c>
    </row>
    <row r="96" spans="2:7" x14ac:dyDescent="0.2">
      <c r="G96" s="70" t="s">
        <v>1278</v>
      </c>
    </row>
    <row r="97" spans="2:7" x14ac:dyDescent="0.2">
      <c r="B97" s="70" t="s">
        <v>1269</v>
      </c>
      <c r="G97" s="71" t="s">
        <v>1439</v>
      </c>
    </row>
    <row r="98" spans="2:7" x14ac:dyDescent="0.2">
      <c r="B98" s="70" t="s">
        <v>1270</v>
      </c>
      <c r="G98" s="71" t="s">
        <v>1438</v>
      </c>
    </row>
    <row r="99" spans="2:7" x14ac:dyDescent="0.2">
      <c r="B99" s="70" t="s">
        <v>1271</v>
      </c>
      <c r="G99" s="70" t="s">
        <v>450</v>
      </c>
    </row>
    <row r="100" spans="2:7" x14ac:dyDescent="0.2">
      <c r="B100" s="70" t="s">
        <v>1272</v>
      </c>
    </row>
    <row r="101" spans="2:7" x14ac:dyDescent="0.2">
      <c r="B101" s="70" t="s">
        <v>1273</v>
      </c>
    </row>
    <row r="102" spans="2:7" x14ac:dyDescent="0.2">
      <c r="B102" s="70" t="s">
        <v>450</v>
      </c>
      <c r="G102" s="70" t="s">
        <v>1359</v>
      </c>
    </row>
    <row r="104" spans="2:7" x14ac:dyDescent="0.2">
      <c r="G104" s="70" t="s">
        <v>1360</v>
      </c>
    </row>
    <row r="105" spans="2:7" x14ac:dyDescent="0.2">
      <c r="G105" s="70" t="s">
        <v>1361</v>
      </c>
    </row>
    <row r="106" spans="2:7" x14ac:dyDescent="0.2">
      <c r="G106" s="70" t="s">
        <v>1362</v>
      </c>
    </row>
    <row r="108" spans="2:7" x14ac:dyDescent="0.2">
      <c r="G108" s="70" t="s">
        <v>1363</v>
      </c>
    </row>
    <row r="109" spans="2:7" x14ac:dyDescent="0.2">
      <c r="G109" s="70" t="s">
        <v>1364</v>
      </c>
    </row>
    <row r="111" spans="2:7" x14ac:dyDescent="0.2">
      <c r="G111" s="71" t="s">
        <v>1365</v>
      </c>
    </row>
    <row r="112" spans="2:7" x14ac:dyDescent="0.2">
      <c r="G112" s="71" t="s">
        <v>1366</v>
      </c>
    </row>
    <row r="114" spans="7:7" x14ac:dyDescent="0.2">
      <c r="G114" s="70" t="s">
        <v>1367</v>
      </c>
    </row>
    <row r="115" spans="7:7" x14ac:dyDescent="0.2">
      <c r="G115" s="70" t="s">
        <v>1368</v>
      </c>
    </row>
    <row r="116" spans="7:7" x14ac:dyDescent="0.2">
      <c r="G116" s="70" t="s">
        <v>1369</v>
      </c>
    </row>
    <row r="118" spans="7:7" x14ac:dyDescent="0.2">
      <c r="G118" s="70" t="s">
        <v>1370</v>
      </c>
    </row>
    <row r="119" spans="7:7" x14ac:dyDescent="0.2">
      <c r="G119" s="70" t="s">
        <v>1371</v>
      </c>
    </row>
    <row r="121" spans="7:7" x14ac:dyDescent="0.2">
      <c r="G121" s="71" t="s">
        <v>1372</v>
      </c>
    </row>
    <row r="122" spans="7:7" x14ac:dyDescent="0.2">
      <c r="G122" s="71" t="s">
        <v>1373</v>
      </c>
    </row>
    <row r="124" spans="7:7" x14ac:dyDescent="0.2">
      <c r="G124" s="70" t="s">
        <v>1374</v>
      </c>
    </row>
    <row r="125" spans="7:7" x14ac:dyDescent="0.2">
      <c r="G125" s="70" t="s">
        <v>1375</v>
      </c>
    </row>
    <row r="126" spans="7:7" x14ac:dyDescent="0.2">
      <c r="G126" s="70" t="s">
        <v>1376</v>
      </c>
    </row>
    <row r="127" spans="7:7" x14ac:dyDescent="0.2">
      <c r="G127" s="70" t="s">
        <v>1377</v>
      </c>
    </row>
    <row r="128" spans="7:7" x14ac:dyDescent="0.2">
      <c r="G128" s="70" t="s">
        <v>450</v>
      </c>
    </row>
    <row r="132" spans="2:8" ht="24" x14ac:dyDescent="0.3">
      <c r="B132" s="52" t="s">
        <v>1461</v>
      </c>
      <c r="G132"/>
    </row>
    <row r="133" spans="2:8" x14ac:dyDescent="0.2">
      <c r="B133"/>
      <c r="G133"/>
    </row>
    <row r="134" spans="2:8" x14ac:dyDescent="0.2">
      <c r="B134" s="45" t="s">
        <v>1386</v>
      </c>
      <c r="C134" s="45" t="s">
        <v>1651</v>
      </c>
      <c r="G134"/>
    </row>
    <row r="135" spans="2:8" x14ac:dyDescent="0.2">
      <c r="B135" t="s">
        <v>1387</v>
      </c>
      <c r="C135" t="s">
        <v>1652</v>
      </c>
      <c r="G135"/>
    </row>
    <row r="136" spans="2:8" x14ac:dyDescent="0.2">
      <c r="B136" t="s">
        <v>1627</v>
      </c>
      <c r="C136" t="s">
        <v>1653</v>
      </c>
      <c r="G136"/>
    </row>
    <row r="137" spans="2:8" x14ac:dyDescent="0.2">
      <c r="B137" t="s">
        <v>1629</v>
      </c>
      <c r="C137" t="s">
        <v>1654</v>
      </c>
      <c r="G137"/>
    </row>
    <row r="138" spans="2:8" x14ac:dyDescent="0.2">
      <c r="B138" t="s">
        <v>1633</v>
      </c>
      <c r="C138" t="s">
        <v>1655</v>
      </c>
      <c r="G138"/>
    </row>
    <row r="139" spans="2:8" x14ac:dyDescent="0.2">
      <c r="B139"/>
      <c r="G139"/>
    </row>
    <row r="140" spans="2:8" ht="19" x14ac:dyDescent="0.25">
      <c r="B140" s="44" t="s">
        <v>1620</v>
      </c>
      <c r="G140"/>
    </row>
    <row r="141" spans="2:8" x14ac:dyDescent="0.2">
      <c r="B141"/>
      <c r="G141"/>
    </row>
    <row r="142" spans="2:8" x14ac:dyDescent="0.2">
      <c r="B142" s="45" t="s">
        <v>1386</v>
      </c>
      <c r="C142" s="45" t="s">
        <v>1621</v>
      </c>
      <c r="D142" s="45" t="s">
        <v>1502</v>
      </c>
      <c r="E142" s="45" t="s">
        <v>1484</v>
      </c>
      <c r="F142" s="45" t="s">
        <v>1622</v>
      </c>
      <c r="G142" s="45" t="s">
        <v>1623</v>
      </c>
      <c r="H142" s="45" t="s">
        <v>402</v>
      </c>
    </row>
    <row r="143" spans="2:8" x14ac:dyDescent="0.2">
      <c r="B143" t="s">
        <v>1387</v>
      </c>
      <c r="C143">
        <v>1</v>
      </c>
      <c r="D143">
        <v>1.5</v>
      </c>
      <c r="E143">
        <v>20</v>
      </c>
      <c r="F143" t="s">
        <v>1624</v>
      </c>
      <c r="G143" t="s">
        <v>1625</v>
      </c>
      <c r="H143" t="s">
        <v>1626</v>
      </c>
    </row>
    <row r="144" spans="2:8" x14ac:dyDescent="0.2">
      <c r="B144" t="s">
        <v>1627</v>
      </c>
      <c r="C144">
        <v>1.2</v>
      </c>
      <c r="D144">
        <v>1.8</v>
      </c>
      <c r="E144">
        <v>30</v>
      </c>
      <c r="F144" t="s">
        <v>1624</v>
      </c>
      <c r="G144" t="s">
        <v>1217</v>
      </c>
      <c r="H144" t="s">
        <v>1628</v>
      </c>
    </row>
    <row r="145" spans="2:8" x14ac:dyDescent="0.2">
      <c r="B145" t="s">
        <v>1629</v>
      </c>
      <c r="C145">
        <v>1.5</v>
      </c>
      <c r="D145">
        <v>2</v>
      </c>
      <c r="E145">
        <v>35</v>
      </c>
      <c r="F145" t="s">
        <v>1630</v>
      </c>
      <c r="G145" t="s">
        <v>1631</v>
      </c>
      <c r="H145" t="s">
        <v>1632</v>
      </c>
    </row>
    <row r="146" spans="2:8" x14ac:dyDescent="0.2">
      <c r="B146" t="s">
        <v>1633</v>
      </c>
      <c r="C146">
        <v>1.7</v>
      </c>
      <c r="D146">
        <v>2.2000000000000002</v>
      </c>
      <c r="E146">
        <v>40</v>
      </c>
      <c r="F146" t="s">
        <v>1630</v>
      </c>
      <c r="G146" t="s">
        <v>1212</v>
      </c>
      <c r="H146" t="s">
        <v>1634</v>
      </c>
    </row>
    <row r="147" spans="2:8" x14ac:dyDescent="0.2">
      <c r="B147" s="45" t="s">
        <v>1635</v>
      </c>
      <c r="C147" s="45">
        <v>1.4</v>
      </c>
      <c r="D147" s="45">
        <v>1.8</v>
      </c>
      <c r="E147" s="45">
        <v>30</v>
      </c>
      <c r="F147" t="s">
        <v>1636</v>
      </c>
      <c r="G147" t="s">
        <v>1637</v>
      </c>
      <c r="H147" t="s">
        <v>1638</v>
      </c>
    </row>
    <row r="148" spans="2:8" x14ac:dyDescent="0.2">
      <c r="B148"/>
      <c r="G148"/>
    </row>
    <row r="149" spans="2:8" x14ac:dyDescent="0.2">
      <c r="B149" s="45" t="s">
        <v>1639</v>
      </c>
      <c r="G149"/>
    </row>
    <row r="150" spans="2:8" x14ac:dyDescent="0.2">
      <c r="B150"/>
      <c r="G150"/>
    </row>
    <row r="151" spans="2:8" x14ac:dyDescent="0.2">
      <c r="B151" s="45" t="s">
        <v>1640</v>
      </c>
      <c r="G151"/>
    </row>
    <row r="152" spans="2:8" x14ac:dyDescent="0.2">
      <c r="B152" s="45" t="s">
        <v>1641</v>
      </c>
      <c r="G152"/>
    </row>
    <row r="153" spans="2:8" x14ac:dyDescent="0.2">
      <c r="B153" s="45" t="s">
        <v>1642</v>
      </c>
      <c r="G153"/>
    </row>
    <row r="154" spans="2:8" x14ac:dyDescent="0.2">
      <c r="B154" s="45" t="s">
        <v>1643</v>
      </c>
      <c r="G154"/>
    </row>
    <row r="155" spans="2:8" x14ac:dyDescent="0.2">
      <c r="B155" s="45" t="s">
        <v>1644</v>
      </c>
      <c r="G155"/>
    </row>
    <row r="156" spans="2:8" x14ac:dyDescent="0.2">
      <c r="B156"/>
      <c r="G156"/>
    </row>
    <row r="157" spans="2:8" x14ac:dyDescent="0.2">
      <c r="B157" s="45" t="s">
        <v>1645</v>
      </c>
      <c r="G157"/>
    </row>
    <row r="158" spans="2:8" x14ac:dyDescent="0.2">
      <c r="B158"/>
      <c r="G158"/>
    </row>
    <row r="159" spans="2:8" x14ac:dyDescent="0.2">
      <c r="B159" t="s">
        <v>1646</v>
      </c>
      <c r="G159"/>
    </row>
    <row r="160" spans="2:8" x14ac:dyDescent="0.2">
      <c r="B160" t="s">
        <v>1647</v>
      </c>
      <c r="G160"/>
    </row>
    <row r="161" spans="2:8" x14ac:dyDescent="0.2">
      <c r="B161" s="67" t="s">
        <v>1648</v>
      </c>
      <c r="G161"/>
    </row>
    <row r="162" spans="2:8" x14ac:dyDescent="0.2">
      <c r="B162"/>
      <c r="G162"/>
    </row>
    <row r="163" spans="2:8" x14ac:dyDescent="0.2">
      <c r="B163" s="45" t="s">
        <v>1649</v>
      </c>
      <c r="G163"/>
    </row>
    <row r="164" spans="2:8" x14ac:dyDescent="0.2">
      <c r="B164" s="45" t="s">
        <v>1650</v>
      </c>
      <c r="G164"/>
    </row>
    <row r="165" spans="2:8" x14ac:dyDescent="0.2">
      <c r="B165"/>
      <c r="G165"/>
    </row>
    <row r="166" spans="2:8" x14ac:dyDescent="0.2">
      <c r="B166" t="s">
        <v>1687</v>
      </c>
      <c r="G166"/>
    </row>
    <row r="167" spans="2:8" x14ac:dyDescent="0.2">
      <c r="B167"/>
      <c r="G167"/>
    </row>
    <row r="168" spans="2:8" x14ac:dyDescent="0.2">
      <c r="B168" s="45" t="s">
        <v>1656</v>
      </c>
      <c r="G168"/>
    </row>
    <row r="169" spans="2:8" x14ac:dyDescent="0.2">
      <c r="B169" t="s">
        <v>1657</v>
      </c>
      <c r="G169"/>
    </row>
    <row r="170" spans="2:8" x14ac:dyDescent="0.2">
      <c r="B170"/>
      <c r="G170"/>
    </row>
    <row r="171" spans="2:8" ht="19" x14ac:dyDescent="0.25">
      <c r="B171" s="44" t="s">
        <v>1658</v>
      </c>
      <c r="G171"/>
    </row>
    <row r="172" spans="2:8" x14ac:dyDescent="0.2">
      <c r="B172"/>
      <c r="G172"/>
    </row>
    <row r="173" spans="2:8" x14ac:dyDescent="0.2">
      <c r="B173" s="45" t="s">
        <v>1386</v>
      </c>
      <c r="C173" s="117" t="s">
        <v>1621</v>
      </c>
      <c r="D173" s="117" t="s">
        <v>1502</v>
      </c>
      <c r="E173" s="117" t="s">
        <v>1484</v>
      </c>
      <c r="F173" s="45" t="s">
        <v>1622</v>
      </c>
      <c r="G173" s="45" t="s">
        <v>1623</v>
      </c>
      <c r="H173" s="45" t="s">
        <v>402</v>
      </c>
    </row>
    <row r="174" spans="2:8" x14ac:dyDescent="0.2">
      <c r="B174" s="45" t="s">
        <v>1387</v>
      </c>
      <c r="C174" s="117">
        <v>0.5</v>
      </c>
      <c r="D174" s="117">
        <v>1.5</v>
      </c>
      <c r="E174" s="117">
        <v>34</v>
      </c>
      <c r="F174" t="s">
        <v>1624</v>
      </c>
      <c r="G174" t="s">
        <v>1625</v>
      </c>
      <c r="H174" t="s">
        <v>1659</v>
      </c>
    </row>
    <row r="175" spans="2:8" x14ac:dyDescent="0.2">
      <c r="B175" t="s">
        <v>1627</v>
      </c>
      <c r="C175" s="118">
        <v>0.7</v>
      </c>
      <c r="D175" s="118">
        <v>1.7</v>
      </c>
      <c r="E175" s="118">
        <v>40</v>
      </c>
      <c r="F175" t="s">
        <v>1624</v>
      </c>
      <c r="G175" t="s">
        <v>1660</v>
      </c>
      <c r="H175" t="s">
        <v>1661</v>
      </c>
    </row>
    <row r="176" spans="2:8" x14ac:dyDescent="0.2">
      <c r="B176" t="s">
        <v>1629</v>
      </c>
      <c r="C176" s="118">
        <v>0.8</v>
      </c>
      <c r="D176" s="118">
        <v>1.8</v>
      </c>
      <c r="E176" s="118">
        <v>45</v>
      </c>
      <c r="F176" t="s">
        <v>1630</v>
      </c>
      <c r="G176" t="s">
        <v>1662</v>
      </c>
      <c r="H176" t="s">
        <v>1663</v>
      </c>
    </row>
    <row r="177" spans="2:8" x14ac:dyDescent="0.2">
      <c r="B177" t="s">
        <v>1633</v>
      </c>
      <c r="C177" s="118">
        <v>1</v>
      </c>
      <c r="D177" s="118">
        <v>2</v>
      </c>
      <c r="E177" s="118">
        <v>48</v>
      </c>
      <c r="F177" t="s">
        <v>1630</v>
      </c>
      <c r="G177" t="s">
        <v>1664</v>
      </c>
      <c r="H177" t="s">
        <v>1665</v>
      </c>
    </row>
    <row r="178" spans="2:8" x14ac:dyDescent="0.2">
      <c r="B178" s="45" t="s">
        <v>1635</v>
      </c>
      <c r="C178" s="117">
        <v>0.8</v>
      </c>
      <c r="D178" s="117">
        <v>1.8</v>
      </c>
      <c r="E178" s="117">
        <v>42</v>
      </c>
      <c r="F178" t="s">
        <v>1636</v>
      </c>
      <c r="G178" t="s">
        <v>1662</v>
      </c>
      <c r="H178" t="s">
        <v>1666</v>
      </c>
    </row>
    <row r="179" spans="2:8" x14ac:dyDescent="0.2">
      <c r="B179"/>
      <c r="G179"/>
    </row>
    <row r="180" spans="2:8" x14ac:dyDescent="0.2">
      <c r="B180" s="45" t="s">
        <v>1667</v>
      </c>
      <c r="G180"/>
    </row>
    <row r="181" spans="2:8" x14ac:dyDescent="0.2">
      <c r="B181"/>
      <c r="G181"/>
    </row>
    <row r="182" spans="2:8" x14ac:dyDescent="0.2">
      <c r="B182" t="s">
        <v>1668</v>
      </c>
      <c r="G182"/>
    </row>
    <row r="183" spans="2:8" x14ac:dyDescent="0.2">
      <c r="B183" s="45" t="s">
        <v>1669</v>
      </c>
      <c r="G183"/>
    </row>
    <row r="184" spans="2:8" x14ac:dyDescent="0.2">
      <c r="B184" s="45" t="s">
        <v>1670</v>
      </c>
      <c r="G184"/>
    </row>
    <row r="185" spans="2:8" x14ac:dyDescent="0.2">
      <c r="B185"/>
      <c r="G185"/>
    </row>
    <row r="186" spans="2:8" x14ac:dyDescent="0.2">
      <c r="B186"/>
      <c r="G186"/>
    </row>
    <row r="187" spans="2:8" x14ac:dyDescent="0.2">
      <c r="B187" s="45" t="s">
        <v>1671</v>
      </c>
      <c r="G187"/>
    </row>
    <row r="188" spans="2:8" x14ac:dyDescent="0.2">
      <c r="B188"/>
      <c r="G188"/>
    </row>
    <row r="189" spans="2:8" ht="17" x14ac:dyDescent="0.25">
      <c r="B189" s="67" t="s">
        <v>1672</v>
      </c>
      <c r="G189"/>
    </row>
    <row r="190" spans="2:8" ht="17" x14ac:dyDescent="0.25">
      <c r="B190" s="46" t="s">
        <v>1673</v>
      </c>
      <c r="G190"/>
    </row>
    <row r="191" spans="2:8" ht="17" x14ac:dyDescent="0.25">
      <c r="B191" s="46" t="s">
        <v>1674</v>
      </c>
      <c r="G191"/>
    </row>
    <row r="192" spans="2:8" ht="17" x14ac:dyDescent="0.25">
      <c r="B192" s="46" t="s">
        <v>1675</v>
      </c>
      <c r="G192"/>
    </row>
    <row r="193" spans="2:7" ht="17" x14ac:dyDescent="0.25">
      <c r="B193" s="46" t="s">
        <v>1676</v>
      </c>
      <c r="G193"/>
    </row>
    <row r="194" spans="2:7" ht="17" x14ac:dyDescent="0.25">
      <c r="B194" s="46" t="s">
        <v>1677</v>
      </c>
      <c r="G194"/>
    </row>
    <row r="195" spans="2:7" ht="17" x14ac:dyDescent="0.25">
      <c r="B195" s="46" t="s">
        <v>1678</v>
      </c>
      <c r="G195"/>
    </row>
    <row r="196" spans="2:7" ht="17" x14ac:dyDescent="0.25">
      <c r="B196" s="46" t="s">
        <v>1679</v>
      </c>
      <c r="G196"/>
    </row>
    <row r="197" spans="2:7" ht="17" x14ac:dyDescent="0.25">
      <c r="B197" s="46" t="s">
        <v>456</v>
      </c>
      <c r="G197"/>
    </row>
    <row r="198" spans="2:7" x14ac:dyDescent="0.2">
      <c r="B198"/>
      <c r="G198"/>
    </row>
    <row r="199" spans="2:7" ht="19" x14ac:dyDescent="0.25">
      <c r="B199" s="44" t="s">
        <v>1680</v>
      </c>
      <c r="G199"/>
    </row>
    <row r="200" spans="2:7" x14ac:dyDescent="0.2">
      <c r="B200"/>
      <c r="G200"/>
    </row>
    <row r="201" spans="2:7" x14ac:dyDescent="0.2">
      <c r="B201" t="s">
        <v>1681</v>
      </c>
      <c r="G201"/>
    </row>
    <row r="202" spans="2:7" ht="17" x14ac:dyDescent="0.25">
      <c r="B202" t="s">
        <v>1682</v>
      </c>
      <c r="G202"/>
    </row>
    <row r="203" spans="2:7" x14ac:dyDescent="0.2">
      <c r="B203" t="s">
        <v>1683</v>
      </c>
      <c r="G203"/>
    </row>
    <row r="204" spans="2:7" x14ac:dyDescent="0.2">
      <c r="B204"/>
      <c r="G204"/>
    </row>
    <row r="205" spans="2:7" x14ac:dyDescent="0.2">
      <c r="B205"/>
      <c r="G205"/>
    </row>
    <row r="206" spans="2:7" x14ac:dyDescent="0.2">
      <c r="B206" s="45" t="s">
        <v>1684</v>
      </c>
      <c r="G206"/>
    </row>
    <row r="207" spans="2:7" x14ac:dyDescent="0.2">
      <c r="B207" t="s">
        <v>1685</v>
      </c>
      <c r="G207"/>
    </row>
    <row r="208" spans="2:7" x14ac:dyDescent="0.2">
      <c r="B208" t="s">
        <v>1686</v>
      </c>
      <c r="G208"/>
    </row>
    <row r="209" spans="1:7" x14ac:dyDescent="0.2">
      <c r="B209"/>
      <c r="G209"/>
    </row>
    <row r="210" spans="1:7" x14ac:dyDescent="0.2">
      <c r="B210"/>
      <c r="G210"/>
    </row>
    <row r="211" spans="1:7" x14ac:dyDescent="0.2">
      <c r="G211"/>
    </row>
    <row r="212" spans="1:7" x14ac:dyDescent="0.2">
      <c r="B212"/>
      <c r="G212"/>
    </row>
    <row r="213" spans="1:7" x14ac:dyDescent="0.2">
      <c r="B213"/>
      <c r="G213"/>
    </row>
    <row r="214" spans="1:7" ht="22" x14ac:dyDescent="0.3">
      <c r="A214" s="120">
        <v>250706</v>
      </c>
      <c r="B214" s="119" t="s">
        <v>1688</v>
      </c>
      <c r="G214"/>
    </row>
    <row r="215" spans="1:7" x14ac:dyDescent="0.2">
      <c r="B215"/>
      <c r="G215"/>
    </row>
    <row r="216" spans="1:7" x14ac:dyDescent="0.2">
      <c r="B216"/>
      <c r="G216"/>
    </row>
    <row r="217" spans="1:7" x14ac:dyDescent="0.2">
      <c r="B217"/>
      <c r="G217"/>
    </row>
    <row r="218" spans="1:7" x14ac:dyDescent="0.2">
      <c r="B218" s="60" t="s">
        <v>1689</v>
      </c>
      <c r="G218"/>
    </row>
    <row r="219" spans="1:7" x14ac:dyDescent="0.2">
      <c r="B219"/>
      <c r="G219"/>
    </row>
    <row r="220" spans="1:7" x14ac:dyDescent="0.2">
      <c r="B220" s="60" t="s">
        <v>1690</v>
      </c>
      <c r="G220"/>
    </row>
    <row r="221" spans="1:7" x14ac:dyDescent="0.2">
      <c r="B221" s="60" t="s">
        <v>1319</v>
      </c>
      <c r="G221"/>
    </row>
    <row r="222" spans="1:7" x14ac:dyDescent="0.2">
      <c r="B222" s="60" t="s">
        <v>1691</v>
      </c>
      <c r="G222"/>
    </row>
    <row r="223" spans="1:7" x14ac:dyDescent="0.2">
      <c r="B223" s="60" t="s">
        <v>1692</v>
      </c>
      <c r="G223"/>
    </row>
    <row r="224" spans="1:7" x14ac:dyDescent="0.2">
      <c r="B224" s="60" t="s">
        <v>1693</v>
      </c>
      <c r="G224"/>
    </row>
    <row r="225" spans="2:7" x14ac:dyDescent="0.2">
      <c r="B225" s="60" t="s">
        <v>1694</v>
      </c>
      <c r="G225"/>
    </row>
    <row r="226" spans="2:7" x14ac:dyDescent="0.2">
      <c r="B226" s="60" t="s">
        <v>1695</v>
      </c>
      <c r="G226"/>
    </row>
    <row r="227" spans="2:7" x14ac:dyDescent="0.2">
      <c r="B227" s="60" t="s">
        <v>1320</v>
      </c>
      <c r="G227"/>
    </row>
    <row r="228" spans="2:7" x14ac:dyDescent="0.2">
      <c r="B228" s="60" t="s">
        <v>1696</v>
      </c>
      <c r="G228"/>
    </row>
    <row r="229" spans="2:7" x14ac:dyDescent="0.2">
      <c r="B229" s="60" t="s">
        <v>1320</v>
      </c>
      <c r="G229"/>
    </row>
    <row r="230" spans="2:7" x14ac:dyDescent="0.2">
      <c r="B230" s="60" t="s">
        <v>1697</v>
      </c>
      <c r="G230"/>
    </row>
    <row r="231" spans="2:7" x14ac:dyDescent="0.2">
      <c r="B231" s="60" t="s">
        <v>1698</v>
      </c>
      <c r="G231"/>
    </row>
    <row r="232" spans="2:7" x14ac:dyDescent="0.2">
      <c r="B232" s="60" t="s">
        <v>1321</v>
      </c>
      <c r="G232"/>
    </row>
    <row r="233" spans="2:7" x14ac:dyDescent="0.2">
      <c r="B233" s="60" t="s">
        <v>1322</v>
      </c>
      <c r="G233"/>
    </row>
    <row r="234" spans="2:7" x14ac:dyDescent="0.2">
      <c r="B234" s="60" t="s">
        <v>1699</v>
      </c>
      <c r="G234"/>
    </row>
    <row r="235" spans="2:7" x14ac:dyDescent="0.2">
      <c r="B235" s="60" t="s">
        <v>1700</v>
      </c>
      <c r="G235"/>
    </row>
    <row r="236" spans="2:7" x14ac:dyDescent="0.2">
      <c r="B236" s="60" t="s">
        <v>1701</v>
      </c>
      <c r="G236"/>
    </row>
    <row r="237" spans="2:7" x14ac:dyDescent="0.2">
      <c r="B237" s="60" t="s">
        <v>1702</v>
      </c>
      <c r="G237"/>
    </row>
    <row r="238" spans="2:7" x14ac:dyDescent="0.2">
      <c r="B238" s="60" t="s">
        <v>1703</v>
      </c>
      <c r="G238"/>
    </row>
    <row r="239" spans="2:7" x14ac:dyDescent="0.2">
      <c r="B239" s="60" t="s">
        <v>1704</v>
      </c>
      <c r="G239"/>
    </row>
    <row r="240" spans="2:7" x14ac:dyDescent="0.2">
      <c r="B240" s="60" t="s">
        <v>1705</v>
      </c>
      <c r="G240"/>
    </row>
    <row r="241" spans="2:7" x14ac:dyDescent="0.2">
      <c r="B241" s="60" t="s">
        <v>1706</v>
      </c>
      <c r="G241"/>
    </row>
    <row r="242" spans="2:7" x14ac:dyDescent="0.2">
      <c r="B242" s="60" t="s">
        <v>1707</v>
      </c>
      <c r="G242"/>
    </row>
    <row r="243" spans="2:7" x14ac:dyDescent="0.2">
      <c r="B243" s="60" t="s">
        <v>1708</v>
      </c>
      <c r="G243"/>
    </row>
    <row r="244" spans="2:7" x14ac:dyDescent="0.2">
      <c r="B244" s="60" t="s">
        <v>1709</v>
      </c>
      <c r="G244"/>
    </row>
    <row r="245" spans="2:7" x14ac:dyDescent="0.2">
      <c r="B245" s="60" t="s">
        <v>1710</v>
      </c>
      <c r="G245"/>
    </row>
    <row r="246" spans="2:7" x14ac:dyDescent="0.2">
      <c r="B246" s="60" t="s">
        <v>1711</v>
      </c>
      <c r="G246"/>
    </row>
    <row r="247" spans="2:7" x14ac:dyDescent="0.2">
      <c r="B247" s="60" t="s">
        <v>1712</v>
      </c>
      <c r="G247"/>
    </row>
    <row r="248" spans="2:7" x14ac:dyDescent="0.2">
      <c r="B248" s="60" t="s">
        <v>1402</v>
      </c>
      <c r="G248"/>
    </row>
    <row r="249" spans="2:7" x14ac:dyDescent="0.2">
      <c r="B249" s="60" t="s">
        <v>1713</v>
      </c>
      <c r="G249"/>
    </row>
    <row r="250" spans="2:7" x14ac:dyDescent="0.2">
      <c r="B250" s="60" t="s">
        <v>1714</v>
      </c>
      <c r="G250"/>
    </row>
    <row r="251" spans="2:7" x14ac:dyDescent="0.2">
      <c r="B251" s="60" t="s">
        <v>1715</v>
      </c>
      <c r="G251"/>
    </row>
    <row r="252" spans="2:7" x14ac:dyDescent="0.2">
      <c r="B252" s="60" t="s">
        <v>1716</v>
      </c>
      <c r="G252"/>
    </row>
    <row r="253" spans="2:7" x14ac:dyDescent="0.2">
      <c r="B253" s="60" t="s">
        <v>1717</v>
      </c>
      <c r="G253"/>
    </row>
    <row r="254" spans="2:7" x14ac:dyDescent="0.2">
      <c r="B254" s="60" t="s">
        <v>1718</v>
      </c>
      <c r="G254"/>
    </row>
    <row r="255" spans="2:7" x14ac:dyDescent="0.2">
      <c r="B255" s="60" t="s">
        <v>1323</v>
      </c>
      <c r="G255"/>
    </row>
    <row r="256" spans="2:7" x14ac:dyDescent="0.2">
      <c r="B256" s="60" t="s">
        <v>1324</v>
      </c>
      <c r="G256"/>
    </row>
    <row r="257" spans="2:7" x14ac:dyDescent="0.2">
      <c r="B257" s="60" t="s">
        <v>1719</v>
      </c>
      <c r="G257"/>
    </row>
    <row r="258" spans="2:7" x14ac:dyDescent="0.2">
      <c r="B258" s="60" t="s">
        <v>1720</v>
      </c>
      <c r="G258"/>
    </row>
    <row r="259" spans="2:7" x14ac:dyDescent="0.2">
      <c r="B259" s="60" t="s">
        <v>1721</v>
      </c>
      <c r="G259"/>
    </row>
    <row r="260" spans="2:7" x14ac:dyDescent="0.2">
      <c r="B260" s="60" t="s">
        <v>1722</v>
      </c>
      <c r="G260"/>
    </row>
    <row r="261" spans="2:7" x14ac:dyDescent="0.2">
      <c r="B261" s="60" t="s">
        <v>1723</v>
      </c>
      <c r="G261"/>
    </row>
    <row r="262" spans="2:7" x14ac:dyDescent="0.2">
      <c r="B262" s="60" t="s">
        <v>1325</v>
      </c>
      <c r="G262"/>
    </row>
    <row r="263" spans="2:7" x14ac:dyDescent="0.2">
      <c r="B263" s="60" t="s">
        <v>1326</v>
      </c>
      <c r="G263"/>
    </row>
    <row r="264" spans="2:7" x14ac:dyDescent="0.2">
      <c r="B264" s="60" t="s">
        <v>1327</v>
      </c>
      <c r="G264"/>
    </row>
    <row r="265" spans="2:7" x14ac:dyDescent="0.2">
      <c r="B265" s="60" t="s">
        <v>1328</v>
      </c>
      <c r="G265"/>
    </row>
    <row r="266" spans="2:7" x14ac:dyDescent="0.2">
      <c r="B266"/>
      <c r="G266"/>
    </row>
    <row r="267" spans="2:7" x14ac:dyDescent="0.2">
      <c r="B267" s="60" t="s">
        <v>1401</v>
      </c>
      <c r="G267"/>
    </row>
    <row r="268" spans="2:7" x14ac:dyDescent="0.2">
      <c r="B268"/>
      <c r="G268"/>
    </row>
    <row r="269" spans="2:7" x14ac:dyDescent="0.2">
      <c r="B269"/>
      <c r="G269"/>
    </row>
    <row r="270" spans="2:7" x14ac:dyDescent="0.2">
      <c r="B270" s="60" t="s">
        <v>1724</v>
      </c>
      <c r="G270"/>
    </row>
    <row r="271" spans="2:7" x14ac:dyDescent="0.2">
      <c r="B271"/>
      <c r="G271"/>
    </row>
    <row r="272" spans="2:7" x14ac:dyDescent="0.2">
      <c r="B272" s="60" t="s">
        <v>1725</v>
      </c>
      <c r="G272"/>
    </row>
    <row r="273" spans="2:7" x14ac:dyDescent="0.2">
      <c r="B273" s="60" t="s">
        <v>1319</v>
      </c>
      <c r="G273"/>
    </row>
    <row r="274" spans="2:7" x14ac:dyDescent="0.2">
      <c r="B274" s="60" t="s">
        <v>1726</v>
      </c>
      <c r="G274"/>
    </row>
    <row r="275" spans="2:7" x14ac:dyDescent="0.2">
      <c r="B275" s="60" t="s">
        <v>1727</v>
      </c>
      <c r="G275"/>
    </row>
    <row r="276" spans="2:7" x14ac:dyDescent="0.2">
      <c r="B276" s="60" t="s">
        <v>1728</v>
      </c>
      <c r="G276"/>
    </row>
    <row r="277" spans="2:7" x14ac:dyDescent="0.2">
      <c r="B277" s="60" t="s">
        <v>1729</v>
      </c>
      <c r="G277"/>
    </row>
    <row r="278" spans="2:7" x14ac:dyDescent="0.2">
      <c r="B278" s="60" t="s">
        <v>1730</v>
      </c>
      <c r="G278"/>
    </row>
    <row r="279" spans="2:7" x14ac:dyDescent="0.2">
      <c r="B279" s="60" t="s">
        <v>1320</v>
      </c>
      <c r="G279"/>
    </row>
    <row r="280" spans="2:7" x14ac:dyDescent="0.2">
      <c r="B280" s="60" t="s">
        <v>1696</v>
      </c>
      <c r="G280"/>
    </row>
    <row r="281" spans="2:7" x14ac:dyDescent="0.2">
      <c r="B281" s="60" t="s">
        <v>1320</v>
      </c>
      <c r="G281"/>
    </row>
    <row r="282" spans="2:7" x14ac:dyDescent="0.2">
      <c r="B282" s="60" t="s">
        <v>1731</v>
      </c>
      <c r="G282"/>
    </row>
    <row r="283" spans="2:7" x14ac:dyDescent="0.2">
      <c r="B283" s="60" t="s">
        <v>1732</v>
      </c>
      <c r="G283"/>
    </row>
    <row r="284" spans="2:7" x14ac:dyDescent="0.2">
      <c r="B284" s="60" t="s">
        <v>1321</v>
      </c>
      <c r="G284"/>
    </row>
    <row r="285" spans="2:7" x14ac:dyDescent="0.2">
      <c r="B285" s="60" t="s">
        <v>1322</v>
      </c>
    </row>
    <row r="286" spans="2:7" x14ac:dyDescent="0.2">
      <c r="B286" s="60" t="s">
        <v>1733</v>
      </c>
    </row>
    <row r="287" spans="2:7" x14ac:dyDescent="0.2">
      <c r="B287" s="60" t="s">
        <v>1734</v>
      </c>
    </row>
    <row r="288" spans="2:7" x14ac:dyDescent="0.2">
      <c r="B288" s="60" t="s">
        <v>1735</v>
      </c>
    </row>
    <row r="289" spans="2:2" x14ac:dyDescent="0.2">
      <c r="B289" s="60" t="s">
        <v>1736</v>
      </c>
    </row>
    <row r="290" spans="2:2" x14ac:dyDescent="0.2">
      <c r="B290" s="60" t="s">
        <v>1737</v>
      </c>
    </row>
    <row r="291" spans="2:2" x14ac:dyDescent="0.2">
      <c r="B291" s="60" t="s">
        <v>1738</v>
      </c>
    </row>
    <row r="292" spans="2:2" x14ac:dyDescent="0.2">
      <c r="B292" s="60" t="s">
        <v>1739</v>
      </c>
    </row>
    <row r="293" spans="2:2" x14ac:dyDescent="0.2">
      <c r="B293" s="60" t="s">
        <v>1740</v>
      </c>
    </row>
    <row r="294" spans="2:2" x14ac:dyDescent="0.2">
      <c r="B294" s="60" t="s">
        <v>1741</v>
      </c>
    </row>
    <row r="295" spans="2:2" x14ac:dyDescent="0.2">
      <c r="B295" s="60" t="s">
        <v>1742</v>
      </c>
    </row>
    <row r="296" spans="2:2" x14ac:dyDescent="0.2">
      <c r="B296" s="60" t="s">
        <v>1743</v>
      </c>
    </row>
    <row r="297" spans="2:2" x14ac:dyDescent="0.2">
      <c r="B297" s="60" t="s">
        <v>1744</v>
      </c>
    </row>
    <row r="298" spans="2:2" x14ac:dyDescent="0.2">
      <c r="B298" s="60" t="s">
        <v>1745</v>
      </c>
    </row>
    <row r="299" spans="2:2" x14ac:dyDescent="0.2">
      <c r="B299" s="60" t="s">
        <v>1746</v>
      </c>
    </row>
    <row r="300" spans="2:2" x14ac:dyDescent="0.2">
      <c r="B300" s="60" t="s">
        <v>1400</v>
      </c>
    </row>
    <row r="301" spans="2:2" x14ac:dyDescent="0.2">
      <c r="B301" s="60" t="s">
        <v>1713</v>
      </c>
    </row>
    <row r="302" spans="2:2" x14ac:dyDescent="0.2">
      <c r="B302" s="60" t="s">
        <v>1747</v>
      </c>
    </row>
    <row r="303" spans="2:2" x14ac:dyDescent="0.2">
      <c r="B303" s="60" t="s">
        <v>1748</v>
      </c>
    </row>
    <row r="304" spans="2:2" x14ac:dyDescent="0.2">
      <c r="B304" s="60" t="s">
        <v>1749</v>
      </c>
    </row>
    <row r="305" spans="2:2" x14ac:dyDescent="0.2">
      <c r="B305" s="60" t="s">
        <v>1750</v>
      </c>
    </row>
    <row r="306" spans="2:2" x14ac:dyDescent="0.2">
      <c r="B306" s="60" t="s">
        <v>1751</v>
      </c>
    </row>
    <row r="307" spans="2:2" x14ac:dyDescent="0.2">
      <c r="B307" s="60" t="s">
        <v>1323</v>
      </c>
    </row>
    <row r="308" spans="2:2" x14ac:dyDescent="0.2">
      <c r="B308" s="60" t="s">
        <v>1324</v>
      </c>
    </row>
    <row r="309" spans="2:2" x14ac:dyDescent="0.2">
      <c r="B309" s="60" t="s">
        <v>1752</v>
      </c>
    </row>
    <row r="310" spans="2:2" x14ac:dyDescent="0.2">
      <c r="B310" s="60" t="s">
        <v>1753</v>
      </c>
    </row>
    <row r="311" spans="2:2" x14ac:dyDescent="0.2">
      <c r="B311" s="60" t="s">
        <v>1754</v>
      </c>
    </row>
    <row r="312" spans="2:2" x14ac:dyDescent="0.2">
      <c r="B312" s="60" t="s">
        <v>1755</v>
      </c>
    </row>
    <row r="313" spans="2:2" x14ac:dyDescent="0.2">
      <c r="B313" s="60" t="s">
        <v>1756</v>
      </c>
    </row>
    <row r="314" spans="2:2" x14ac:dyDescent="0.2">
      <c r="B314" s="60" t="s">
        <v>1325</v>
      </c>
    </row>
    <row r="315" spans="2:2" x14ac:dyDescent="0.2">
      <c r="B315" s="60" t="s">
        <v>1326</v>
      </c>
    </row>
    <row r="316" spans="2:2" x14ac:dyDescent="0.2">
      <c r="B316" s="60" t="s">
        <v>1327</v>
      </c>
    </row>
    <row r="317" spans="2:2" x14ac:dyDescent="0.2">
      <c r="B317" s="60" t="s">
        <v>1328</v>
      </c>
    </row>
    <row r="318" spans="2:2" x14ac:dyDescent="0.2">
      <c r="B318"/>
    </row>
    <row r="319" spans="2:2" x14ac:dyDescent="0.2">
      <c r="B319" s="60" t="s">
        <v>1401</v>
      </c>
    </row>
    <row r="323" spans="2:2" x14ac:dyDescent="0.2">
      <c r="B323" s="60" t="s">
        <v>1757</v>
      </c>
    </row>
    <row r="324" spans="2:2" x14ac:dyDescent="0.2">
      <c r="B324"/>
    </row>
    <row r="325" spans="2:2" x14ac:dyDescent="0.2">
      <c r="B325" s="60" t="s">
        <v>1758</v>
      </c>
    </row>
    <row r="326" spans="2:2" x14ac:dyDescent="0.2">
      <c r="B326" s="60" t="s">
        <v>1319</v>
      </c>
    </row>
    <row r="327" spans="2:2" x14ac:dyDescent="0.2">
      <c r="B327" s="60" t="s">
        <v>1759</v>
      </c>
    </row>
    <row r="328" spans="2:2" x14ac:dyDescent="0.2">
      <c r="B328" s="60" t="s">
        <v>1760</v>
      </c>
    </row>
    <row r="329" spans="2:2" x14ac:dyDescent="0.2">
      <c r="B329" s="60" t="s">
        <v>1761</v>
      </c>
    </row>
    <row r="330" spans="2:2" x14ac:dyDescent="0.2">
      <c r="B330" s="60" t="s">
        <v>1762</v>
      </c>
    </row>
    <row r="331" spans="2:2" x14ac:dyDescent="0.2">
      <c r="B331" s="60" t="s">
        <v>1763</v>
      </c>
    </row>
    <row r="332" spans="2:2" x14ac:dyDescent="0.2">
      <c r="B332" s="60" t="s">
        <v>1320</v>
      </c>
    </row>
    <row r="333" spans="2:2" x14ac:dyDescent="0.2">
      <c r="B333" s="69" t="s">
        <v>1696</v>
      </c>
    </row>
    <row r="334" spans="2:2" x14ac:dyDescent="0.2">
      <c r="B334" s="60" t="s">
        <v>1320</v>
      </c>
    </row>
    <row r="335" spans="2:2" x14ac:dyDescent="0.2">
      <c r="B335" s="60" t="s">
        <v>1764</v>
      </c>
    </row>
    <row r="336" spans="2:2" x14ac:dyDescent="0.2">
      <c r="B336" s="60" t="s">
        <v>1765</v>
      </c>
    </row>
    <row r="337" spans="2:2" x14ac:dyDescent="0.2">
      <c r="B337" s="60" t="s">
        <v>1321</v>
      </c>
    </row>
    <row r="338" spans="2:2" x14ac:dyDescent="0.2">
      <c r="B338" s="60" t="s">
        <v>1322</v>
      </c>
    </row>
    <row r="339" spans="2:2" x14ac:dyDescent="0.2">
      <c r="B339" s="60" t="s">
        <v>1766</v>
      </c>
    </row>
    <row r="340" spans="2:2" x14ac:dyDescent="0.2">
      <c r="B340" s="60" t="s">
        <v>1767</v>
      </c>
    </row>
    <row r="341" spans="2:2" x14ac:dyDescent="0.2">
      <c r="B341" s="60" t="s">
        <v>1768</v>
      </c>
    </row>
    <row r="342" spans="2:2" x14ac:dyDescent="0.2">
      <c r="B342" s="60" t="s">
        <v>1769</v>
      </c>
    </row>
    <row r="343" spans="2:2" x14ac:dyDescent="0.2">
      <c r="B343" s="60" t="s">
        <v>1770</v>
      </c>
    </row>
    <row r="344" spans="2:2" x14ac:dyDescent="0.2">
      <c r="B344" s="60" t="s">
        <v>1771</v>
      </c>
    </row>
    <row r="345" spans="2:2" x14ac:dyDescent="0.2">
      <c r="B345" s="60" t="s">
        <v>1772</v>
      </c>
    </row>
    <row r="346" spans="2:2" x14ac:dyDescent="0.2">
      <c r="B346" s="60" t="s">
        <v>1773</v>
      </c>
    </row>
    <row r="347" spans="2:2" x14ac:dyDescent="0.2">
      <c r="B347" s="60" t="s">
        <v>1774</v>
      </c>
    </row>
    <row r="348" spans="2:2" x14ac:dyDescent="0.2">
      <c r="B348" s="60" t="s">
        <v>1775</v>
      </c>
    </row>
    <row r="349" spans="2:2" x14ac:dyDescent="0.2">
      <c r="B349" s="60" t="s">
        <v>1776</v>
      </c>
    </row>
    <row r="350" spans="2:2" x14ac:dyDescent="0.2">
      <c r="B350" s="60" t="s">
        <v>1777</v>
      </c>
    </row>
    <row r="351" spans="2:2" x14ac:dyDescent="0.2">
      <c r="B351" s="60" t="s">
        <v>1778</v>
      </c>
    </row>
    <row r="352" spans="2:2" x14ac:dyDescent="0.2">
      <c r="B352" s="60" t="s">
        <v>1779</v>
      </c>
    </row>
    <row r="353" spans="2:2" x14ac:dyDescent="0.2">
      <c r="B353" s="60" t="s">
        <v>1329</v>
      </c>
    </row>
    <row r="354" spans="2:2" x14ac:dyDescent="0.2">
      <c r="B354" s="60" t="s">
        <v>1713</v>
      </c>
    </row>
    <row r="355" spans="2:2" x14ac:dyDescent="0.2">
      <c r="B355" s="60" t="s">
        <v>1780</v>
      </c>
    </row>
    <row r="356" spans="2:2" x14ac:dyDescent="0.2">
      <c r="B356" s="60" t="s">
        <v>1781</v>
      </c>
    </row>
    <row r="357" spans="2:2" x14ac:dyDescent="0.2">
      <c r="B357" s="60" t="s">
        <v>1782</v>
      </c>
    </row>
    <row r="358" spans="2:2" x14ac:dyDescent="0.2">
      <c r="B358" s="60" t="s">
        <v>1783</v>
      </c>
    </row>
    <row r="359" spans="2:2" x14ac:dyDescent="0.2">
      <c r="B359" s="60" t="s">
        <v>1784</v>
      </c>
    </row>
    <row r="360" spans="2:2" x14ac:dyDescent="0.2">
      <c r="B360" s="60" t="s">
        <v>1323</v>
      </c>
    </row>
    <row r="361" spans="2:2" x14ac:dyDescent="0.2">
      <c r="B361" s="60" t="s">
        <v>1324</v>
      </c>
    </row>
    <row r="362" spans="2:2" x14ac:dyDescent="0.2">
      <c r="B362" s="60" t="s">
        <v>1785</v>
      </c>
    </row>
    <row r="363" spans="2:2" x14ac:dyDescent="0.2">
      <c r="B363" s="60" t="s">
        <v>1786</v>
      </c>
    </row>
    <row r="364" spans="2:2" x14ac:dyDescent="0.2">
      <c r="B364" s="60" t="s">
        <v>1787</v>
      </c>
    </row>
    <row r="365" spans="2:2" x14ac:dyDescent="0.2">
      <c r="B365" s="60" t="s">
        <v>1788</v>
      </c>
    </row>
    <row r="366" spans="2:2" x14ac:dyDescent="0.2">
      <c r="B366" s="60" t="s">
        <v>1789</v>
      </c>
    </row>
    <row r="367" spans="2:2" x14ac:dyDescent="0.2">
      <c r="B367" s="60" t="s">
        <v>1325</v>
      </c>
    </row>
    <row r="368" spans="2:2" x14ac:dyDescent="0.2">
      <c r="B368" s="60" t="s">
        <v>1326</v>
      </c>
    </row>
    <row r="369" spans="2:2" x14ac:dyDescent="0.2">
      <c r="B369" s="60" t="s">
        <v>1327</v>
      </c>
    </row>
    <row r="370" spans="2:2" x14ac:dyDescent="0.2">
      <c r="B370" s="60" t="s">
        <v>1328</v>
      </c>
    </row>
    <row r="371" spans="2:2" x14ac:dyDescent="0.2">
      <c r="B371"/>
    </row>
    <row r="372" spans="2:2" x14ac:dyDescent="0.2">
      <c r="B372" s="60" t="s">
        <v>1401</v>
      </c>
    </row>
    <row r="376" spans="2:2" x14ac:dyDescent="0.2">
      <c r="B376" s="60" t="s">
        <v>1790</v>
      </c>
    </row>
    <row r="377" spans="2:2" x14ac:dyDescent="0.2">
      <c r="B377"/>
    </row>
    <row r="378" spans="2:2" x14ac:dyDescent="0.2">
      <c r="B378" s="60" t="s">
        <v>1791</v>
      </c>
    </row>
    <row r="379" spans="2:2" x14ac:dyDescent="0.2">
      <c r="B379" s="60" t="s">
        <v>1319</v>
      </c>
    </row>
    <row r="380" spans="2:2" x14ac:dyDescent="0.2">
      <c r="B380" s="60" t="s">
        <v>1792</v>
      </c>
    </row>
    <row r="381" spans="2:2" x14ac:dyDescent="0.2">
      <c r="B381" s="60" t="s">
        <v>1793</v>
      </c>
    </row>
    <row r="382" spans="2:2" x14ac:dyDescent="0.2">
      <c r="B382" s="60" t="s">
        <v>1794</v>
      </c>
    </row>
    <row r="383" spans="2:2" x14ac:dyDescent="0.2">
      <c r="B383" s="60" t="s">
        <v>1795</v>
      </c>
    </row>
    <row r="384" spans="2:2" x14ac:dyDescent="0.2">
      <c r="B384" s="60" t="s">
        <v>1796</v>
      </c>
    </row>
    <row r="385" spans="2:2" x14ac:dyDescent="0.2">
      <c r="B385" s="60" t="s">
        <v>1320</v>
      </c>
    </row>
    <row r="386" spans="2:2" x14ac:dyDescent="0.2">
      <c r="B386" s="69" t="s">
        <v>1696</v>
      </c>
    </row>
    <row r="387" spans="2:2" x14ac:dyDescent="0.2">
      <c r="B387" s="60" t="s">
        <v>1320</v>
      </c>
    </row>
    <row r="388" spans="2:2" x14ac:dyDescent="0.2">
      <c r="B388" s="60" t="s">
        <v>1797</v>
      </c>
    </row>
    <row r="389" spans="2:2" x14ac:dyDescent="0.2">
      <c r="B389" s="60" t="s">
        <v>1798</v>
      </c>
    </row>
    <row r="390" spans="2:2" x14ac:dyDescent="0.2">
      <c r="B390" s="60" t="s">
        <v>1321</v>
      </c>
    </row>
    <row r="391" spans="2:2" x14ac:dyDescent="0.2">
      <c r="B391" s="60" t="s">
        <v>1322</v>
      </c>
    </row>
    <row r="392" spans="2:2" x14ac:dyDescent="0.2">
      <c r="B392" s="60" t="s">
        <v>1799</v>
      </c>
    </row>
    <row r="393" spans="2:2" x14ac:dyDescent="0.2">
      <c r="B393" s="60" t="s">
        <v>1800</v>
      </c>
    </row>
    <row r="394" spans="2:2" x14ac:dyDescent="0.2">
      <c r="B394" s="60" t="s">
        <v>1801</v>
      </c>
    </row>
    <row r="395" spans="2:2" x14ac:dyDescent="0.2">
      <c r="B395" s="60" t="s">
        <v>1802</v>
      </c>
    </row>
    <row r="396" spans="2:2" x14ac:dyDescent="0.2">
      <c r="B396" s="60" t="s">
        <v>1803</v>
      </c>
    </row>
    <row r="397" spans="2:2" x14ac:dyDescent="0.2">
      <c r="B397" s="60" t="s">
        <v>1804</v>
      </c>
    </row>
    <row r="398" spans="2:2" x14ac:dyDescent="0.2">
      <c r="B398" s="60" t="s">
        <v>1805</v>
      </c>
    </row>
    <row r="399" spans="2:2" x14ac:dyDescent="0.2">
      <c r="B399" s="60" t="s">
        <v>1806</v>
      </c>
    </row>
    <row r="400" spans="2:2" x14ac:dyDescent="0.2">
      <c r="B400" s="60" t="s">
        <v>1807</v>
      </c>
    </row>
    <row r="401" spans="2:2" x14ac:dyDescent="0.2">
      <c r="B401" s="60" t="s">
        <v>1808</v>
      </c>
    </row>
    <row r="402" spans="2:2" x14ac:dyDescent="0.2">
      <c r="B402" s="60" t="s">
        <v>1809</v>
      </c>
    </row>
    <row r="403" spans="2:2" x14ac:dyDescent="0.2">
      <c r="B403" s="60" t="s">
        <v>1810</v>
      </c>
    </row>
    <row r="404" spans="2:2" x14ac:dyDescent="0.2">
      <c r="B404" s="60" t="s">
        <v>1811</v>
      </c>
    </row>
    <row r="405" spans="2:2" x14ac:dyDescent="0.2">
      <c r="B405" s="60" t="s">
        <v>1812</v>
      </c>
    </row>
    <row r="406" spans="2:2" x14ac:dyDescent="0.2">
      <c r="B406" s="60" t="s">
        <v>1334</v>
      </c>
    </row>
    <row r="407" spans="2:2" x14ac:dyDescent="0.2">
      <c r="B407" s="60" t="s">
        <v>1713</v>
      </c>
    </row>
    <row r="408" spans="2:2" x14ac:dyDescent="0.2">
      <c r="B408" s="60" t="s">
        <v>1780</v>
      </c>
    </row>
    <row r="409" spans="2:2" x14ac:dyDescent="0.2">
      <c r="B409" s="60" t="s">
        <v>1813</v>
      </c>
    </row>
    <row r="410" spans="2:2" x14ac:dyDescent="0.2">
      <c r="B410" s="60" t="s">
        <v>1814</v>
      </c>
    </row>
    <row r="411" spans="2:2" x14ac:dyDescent="0.2">
      <c r="B411" s="60" t="s">
        <v>1815</v>
      </c>
    </row>
    <row r="412" spans="2:2" x14ac:dyDescent="0.2">
      <c r="B412" s="60" t="s">
        <v>1816</v>
      </c>
    </row>
    <row r="413" spans="2:2" x14ac:dyDescent="0.2">
      <c r="B413" s="60" t="s">
        <v>1323</v>
      </c>
    </row>
    <row r="414" spans="2:2" x14ac:dyDescent="0.2">
      <c r="B414" s="60" t="s">
        <v>1324</v>
      </c>
    </row>
    <row r="415" spans="2:2" x14ac:dyDescent="0.2">
      <c r="B415" s="60" t="s">
        <v>1817</v>
      </c>
    </row>
    <row r="416" spans="2:2" x14ac:dyDescent="0.2">
      <c r="B416" s="60" t="s">
        <v>1818</v>
      </c>
    </row>
    <row r="417" spans="2:2" x14ac:dyDescent="0.2">
      <c r="B417" s="60" t="s">
        <v>1819</v>
      </c>
    </row>
    <row r="418" spans="2:2" x14ac:dyDescent="0.2">
      <c r="B418" s="60" t="s">
        <v>1820</v>
      </c>
    </row>
    <row r="419" spans="2:2" x14ac:dyDescent="0.2">
      <c r="B419" s="60" t="s">
        <v>1821</v>
      </c>
    </row>
    <row r="420" spans="2:2" x14ac:dyDescent="0.2">
      <c r="B420" s="60" t="s">
        <v>1325</v>
      </c>
    </row>
    <row r="421" spans="2:2" x14ac:dyDescent="0.2">
      <c r="B421" s="60" t="s">
        <v>1326</v>
      </c>
    </row>
    <row r="422" spans="2:2" x14ac:dyDescent="0.2">
      <c r="B422" s="60" t="s">
        <v>1327</v>
      </c>
    </row>
    <row r="423" spans="2:2" x14ac:dyDescent="0.2">
      <c r="B423" s="60" t="s">
        <v>1328</v>
      </c>
    </row>
    <row r="424" spans="2:2" x14ac:dyDescent="0.2">
      <c r="B424"/>
    </row>
    <row r="425" spans="2:2" x14ac:dyDescent="0.2">
      <c r="B425" s="60" t="s">
        <v>1401</v>
      </c>
    </row>
    <row r="428" spans="2:2" x14ac:dyDescent="0.2">
      <c r="B428" s="60" t="s">
        <v>1822</v>
      </c>
    </row>
    <row r="429" spans="2:2" x14ac:dyDescent="0.2">
      <c r="B429"/>
    </row>
    <row r="430" spans="2:2" x14ac:dyDescent="0.2">
      <c r="B430" s="60" t="s">
        <v>1823</v>
      </c>
    </row>
    <row r="431" spans="2:2" x14ac:dyDescent="0.2">
      <c r="B431" s="60" t="s">
        <v>1319</v>
      </c>
    </row>
    <row r="432" spans="2:2" x14ac:dyDescent="0.2">
      <c r="B432" s="60" t="s">
        <v>1824</v>
      </c>
    </row>
    <row r="433" spans="2:2" x14ac:dyDescent="0.2">
      <c r="B433" s="60" t="s">
        <v>1825</v>
      </c>
    </row>
    <row r="434" spans="2:2" x14ac:dyDescent="0.2">
      <c r="B434" s="60" t="s">
        <v>1826</v>
      </c>
    </row>
    <row r="435" spans="2:2" x14ac:dyDescent="0.2">
      <c r="B435" s="60" t="s">
        <v>1827</v>
      </c>
    </row>
    <row r="436" spans="2:2" x14ac:dyDescent="0.2">
      <c r="B436" s="60" t="s">
        <v>1828</v>
      </c>
    </row>
    <row r="437" spans="2:2" x14ac:dyDescent="0.2">
      <c r="B437" s="60" t="s">
        <v>1320</v>
      </c>
    </row>
    <row r="438" spans="2:2" x14ac:dyDescent="0.2">
      <c r="B438" s="60" t="s">
        <v>1320</v>
      </c>
    </row>
    <row r="439" spans="2:2" x14ac:dyDescent="0.2">
      <c r="B439" s="60" t="s">
        <v>1696</v>
      </c>
    </row>
    <row r="440" spans="2:2" x14ac:dyDescent="0.2">
      <c r="B440" s="60" t="s">
        <v>1320</v>
      </c>
    </row>
    <row r="441" spans="2:2" x14ac:dyDescent="0.2">
      <c r="B441" s="60" t="s">
        <v>1829</v>
      </c>
    </row>
    <row r="442" spans="2:2" x14ac:dyDescent="0.2">
      <c r="B442" s="60" t="s">
        <v>1830</v>
      </c>
    </row>
    <row r="443" spans="2:2" x14ac:dyDescent="0.2">
      <c r="B443" s="60" t="s">
        <v>1321</v>
      </c>
    </row>
    <row r="444" spans="2:2" x14ac:dyDescent="0.2">
      <c r="B444" s="60" t="s">
        <v>1322</v>
      </c>
    </row>
    <row r="445" spans="2:2" x14ac:dyDescent="0.2">
      <c r="B445" s="60" t="s">
        <v>1831</v>
      </c>
    </row>
    <row r="446" spans="2:2" x14ac:dyDescent="0.2">
      <c r="B446" s="60" t="s">
        <v>1832</v>
      </c>
    </row>
    <row r="447" spans="2:2" x14ac:dyDescent="0.2">
      <c r="B447" s="60" t="s">
        <v>1833</v>
      </c>
    </row>
    <row r="448" spans="2:2" x14ac:dyDescent="0.2">
      <c r="B448" s="60" t="s">
        <v>1834</v>
      </c>
    </row>
    <row r="449" spans="2:2" x14ac:dyDescent="0.2">
      <c r="B449" s="60" t="s">
        <v>1835</v>
      </c>
    </row>
    <row r="450" spans="2:2" x14ac:dyDescent="0.2">
      <c r="B450" s="60" t="s">
        <v>1836</v>
      </c>
    </row>
    <row r="451" spans="2:2" x14ac:dyDescent="0.2">
      <c r="B451" s="60" t="s">
        <v>1837</v>
      </c>
    </row>
    <row r="452" spans="2:2" x14ac:dyDescent="0.2">
      <c r="B452" s="60" t="s">
        <v>1838</v>
      </c>
    </row>
    <row r="453" spans="2:2" x14ac:dyDescent="0.2">
      <c r="B453" s="60" t="s">
        <v>1839</v>
      </c>
    </row>
    <row r="454" spans="2:2" x14ac:dyDescent="0.2">
      <c r="B454" s="60" t="s">
        <v>1840</v>
      </c>
    </row>
    <row r="455" spans="2:2" x14ac:dyDescent="0.2">
      <c r="B455" s="60" t="s">
        <v>1841</v>
      </c>
    </row>
    <row r="456" spans="2:2" x14ac:dyDescent="0.2">
      <c r="B456" s="60" t="s">
        <v>1842</v>
      </c>
    </row>
    <row r="457" spans="2:2" x14ac:dyDescent="0.2">
      <c r="B457" s="60" t="s">
        <v>1843</v>
      </c>
    </row>
    <row r="458" spans="2:2" x14ac:dyDescent="0.2">
      <c r="B458" s="60" t="s">
        <v>1844</v>
      </c>
    </row>
    <row r="459" spans="2:2" x14ac:dyDescent="0.2">
      <c r="B459" s="60" t="s">
        <v>1845</v>
      </c>
    </row>
    <row r="460" spans="2:2" x14ac:dyDescent="0.2">
      <c r="B460" s="60" t="s">
        <v>1713</v>
      </c>
    </row>
    <row r="461" spans="2:2" x14ac:dyDescent="0.2">
      <c r="B461" s="60" t="s">
        <v>1846</v>
      </c>
    </row>
    <row r="462" spans="2:2" x14ac:dyDescent="0.2">
      <c r="B462" s="60" t="s">
        <v>1847</v>
      </c>
    </row>
    <row r="463" spans="2:2" x14ac:dyDescent="0.2">
      <c r="B463" s="60" t="s">
        <v>1848</v>
      </c>
    </row>
    <row r="464" spans="2:2" x14ac:dyDescent="0.2">
      <c r="B464" s="60" t="s">
        <v>1849</v>
      </c>
    </row>
    <row r="465" spans="2:2" x14ac:dyDescent="0.2">
      <c r="B465" s="60" t="s">
        <v>1850</v>
      </c>
    </row>
    <row r="466" spans="2:2" x14ac:dyDescent="0.2">
      <c r="B466" s="60" t="s">
        <v>1323</v>
      </c>
    </row>
    <row r="467" spans="2:2" x14ac:dyDescent="0.2">
      <c r="B467" s="60" t="s">
        <v>1324</v>
      </c>
    </row>
    <row r="468" spans="2:2" x14ac:dyDescent="0.2">
      <c r="B468" s="60" t="s">
        <v>1851</v>
      </c>
    </row>
    <row r="469" spans="2:2" x14ac:dyDescent="0.2">
      <c r="B469" s="60" t="s">
        <v>1852</v>
      </c>
    </row>
    <row r="470" spans="2:2" x14ac:dyDescent="0.2">
      <c r="B470" s="60" t="s">
        <v>1853</v>
      </c>
    </row>
    <row r="471" spans="2:2" x14ac:dyDescent="0.2">
      <c r="B471" s="60" t="s">
        <v>1854</v>
      </c>
    </row>
    <row r="472" spans="2:2" x14ac:dyDescent="0.2">
      <c r="B472" s="60" t="s">
        <v>1332</v>
      </c>
    </row>
    <row r="473" spans="2:2" x14ac:dyDescent="0.2">
      <c r="B473" s="60" t="s">
        <v>1325</v>
      </c>
    </row>
    <row r="474" spans="2:2" x14ac:dyDescent="0.2">
      <c r="B474" s="60" t="s">
        <v>1326</v>
      </c>
    </row>
    <row r="475" spans="2:2" x14ac:dyDescent="0.2">
      <c r="B475" s="60" t="s">
        <v>1327</v>
      </c>
    </row>
    <row r="476" spans="2:2" x14ac:dyDescent="0.2">
      <c r="B476" s="60" t="s">
        <v>1328</v>
      </c>
    </row>
    <row r="477" spans="2:2" x14ac:dyDescent="0.2">
      <c r="B477"/>
    </row>
    <row r="478" spans="2:2" x14ac:dyDescent="0.2">
      <c r="B478" s="60" t="s">
        <v>1401</v>
      </c>
    </row>
    <row r="481" spans="1:2" x14ac:dyDescent="0.2">
      <c r="A481" s="120">
        <v>250707</v>
      </c>
      <c r="B481" s="60" t="s">
        <v>1390</v>
      </c>
    </row>
    <row r="482" spans="1:2" x14ac:dyDescent="0.2">
      <c r="B482"/>
    </row>
    <row r="483" spans="1:2" x14ac:dyDescent="0.2">
      <c r="B483" s="60" t="s">
        <v>1391</v>
      </c>
    </row>
    <row r="484" spans="1:2" x14ac:dyDescent="0.2">
      <c r="B484" s="60" t="s">
        <v>1319</v>
      </c>
    </row>
    <row r="485" spans="1:2" x14ac:dyDescent="0.2">
      <c r="B485" s="60" t="s">
        <v>1392</v>
      </c>
    </row>
    <row r="486" spans="1:2" x14ac:dyDescent="0.2">
      <c r="B486" s="60" t="s">
        <v>1393</v>
      </c>
    </row>
    <row r="487" spans="1:2" x14ac:dyDescent="0.2">
      <c r="B487" s="60" t="s">
        <v>1394</v>
      </c>
    </row>
    <row r="488" spans="1:2" x14ac:dyDescent="0.2">
      <c r="B488" s="60" t="s">
        <v>1395</v>
      </c>
    </row>
    <row r="489" spans="1:2" x14ac:dyDescent="0.2">
      <c r="B489" s="60" t="s">
        <v>1396</v>
      </c>
    </row>
    <row r="490" spans="1:2" x14ac:dyDescent="0.2">
      <c r="B490" s="60" t="s">
        <v>1320</v>
      </c>
    </row>
    <row r="491" spans="1:2" x14ac:dyDescent="0.2">
      <c r="B491" s="60" t="s">
        <v>1696</v>
      </c>
    </row>
    <row r="492" spans="1:2" x14ac:dyDescent="0.2">
      <c r="B492" s="60" t="s">
        <v>1320</v>
      </c>
    </row>
    <row r="493" spans="1:2" x14ac:dyDescent="0.2">
      <c r="B493" s="60" t="s">
        <v>1397</v>
      </c>
    </row>
    <row r="494" spans="1:2" x14ac:dyDescent="0.2">
      <c r="B494" s="60" t="s">
        <v>1398</v>
      </c>
    </row>
    <row r="495" spans="1:2" x14ac:dyDescent="0.2">
      <c r="B495" s="60" t="s">
        <v>1321</v>
      </c>
    </row>
    <row r="496" spans="1:2" x14ac:dyDescent="0.2">
      <c r="B496" s="60" t="s">
        <v>1322</v>
      </c>
    </row>
    <row r="497" spans="2:2" x14ac:dyDescent="0.2">
      <c r="B497" s="60" t="s">
        <v>1907</v>
      </c>
    </row>
    <row r="498" spans="2:2" x14ac:dyDescent="0.2">
      <c r="B498" s="60" t="s">
        <v>1908</v>
      </c>
    </row>
    <row r="499" spans="2:2" x14ac:dyDescent="0.2">
      <c r="B499" s="60" t="s">
        <v>1399</v>
      </c>
    </row>
    <row r="500" spans="2:2" x14ac:dyDescent="0.2">
      <c r="B500" s="60" t="s">
        <v>1909</v>
      </c>
    </row>
    <row r="501" spans="2:2" x14ac:dyDescent="0.2">
      <c r="B501" s="60" t="s">
        <v>1910</v>
      </c>
    </row>
    <row r="502" spans="2:2" x14ac:dyDescent="0.2">
      <c r="B502" s="60" t="s">
        <v>1911</v>
      </c>
    </row>
    <row r="503" spans="2:2" x14ac:dyDescent="0.2">
      <c r="B503" s="60" t="s">
        <v>1912</v>
      </c>
    </row>
    <row r="504" spans="2:2" x14ac:dyDescent="0.2">
      <c r="B504" s="60" t="s">
        <v>1913</v>
      </c>
    </row>
    <row r="505" spans="2:2" x14ac:dyDescent="0.2">
      <c r="B505" s="60" t="s">
        <v>1914</v>
      </c>
    </row>
    <row r="506" spans="2:2" x14ac:dyDescent="0.2">
      <c r="B506" s="60" t="s">
        <v>1915</v>
      </c>
    </row>
    <row r="507" spans="2:2" x14ac:dyDescent="0.2">
      <c r="B507" s="60" t="s">
        <v>1916</v>
      </c>
    </row>
    <row r="508" spans="2:2" x14ac:dyDescent="0.2">
      <c r="B508" s="60" t="s">
        <v>1917</v>
      </c>
    </row>
    <row r="509" spans="2:2" x14ac:dyDescent="0.2">
      <c r="B509" s="60" t="s">
        <v>1918</v>
      </c>
    </row>
    <row r="510" spans="2:2" x14ac:dyDescent="0.2">
      <c r="B510" s="60" t="s">
        <v>1919</v>
      </c>
    </row>
    <row r="511" spans="2:2" x14ac:dyDescent="0.2">
      <c r="B511" s="60" t="s">
        <v>1331</v>
      </c>
    </row>
    <row r="512" spans="2:2" x14ac:dyDescent="0.2">
      <c r="B512" s="60" t="s">
        <v>1713</v>
      </c>
    </row>
    <row r="513" spans="2:2" x14ac:dyDescent="0.2">
      <c r="B513" s="60" t="s">
        <v>1846</v>
      </c>
    </row>
    <row r="514" spans="2:2" x14ac:dyDescent="0.2">
      <c r="B514" s="60" t="s">
        <v>1920</v>
      </c>
    </row>
    <row r="515" spans="2:2" x14ac:dyDescent="0.2">
      <c r="B515" s="60" t="s">
        <v>1921</v>
      </c>
    </row>
    <row r="516" spans="2:2" x14ac:dyDescent="0.2">
      <c r="B516" s="60" t="s">
        <v>1922</v>
      </c>
    </row>
    <row r="517" spans="2:2" x14ac:dyDescent="0.2">
      <c r="B517" s="60" t="s">
        <v>1923</v>
      </c>
    </row>
    <row r="518" spans="2:2" x14ac:dyDescent="0.2">
      <c r="B518" s="60" t="s">
        <v>1323</v>
      </c>
    </row>
    <row r="519" spans="2:2" x14ac:dyDescent="0.2">
      <c r="B519" s="60" t="s">
        <v>1324</v>
      </c>
    </row>
    <row r="520" spans="2:2" x14ac:dyDescent="0.2">
      <c r="B520" s="60" t="s">
        <v>1924</v>
      </c>
    </row>
    <row r="521" spans="2:2" x14ac:dyDescent="0.2">
      <c r="B521" s="60" t="s">
        <v>1925</v>
      </c>
    </row>
    <row r="522" spans="2:2" x14ac:dyDescent="0.2">
      <c r="B522" s="60" t="s">
        <v>1926</v>
      </c>
    </row>
    <row r="523" spans="2:2" x14ac:dyDescent="0.2">
      <c r="B523" s="60" t="s">
        <v>1927</v>
      </c>
    </row>
    <row r="524" spans="2:2" x14ac:dyDescent="0.2">
      <c r="B524" s="60" t="s">
        <v>1332</v>
      </c>
    </row>
    <row r="525" spans="2:2" x14ac:dyDescent="0.2">
      <c r="B525" s="60" t="s">
        <v>1325</v>
      </c>
    </row>
    <row r="526" spans="2:2" x14ac:dyDescent="0.2">
      <c r="B526" s="60" t="s">
        <v>1326</v>
      </c>
    </row>
    <row r="527" spans="2:2" x14ac:dyDescent="0.2">
      <c r="B527" s="60" t="s">
        <v>1327</v>
      </c>
    </row>
    <row r="528" spans="2:2" x14ac:dyDescent="0.2">
      <c r="B528" s="60" t="s">
        <v>1328</v>
      </c>
    </row>
    <row r="529" spans="1:2" x14ac:dyDescent="0.2">
      <c r="B529"/>
    </row>
    <row r="530" spans="1:2" x14ac:dyDescent="0.2">
      <c r="B530" s="60" t="s">
        <v>1333</v>
      </c>
    </row>
    <row r="533" spans="1:2" x14ac:dyDescent="0.2">
      <c r="A533" s="120">
        <v>250707</v>
      </c>
      <c r="B533" s="60" t="s">
        <v>1928</v>
      </c>
    </row>
    <row r="534" spans="1:2" x14ac:dyDescent="0.2">
      <c r="B534"/>
    </row>
    <row r="535" spans="1:2" x14ac:dyDescent="0.2">
      <c r="B535" s="60" t="s">
        <v>1929</v>
      </c>
    </row>
    <row r="536" spans="1:2" x14ac:dyDescent="0.2">
      <c r="B536" s="60" t="s">
        <v>1319</v>
      </c>
    </row>
    <row r="537" spans="1:2" x14ac:dyDescent="0.2">
      <c r="B537" s="60" t="s">
        <v>1930</v>
      </c>
    </row>
    <row r="538" spans="1:2" x14ac:dyDescent="0.2">
      <c r="B538" s="60" t="s">
        <v>1931</v>
      </c>
    </row>
    <row r="539" spans="1:2" x14ac:dyDescent="0.2">
      <c r="B539" s="60" t="s">
        <v>1932</v>
      </c>
    </row>
    <row r="540" spans="1:2" x14ac:dyDescent="0.2">
      <c r="B540" s="60" t="s">
        <v>1933</v>
      </c>
    </row>
    <row r="541" spans="1:2" x14ac:dyDescent="0.2">
      <c r="B541" s="60" t="s">
        <v>1934</v>
      </c>
    </row>
    <row r="542" spans="1:2" x14ac:dyDescent="0.2">
      <c r="B542" s="60" t="s">
        <v>1320</v>
      </c>
    </row>
    <row r="543" spans="1:2" x14ac:dyDescent="0.2">
      <c r="B543" s="69" t="s">
        <v>1696</v>
      </c>
    </row>
    <row r="544" spans="1:2" x14ac:dyDescent="0.2">
      <c r="B544" s="60" t="s">
        <v>1320</v>
      </c>
    </row>
    <row r="545" spans="2:2" x14ac:dyDescent="0.2">
      <c r="B545" s="60" t="s">
        <v>1935</v>
      </c>
    </row>
    <row r="546" spans="2:2" x14ac:dyDescent="0.2">
      <c r="B546" s="60" t="s">
        <v>1936</v>
      </c>
    </row>
    <row r="547" spans="2:2" x14ac:dyDescent="0.2">
      <c r="B547" s="60" t="s">
        <v>1321</v>
      </c>
    </row>
    <row r="548" spans="2:2" x14ac:dyDescent="0.2">
      <c r="B548" s="60" t="s">
        <v>1322</v>
      </c>
    </row>
    <row r="549" spans="2:2" x14ac:dyDescent="0.2">
      <c r="B549" s="60" t="s">
        <v>1937</v>
      </c>
    </row>
    <row r="550" spans="2:2" x14ac:dyDescent="0.2">
      <c r="B550" s="60" t="s">
        <v>1938</v>
      </c>
    </row>
    <row r="551" spans="2:2" x14ac:dyDescent="0.2">
      <c r="B551" s="60" t="s">
        <v>1939</v>
      </c>
    </row>
    <row r="552" spans="2:2" x14ac:dyDescent="0.2">
      <c r="B552" s="60" t="s">
        <v>1940</v>
      </c>
    </row>
    <row r="553" spans="2:2" x14ac:dyDescent="0.2">
      <c r="B553" s="60" t="s">
        <v>1941</v>
      </c>
    </row>
    <row r="554" spans="2:2" x14ac:dyDescent="0.2">
      <c r="B554" s="60" t="s">
        <v>1942</v>
      </c>
    </row>
    <row r="555" spans="2:2" x14ac:dyDescent="0.2">
      <c r="B555" s="60" t="s">
        <v>1943</v>
      </c>
    </row>
    <row r="556" spans="2:2" x14ac:dyDescent="0.2">
      <c r="B556" s="60" t="s">
        <v>1944</v>
      </c>
    </row>
    <row r="557" spans="2:2" x14ac:dyDescent="0.2">
      <c r="B557" s="60" t="s">
        <v>1945</v>
      </c>
    </row>
    <row r="558" spans="2:2" x14ac:dyDescent="0.2">
      <c r="B558" s="60" t="s">
        <v>1946</v>
      </c>
    </row>
    <row r="559" spans="2:2" x14ac:dyDescent="0.2">
      <c r="B559" s="60" t="s">
        <v>1947</v>
      </c>
    </row>
    <row r="560" spans="2:2" x14ac:dyDescent="0.2">
      <c r="B560" s="60" t="s">
        <v>1948</v>
      </c>
    </row>
    <row r="561" spans="2:2" x14ac:dyDescent="0.2">
      <c r="B561" s="60" t="s">
        <v>1949</v>
      </c>
    </row>
    <row r="562" spans="2:2" x14ac:dyDescent="0.2">
      <c r="B562" s="60" t="s">
        <v>1950</v>
      </c>
    </row>
    <row r="563" spans="2:2" x14ac:dyDescent="0.2">
      <c r="B563" s="60" t="s">
        <v>1331</v>
      </c>
    </row>
    <row r="564" spans="2:2" x14ac:dyDescent="0.2">
      <c r="B564" s="60" t="s">
        <v>1713</v>
      </c>
    </row>
    <row r="565" spans="2:2" x14ac:dyDescent="0.2">
      <c r="B565" s="60" t="s">
        <v>1846</v>
      </c>
    </row>
    <row r="566" spans="2:2" x14ac:dyDescent="0.2">
      <c r="B566" s="60" t="s">
        <v>1813</v>
      </c>
    </row>
    <row r="567" spans="2:2" x14ac:dyDescent="0.2">
      <c r="B567" s="60" t="s">
        <v>1951</v>
      </c>
    </row>
    <row r="568" spans="2:2" x14ac:dyDescent="0.2">
      <c r="B568" s="60" t="s">
        <v>1952</v>
      </c>
    </row>
    <row r="569" spans="2:2" x14ac:dyDescent="0.2">
      <c r="B569" s="60" t="s">
        <v>1953</v>
      </c>
    </row>
    <row r="570" spans="2:2" x14ac:dyDescent="0.2">
      <c r="B570" s="60" t="s">
        <v>1323</v>
      </c>
    </row>
    <row r="571" spans="2:2" x14ac:dyDescent="0.2">
      <c r="B571" s="60" t="s">
        <v>1324</v>
      </c>
    </row>
    <row r="572" spans="2:2" x14ac:dyDescent="0.2">
      <c r="B572" s="60" t="s">
        <v>1954</v>
      </c>
    </row>
    <row r="573" spans="2:2" x14ac:dyDescent="0.2">
      <c r="B573" s="60" t="s">
        <v>1955</v>
      </c>
    </row>
    <row r="574" spans="2:2" x14ac:dyDescent="0.2">
      <c r="B574" s="60" t="s">
        <v>1956</v>
      </c>
    </row>
    <row r="575" spans="2:2" x14ac:dyDescent="0.2">
      <c r="B575" s="60" t="s">
        <v>1957</v>
      </c>
    </row>
    <row r="576" spans="2:2" x14ac:dyDescent="0.2">
      <c r="B576" s="60" t="s">
        <v>1958</v>
      </c>
    </row>
    <row r="577" spans="1:2" x14ac:dyDescent="0.2">
      <c r="B577" s="60" t="s">
        <v>1325</v>
      </c>
    </row>
    <row r="578" spans="1:2" x14ac:dyDescent="0.2">
      <c r="B578" s="60" t="s">
        <v>1326</v>
      </c>
    </row>
    <row r="579" spans="1:2" x14ac:dyDescent="0.2">
      <c r="B579" s="60" t="s">
        <v>1327</v>
      </c>
    </row>
    <row r="580" spans="1:2" x14ac:dyDescent="0.2">
      <c r="B580" s="60" t="s">
        <v>1328</v>
      </c>
    </row>
    <row r="581" spans="1:2" x14ac:dyDescent="0.2">
      <c r="B581"/>
    </row>
    <row r="582" spans="1:2" x14ac:dyDescent="0.2">
      <c r="B582" s="60" t="s">
        <v>1333</v>
      </c>
    </row>
    <row r="585" spans="1:2" x14ac:dyDescent="0.2">
      <c r="A585" s="120">
        <v>250707</v>
      </c>
      <c r="B585" s="60" t="s">
        <v>1959</v>
      </c>
    </row>
    <row r="586" spans="1:2" x14ac:dyDescent="0.2">
      <c r="B586"/>
    </row>
    <row r="587" spans="1:2" x14ac:dyDescent="0.2">
      <c r="B587" s="60" t="s">
        <v>1960</v>
      </c>
    </row>
    <row r="588" spans="1:2" x14ac:dyDescent="0.2">
      <c r="B588" s="60" t="s">
        <v>1319</v>
      </c>
    </row>
    <row r="589" spans="1:2" x14ac:dyDescent="0.2">
      <c r="B589" s="60" t="s">
        <v>1961</v>
      </c>
    </row>
    <row r="590" spans="1:2" x14ac:dyDescent="0.2">
      <c r="B590" s="60" t="s">
        <v>1962</v>
      </c>
    </row>
    <row r="591" spans="1:2" x14ac:dyDescent="0.2">
      <c r="B591" s="60" t="s">
        <v>1963</v>
      </c>
    </row>
    <row r="592" spans="1:2" x14ac:dyDescent="0.2">
      <c r="B592" s="60" t="s">
        <v>1964</v>
      </c>
    </row>
    <row r="593" spans="2:2" x14ac:dyDescent="0.2">
      <c r="B593" s="60" t="s">
        <v>1965</v>
      </c>
    </row>
    <row r="594" spans="2:2" x14ac:dyDescent="0.2">
      <c r="B594" s="60" t="s">
        <v>1320</v>
      </c>
    </row>
    <row r="595" spans="2:2" x14ac:dyDescent="0.2">
      <c r="B595" s="60" t="s">
        <v>1320</v>
      </c>
    </row>
    <row r="596" spans="2:2" x14ac:dyDescent="0.2">
      <c r="B596" s="69" t="s">
        <v>1696</v>
      </c>
    </row>
    <row r="597" spans="2:2" x14ac:dyDescent="0.2">
      <c r="B597" s="60" t="s">
        <v>1320</v>
      </c>
    </row>
    <row r="598" spans="2:2" x14ac:dyDescent="0.2">
      <c r="B598" s="60" t="s">
        <v>1320</v>
      </c>
    </row>
    <row r="599" spans="2:2" x14ac:dyDescent="0.2">
      <c r="B599" s="60" t="s">
        <v>1966</v>
      </c>
    </row>
    <row r="600" spans="2:2" x14ac:dyDescent="0.2">
      <c r="B600" s="60" t="s">
        <v>1967</v>
      </c>
    </row>
    <row r="601" spans="2:2" x14ac:dyDescent="0.2">
      <c r="B601" s="60" t="s">
        <v>1321</v>
      </c>
    </row>
    <row r="602" spans="2:2" x14ac:dyDescent="0.2">
      <c r="B602" s="60" t="s">
        <v>1322</v>
      </c>
    </row>
    <row r="603" spans="2:2" x14ac:dyDescent="0.2">
      <c r="B603" s="60" t="s">
        <v>1968</v>
      </c>
    </row>
    <row r="604" spans="2:2" x14ac:dyDescent="0.2">
      <c r="B604" s="60" t="s">
        <v>1969</v>
      </c>
    </row>
    <row r="605" spans="2:2" x14ac:dyDescent="0.2">
      <c r="B605" s="60" t="s">
        <v>1970</v>
      </c>
    </row>
    <row r="606" spans="2:2" x14ac:dyDescent="0.2">
      <c r="B606" s="60" t="s">
        <v>1971</v>
      </c>
    </row>
    <row r="607" spans="2:2" x14ac:dyDescent="0.2">
      <c r="B607" s="60" t="s">
        <v>1972</v>
      </c>
    </row>
    <row r="608" spans="2:2" x14ac:dyDescent="0.2">
      <c r="B608" s="60" t="s">
        <v>1973</v>
      </c>
    </row>
    <row r="609" spans="2:2" x14ac:dyDescent="0.2">
      <c r="B609" s="60" t="s">
        <v>1974</v>
      </c>
    </row>
    <row r="610" spans="2:2" x14ac:dyDescent="0.2">
      <c r="B610" s="60" t="s">
        <v>1975</v>
      </c>
    </row>
    <row r="611" spans="2:2" x14ac:dyDescent="0.2">
      <c r="B611" s="60" t="s">
        <v>1976</v>
      </c>
    </row>
    <row r="612" spans="2:2" x14ac:dyDescent="0.2">
      <c r="B612" s="60" t="s">
        <v>1977</v>
      </c>
    </row>
    <row r="613" spans="2:2" x14ac:dyDescent="0.2">
      <c r="B613" s="60" t="s">
        <v>1978</v>
      </c>
    </row>
    <row r="614" spans="2:2" x14ac:dyDescent="0.2">
      <c r="B614" s="60" t="s">
        <v>1979</v>
      </c>
    </row>
    <row r="615" spans="2:2" x14ac:dyDescent="0.2">
      <c r="B615" s="60" t="s">
        <v>1980</v>
      </c>
    </row>
    <row r="616" spans="2:2" x14ac:dyDescent="0.2">
      <c r="B616" s="60" t="s">
        <v>1981</v>
      </c>
    </row>
    <row r="617" spans="2:2" x14ac:dyDescent="0.2">
      <c r="B617" s="60" t="s">
        <v>1982</v>
      </c>
    </row>
    <row r="618" spans="2:2" x14ac:dyDescent="0.2">
      <c r="B618" s="60" t="s">
        <v>1713</v>
      </c>
    </row>
    <row r="619" spans="2:2" x14ac:dyDescent="0.2">
      <c r="B619" s="60" t="s">
        <v>1983</v>
      </c>
    </row>
    <row r="620" spans="2:2" x14ac:dyDescent="0.2">
      <c r="B620" s="60" t="s">
        <v>1984</v>
      </c>
    </row>
    <row r="621" spans="2:2" x14ac:dyDescent="0.2">
      <c r="B621" s="60" t="s">
        <v>1985</v>
      </c>
    </row>
    <row r="622" spans="2:2" x14ac:dyDescent="0.2">
      <c r="B622" s="60" t="s">
        <v>1986</v>
      </c>
    </row>
    <row r="623" spans="2:2" x14ac:dyDescent="0.2">
      <c r="B623" s="60" t="s">
        <v>1987</v>
      </c>
    </row>
    <row r="624" spans="2:2" x14ac:dyDescent="0.2">
      <c r="B624" s="60" t="s">
        <v>1323</v>
      </c>
    </row>
    <row r="625" spans="1:2" x14ac:dyDescent="0.2">
      <c r="B625" s="60" t="s">
        <v>1324</v>
      </c>
    </row>
    <row r="626" spans="1:2" x14ac:dyDescent="0.2">
      <c r="B626" s="60" t="s">
        <v>1988</v>
      </c>
    </row>
    <row r="627" spans="1:2" x14ac:dyDescent="0.2">
      <c r="B627" s="60" t="s">
        <v>1989</v>
      </c>
    </row>
    <row r="628" spans="1:2" x14ac:dyDescent="0.2">
      <c r="B628" s="60" t="s">
        <v>1990</v>
      </c>
    </row>
    <row r="629" spans="1:2" x14ac:dyDescent="0.2">
      <c r="B629" s="60" t="s">
        <v>1991</v>
      </c>
    </row>
    <row r="630" spans="1:2" x14ac:dyDescent="0.2">
      <c r="B630" s="60" t="s">
        <v>1992</v>
      </c>
    </row>
    <row r="631" spans="1:2" x14ac:dyDescent="0.2">
      <c r="B631" s="60" t="s">
        <v>1325</v>
      </c>
    </row>
    <row r="632" spans="1:2" x14ac:dyDescent="0.2">
      <c r="B632" s="60" t="s">
        <v>1326</v>
      </c>
    </row>
    <row r="633" spans="1:2" x14ac:dyDescent="0.2">
      <c r="B633" s="60" t="s">
        <v>1327</v>
      </c>
    </row>
    <row r="634" spans="1:2" x14ac:dyDescent="0.2">
      <c r="B634" s="60" t="s">
        <v>1328</v>
      </c>
    </row>
    <row r="635" spans="1:2" x14ac:dyDescent="0.2">
      <c r="B635"/>
    </row>
    <row r="636" spans="1:2" x14ac:dyDescent="0.2">
      <c r="B636" s="60" t="s">
        <v>1333</v>
      </c>
    </row>
    <row r="639" spans="1:2" x14ac:dyDescent="0.2">
      <c r="A639" s="120">
        <v>250707</v>
      </c>
      <c r="B639" s="60" t="s">
        <v>1993</v>
      </c>
    </row>
    <row r="640" spans="1:2" x14ac:dyDescent="0.2">
      <c r="B640"/>
    </row>
    <row r="641" spans="2:2" x14ac:dyDescent="0.2">
      <c r="B641" s="60" t="s">
        <v>1994</v>
      </c>
    </row>
    <row r="642" spans="2:2" x14ac:dyDescent="0.2">
      <c r="B642" s="60" t="s">
        <v>1319</v>
      </c>
    </row>
    <row r="643" spans="2:2" x14ac:dyDescent="0.2">
      <c r="B643" s="60" t="s">
        <v>1995</v>
      </c>
    </row>
    <row r="644" spans="2:2" x14ac:dyDescent="0.2">
      <c r="B644" s="60" t="s">
        <v>1996</v>
      </c>
    </row>
    <row r="645" spans="2:2" x14ac:dyDescent="0.2">
      <c r="B645" s="60" t="s">
        <v>1997</v>
      </c>
    </row>
    <row r="646" spans="2:2" x14ac:dyDescent="0.2">
      <c r="B646" s="60" t="s">
        <v>1998</v>
      </c>
    </row>
    <row r="647" spans="2:2" x14ac:dyDescent="0.2">
      <c r="B647" s="60" t="s">
        <v>1999</v>
      </c>
    </row>
    <row r="648" spans="2:2" x14ac:dyDescent="0.2">
      <c r="B648" s="60" t="s">
        <v>1320</v>
      </c>
    </row>
    <row r="649" spans="2:2" x14ac:dyDescent="0.2">
      <c r="B649" s="69" t="s">
        <v>1696</v>
      </c>
    </row>
    <row r="650" spans="2:2" x14ac:dyDescent="0.2">
      <c r="B650" s="60" t="s">
        <v>1320</v>
      </c>
    </row>
    <row r="651" spans="2:2" x14ac:dyDescent="0.2">
      <c r="B651" s="60" t="s">
        <v>2000</v>
      </c>
    </row>
    <row r="652" spans="2:2" x14ac:dyDescent="0.2">
      <c r="B652" s="60" t="s">
        <v>2001</v>
      </c>
    </row>
    <row r="653" spans="2:2" x14ac:dyDescent="0.2">
      <c r="B653" s="60" t="s">
        <v>1321</v>
      </c>
    </row>
    <row r="654" spans="2:2" x14ac:dyDescent="0.2">
      <c r="B654" s="60" t="s">
        <v>1322</v>
      </c>
    </row>
    <row r="655" spans="2:2" x14ac:dyDescent="0.2">
      <c r="B655" s="60" t="s">
        <v>2002</v>
      </c>
    </row>
    <row r="656" spans="2:2" x14ac:dyDescent="0.2">
      <c r="B656" s="60" t="s">
        <v>2003</v>
      </c>
    </row>
    <row r="657" spans="2:2" x14ac:dyDescent="0.2">
      <c r="B657" s="60" t="s">
        <v>2004</v>
      </c>
    </row>
    <row r="658" spans="2:2" x14ac:dyDescent="0.2">
      <c r="B658" s="60" t="s">
        <v>2005</v>
      </c>
    </row>
    <row r="659" spans="2:2" x14ac:dyDescent="0.2">
      <c r="B659" s="60" t="s">
        <v>2006</v>
      </c>
    </row>
    <row r="660" spans="2:2" x14ac:dyDescent="0.2">
      <c r="B660" s="60" t="s">
        <v>2007</v>
      </c>
    </row>
    <row r="661" spans="2:2" x14ac:dyDescent="0.2">
      <c r="B661" s="60" t="s">
        <v>2008</v>
      </c>
    </row>
    <row r="662" spans="2:2" x14ac:dyDescent="0.2">
      <c r="B662" s="60" t="s">
        <v>2009</v>
      </c>
    </row>
    <row r="663" spans="2:2" x14ac:dyDescent="0.2">
      <c r="B663" s="60" t="s">
        <v>2010</v>
      </c>
    </row>
    <row r="664" spans="2:2" x14ac:dyDescent="0.2">
      <c r="B664" s="60" t="s">
        <v>2011</v>
      </c>
    </row>
    <row r="665" spans="2:2" x14ac:dyDescent="0.2">
      <c r="B665" s="60" t="s">
        <v>2012</v>
      </c>
    </row>
    <row r="666" spans="2:2" x14ac:dyDescent="0.2">
      <c r="B666" s="60" t="s">
        <v>2013</v>
      </c>
    </row>
    <row r="667" spans="2:2" x14ac:dyDescent="0.2">
      <c r="B667" s="60" t="s">
        <v>2014</v>
      </c>
    </row>
    <row r="668" spans="2:2" x14ac:dyDescent="0.2">
      <c r="B668" s="60" t="s">
        <v>2015</v>
      </c>
    </row>
    <row r="669" spans="2:2" x14ac:dyDescent="0.2">
      <c r="B669" s="60" t="s">
        <v>1330</v>
      </c>
    </row>
    <row r="670" spans="2:2" x14ac:dyDescent="0.2">
      <c r="B670" s="60" t="s">
        <v>1713</v>
      </c>
    </row>
    <row r="671" spans="2:2" x14ac:dyDescent="0.2">
      <c r="B671" s="60" t="s">
        <v>2016</v>
      </c>
    </row>
    <row r="672" spans="2:2" x14ac:dyDescent="0.2">
      <c r="B672" s="60" t="s">
        <v>1748</v>
      </c>
    </row>
    <row r="673" spans="2:2" x14ac:dyDescent="0.2">
      <c r="B673" s="60" t="s">
        <v>2017</v>
      </c>
    </row>
    <row r="674" spans="2:2" x14ac:dyDescent="0.2">
      <c r="B674" s="60" t="s">
        <v>2018</v>
      </c>
    </row>
    <row r="675" spans="2:2" x14ac:dyDescent="0.2">
      <c r="B675" s="60" t="s">
        <v>2019</v>
      </c>
    </row>
    <row r="676" spans="2:2" x14ac:dyDescent="0.2">
      <c r="B676" s="60" t="s">
        <v>1323</v>
      </c>
    </row>
    <row r="677" spans="2:2" x14ac:dyDescent="0.2">
      <c r="B677" s="60" t="s">
        <v>1324</v>
      </c>
    </row>
    <row r="678" spans="2:2" x14ac:dyDescent="0.2">
      <c r="B678" s="60" t="s">
        <v>2020</v>
      </c>
    </row>
    <row r="679" spans="2:2" x14ac:dyDescent="0.2">
      <c r="B679" s="60" t="s">
        <v>2021</v>
      </c>
    </row>
    <row r="680" spans="2:2" x14ac:dyDescent="0.2">
      <c r="B680" s="60" t="s">
        <v>2022</v>
      </c>
    </row>
    <row r="681" spans="2:2" x14ac:dyDescent="0.2">
      <c r="B681" s="60" t="s">
        <v>2023</v>
      </c>
    </row>
    <row r="682" spans="2:2" x14ac:dyDescent="0.2">
      <c r="B682" s="60" t="s">
        <v>2024</v>
      </c>
    </row>
    <row r="683" spans="2:2" x14ac:dyDescent="0.2">
      <c r="B683" s="60" t="s">
        <v>1325</v>
      </c>
    </row>
    <row r="684" spans="2:2" x14ac:dyDescent="0.2">
      <c r="B684" s="60" t="s">
        <v>1326</v>
      </c>
    </row>
    <row r="685" spans="2:2" x14ac:dyDescent="0.2">
      <c r="B685" s="60" t="s">
        <v>1327</v>
      </c>
    </row>
    <row r="686" spans="2:2" x14ac:dyDescent="0.2">
      <c r="B686" s="60" t="s">
        <v>1328</v>
      </c>
    </row>
    <row r="687" spans="2:2" x14ac:dyDescent="0.2">
      <c r="B687"/>
    </row>
    <row r="688" spans="2:2" x14ac:dyDescent="0.2">
      <c r="B688" s="60" t="s">
        <v>1333</v>
      </c>
    </row>
    <row r="691" spans="1:2" x14ac:dyDescent="0.2">
      <c r="A691" s="120">
        <v>250707</v>
      </c>
      <c r="B691" s="60" t="s">
        <v>2025</v>
      </c>
    </row>
    <row r="692" spans="1:2" x14ac:dyDescent="0.2">
      <c r="B692"/>
    </row>
    <row r="693" spans="1:2" x14ac:dyDescent="0.2">
      <c r="B693" s="60" t="s">
        <v>2026</v>
      </c>
    </row>
    <row r="694" spans="1:2" x14ac:dyDescent="0.2">
      <c r="B694" s="60" t="s">
        <v>1319</v>
      </c>
    </row>
    <row r="695" spans="1:2" x14ac:dyDescent="0.2">
      <c r="B695" s="60" t="s">
        <v>2027</v>
      </c>
    </row>
    <row r="696" spans="1:2" x14ac:dyDescent="0.2">
      <c r="B696" s="60" t="s">
        <v>2028</v>
      </c>
    </row>
    <row r="697" spans="1:2" x14ac:dyDescent="0.2">
      <c r="B697" s="60" t="s">
        <v>2029</v>
      </c>
    </row>
    <row r="698" spans="1:2" x14ac:dyDescent="0.2">
      <c r="B698" s="60" t="s">
        <v>2030</v>
      </c>
    </row>
    <row r="699" spans="1:2" x14ac:dyDescent="0.2">
      <c r="B699" s="60" t="s">
        <v>2031</v>
      </c>
    </row>
    <row r="700" spans="1:2" x14ac:dyDescent="0.2">
      <c r="B700" s="60" t="s">
        <v>1320</v>
      </c>
    </row>
    <row r="701" spans="1:2" x14ac:dyDescent="0.2">
      <c r="B701" s="60" t="s">
        <v>1320</v>
      </c>
    </row>
    <row r="702" spans="1:2" x14ac:dyDescent="0.2">
      <c r="B702" s="69" t="s">
        <v>1696</v>
      </c>
    </row>
    <row r="703" spans="1:2" x14ac:dyDescent="0.2">
      <c r="B703" s="60" t="s">
        <v>1320</v>
      </c>
    </row>
    <row r="704" spans="1:2" x14ac:dyDescent="0.2">
      <c r="B704" s="60" t="s">
        <v>2032</v>
      </c>
    </row>
    <row r="705" spans="2:2" x14ac:dyDescent="0.2">
      <c r="B705" s="60" t="s">
        <v>2033</v>
      </c>
    </row>
    <row r="706" spans="2:2" x14ac:dyDescent="0.2">
      <c r="B706" s="60" t="s">
        <v>1321</v>
      </c>
    </row>
    <row r="707" spans="2:2" x14ac:dyDescent="0.2">
      <c r="B707" s="60" t="s">
        <v>1322</v>
      </c>
    </row>
    <row r="708" spans="2:2" x14ac:dyDescent="0.2">
      <c r="B708" s="60" t="s">
        <v>2034</v>
      </c>
    </row>
    <row r="709" spans="2:2" x14ac:dyDescent="0.2">
      <c r="B709" s="60" t="s">
        <v>2035</v>
      </c>
    </row>
    <row r="710" spans="2:2" x14ac:dyDescent="0.2">
      <c r="B710" s="60" t="s">
        <v>2036</v>
      </c>
    </row>
    <row r="711" spans="2:2" x14ac:dyDescent="0.2">
      <c r="B711" s="60" t="s">
        <v>2037</v>
      </c>
    </row>
    <row r="712" spans="2:2" x14ac:dyDescent="0.2">
      <c r="B712" s="60" t="s">
        <v>2038</v>
      </c>
    </row>
    <row r="713" spans="2:2" x14ac:dyDescent="0.2">
      <c r="B713" s="60" t="s">
        <v>2039</v>
      </c>
    </row>
    <row r="714" spans="2:2" x14ac:dyDescent="0.2">
      <c r="B714" s="60" t="s">
        <v>2040</v>
      </c>
    </row>
    <row r="715" spans="2:2" x14ac:dyDescent="0.2">
      <c r="B715" s="60" t="s">
        <v>2041</v>
      </c>
    </row>
    <row r="716" spans="2:2" x14ac:dyDescent="0.2">
      <c r="B716" s="60" t="s">
        <v>2042</v>
      </c>
    </row>
    <row r="717" spans="2:2" x14ac:dyDescent="0.2">
      <c r="B717" s="60" t="s">
        <v>2043</v>
      </c>
    </row>
    <row r="718" spans="2:2" x14ac:dyDescent="0.2">
      <c r="B718" s="60" t="s">
        <v>2044</v>
      </c>
    </row>
    <row r="719" spans="2:2" x14ac:dyDescent="0.2">
      <c r="B719" s="60" t="s">
        <v>2045</v>
      </c>
    </row>
    <row r="720" spans="2:2" x14ac:dyDescent="0.2">
      <c r="B720" s="60" t="s">
        <v>2046</v>
      </c>
    </row>
    <row r="721" spans="2:2" x14ac:dyDescent="0.2">
      <c r="B721" s="60" t="s">
        <v>2047</v>
      </c>
    </row>
    <row r="722" spans="2:2" x14ac:dyDescent="0.2">
      <c r="B722" s="60" t="s">
        <v>2048</v>
      </c>
    </row>
    <row r="723" spans="2:2" x14ac:dyDescent="0.2">
      <c r="B723" s="60" t="s">
        <v>1713</v>
      </c>
    </row>
    <row r="724" spans="2:2" x14ac:dyDescent="0.2">
      <c r="B724" s="60" t="s">
        <v>2049</v>
      </c>
    </row>
    <row r="725" spans="2:2" x14ac:dyDescent="0.2">
      <c r="B725" s="60" t="s">
        <v>2050</v>
      </c>
    </row>
    <row r="726" spans="2:2" x14ac:dyDescent="0.2">
      <c r="B726" s="60" t="s">
        <v>2051</v>
      </c>
    </row>
    <row r="727" spans="2:2" x14ac:dyDescent="0.2">
      <c r="B727" s="60" t="s">
        <v>2052</v>
      </c>
    </row>
    <row r="728" spans="2:2" x14ac:dyDescent="0.2">
      <c r="B728" s="60" t="s">
        <v>2053</v>
      </c>
    </row>
    <row r="729" spans="2:2" x14ac:dyDescent="0.2">
      <c r="B729" s="60" t="s">
        <v>1323</v>
      </c>
    </row>
    <row r="730" spans="2:2" x14ac:dyDescent="0.2">
      <c r="B730" s="60" t="s">
        <v>1324</v>
      </c>
    </row>
    <row r="731" spans="2:2" x14ac:dyDescent="0.2">
      <c r="B731" s="60" t="s">
        <v>2054</v>
      </c>
    </row>
    <row r="732" spans="2:2" x14ac:dyDescent="0.2">
      <c r="B732" s="60" t="s">
        <v>2055</v>
      </c>
    </row>
    <row r="733" spans="2:2" x14ac:dyDescent="0.2">
      <c r="B733" s="60" t="s">
        <v>2056</v>
      </c>
    </row>
    <row r="734" spans="2:2" x14ac:dyDescent="0.2">
      <c r="B734" s="60" t="s">
        <v>2057</v>
      </c>
    </row>
    <row r="735" spans="2:2" x14ac:dyDescent="0.2">
      <c r="B735" s="60" t="s">
        <v>2058</v>
      </c>
    </row>
    <row r="736" spans="2:2" x14ac:dyDescent="0.2">
      <c r="B736" s="60" t="s">
        <v>1325</v>
      </c>
    </row>
    <row r="737" spans="2:2" x14ac:dyDescent="0.2">
      <c r="B737" s="60" t="s">
        <v>1326</v>
      </c>
    </row>
    <row r="738" spans="2:2" x14ac:dyDescent="0.2">
      <c r="B738" s="60" t="s">
        <v>1327</v>
      </c>
    </row>
    <row r="739" spans="2:2" x14ac:dyDescent="0.2">
      <c r="B739" s="60" t="s">
        <v>1328</v>
      </c>
    </row>
    <row r="740" spans="2:2" x14ac:dyDescent="0.2">
      <c r="B740"/>
    </row>
    <row r="741" spans="2:2" x14ac:dyDescent="0.2">
      <c r="B741" s="60" t="s">
        <v>1333</v>
      </c>
    </row>
  </sheetData>
  <phoneticPr fontId="2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03B72-0EB2-DB45-94B1-F23226FA8A24}">
  <sheetPr codeName="Sheet11"/>
  <dimension ref="A1:CY223"/>
  <sheetViews>
    <sheetView topLeftCell="CH1" zoomScale="82" zoomScaleNormal="50" workbookViewId="0">
      <pane ySplit="4" topLeftCell="A44" activePane="bottomLeft" state="frozen"/>
      <selection pane="bottomLeft" activeCell="A93" sqref="A93"/>
    </sheetView>
  </sheetViews>
  <sheetFormatPr baseColWidth="10" defaultRowHeight="16" outlineLevelRow="1" outlineLevelCol="2" x14ac:dyDescent="0.2"/>
  <cols>
    <col min="5" max="5" width="11.83203125" customWidth="1"/>
    <col min="6" max="6" width="10.83203125" hidden="1" customWidth="1" outlineLevel="1"/>
    <col min="7" max="7" width="10.83203125" style="114" hidden="1" customWidth="1" outlineLevel="2"/>
    <col min="8" max="8" width="10.83203125" style="122" hidden="1" customWidth="1" outlineLevel="1" collapsed="1"/>
    <col min="9" max="9" width="10.83203125" style="122" hidden="1" customWidth="1" outlineLevel="2"/>
    <col min="10" max="12" width="10.83203125" style="123" hidden="1" customWidth="1" outlineLevel="2"/>
    <col min="13" max="13" width="10.83203125" style="124" hidden="1" customWidth="1" outlineLevel="1" collapsed="1"/>
    <col min="14" max="16" width="10.83203125" style="124" hidden="1" customWidth="1" outlineLevel="2"/>
    <col min="17" max="17" width="10.83203125" style="122" hidden="1" customWidth="1" outlineLevel="1" collapsed="1"/>
    <col min="18" max="18" width="10.83203125" style="122" hidden="1" customWidth="1" outlineLevel="2"/>
    <col min="19" max="19" width="10.83203125" style="124" hidden="1" customWidth="1" outlineLevel="1" collapsed="1"/>
    <col min="20" max="25" width="10.83203125" style="124" hidden="1" customWidth="1" outlineLevel="2"/>
    <col min="26" max="26" width="10.83203125" style="122" hidden="1" customWidth="1" outlineLevel="1" collapsed="1"/>
    <col min="27" max="27" width="10.83203125" style="122" hidden="1" customWidth="1" outlineLevel="2"/>
    <col min="28" max="28" width="10.83203125" style="122" hidden="1" customWidth="1" outlineLevel="1" collapsed="1"/>
    <col min="29" max="29" width="10.83203125" style="125" hidden="1" customWidth="1" outlineLevel="1"/>
    <col min="30" max="30" width="10.83203125" style="125" hidden="1" customWidth="1" outlineLevel="2"/>
    <col min="31" max="31" width="10.83203125" style="125" hidden="1" customWidth="1" outlineLevel="1" collapsed="1"/>
    <col min="32" max="32" width="10.83203125" style="124" hidden="1" customWidth="1" outlineLevel="2"/>
    <col min="33" max="33" width="10.83203125" style="124" hidden="1" customWidth="1" outlineLevel="1" collapsed="1"/>
    <col min="34" max="34" width="5.83203125" style="124" customWidth="1" collapsed="1"/>
    <col min="35" max="37" width="5.83203125" style="124" customWidth="1"/>
    <col min="38" max="38" width="10.83203125" style="122" hidden="1" customWidth="1" outlineLevel="1"/>
    <col min="39" max="39" width="10.83203125" style="122" hidden="1" customWidth="1" outlineLevel="1" collapsed="1"/>
    <col min="40" max="41" width="10.83203125" style="122" hidden="1" customWidth="1" outlineLevel="2"/>
    <col min="42" max="42" width="10.83203125" style="122" hidden="1" customWidth="1" outlineLevel="2" collapsed="1"/>
    <col min="43" max="43" width="10.83203125" style="122" hidden="1" customWidth="1" outlineLevel="1" collapsed="1"/>
    <col min="44" max="44" width="5.83203125" style="122" customWidth="1" collapsed="1"/>
    <col min="45" max="45" width="5.83203125" style="148" customWidth="1"/>
    <col min="46" max="46" width="5.83203125" style="118" customWidth="1"/>
    <col min="47" max="47" width="10.83203125" style="122" hidden="1" customWidth="1" outlineLevel="1"/>
    <col min="48" max="50" width="10.83203125" style="124" hidden="1" customWidth="1" outlineLevel="2"/>
    <col min="51" max="51" width="10.83203125" style="122" hidden="1" customWidth="1" outlineLevel="1" collapsed="1"/>
    <col min="52" max="53" width="10.83203125" style="122" hidden="1" customWidth="1" outlineLevel="2"/>
    <col min="54" max="54" width="10.83203125" style="118" hidden="1" customWidth="1" outlineLevel="2"/>
    <col min="55" max="55" width="10.83203125" style="154" hidden="1" customWidth="1" outlineLevel="2"/>
    <col min="56" max="56" width="10.83203125" style="122" hidden="1" customWidth="1" outlineLevel="1" collapsed="1"/>
    <col min="57" max="57" width="10.83203125" style="122" hidden="1" customWidth="1" outlineLevel="2"/>
    <col min="58" max="58" width="10.83203125" style="122" hidden="1" customWidth="1" outlineLevel="1" collapsed="1"/>
    <col min="59" max="60" width="10.83203125" style="122" hidden="1" customWidth="1" outlineLevel="2"/>
    <col min="61" max="61" width="10.83203125" style="154" hidden="1" customWidth="1" outlineLevel="1" collapsed="1"/>
    <col min="62" max="62" width="10.83203125" style="122" hidden="1" customWidth="1" outlineLevel="1"/>
    <col min="63" max="63" width="10.83203125" style="155" hidden="1" customWidth="1" outlineLevel="2"/>
    <col min="64" max="64" width="10.83203125" style="122" hidden="1" customWidth="1" outlineLevel="1" collapsed="1"/>
    <col min="65" max="65" width="10.83203125" style="154" hidden="1" customWidth="1" outlineLevel="2"/>
    <col min="66" max="66" width="10.83203125" style="122" hidden="1" customWidth="1" outlineLevel="1" collapsed="1"/>
    <col min="67" max="67" width="10.83203125" style="154" hidden="1" customWidth="1" outlineLevel="1"/>
    <col min="68" max="69" width="10.83203125" style="162" hidden="1" customWidth="1" outlineLevel="1"/>
    <col min="70" max="70" width="13.83203125" customWidth="1" collapsed="1"/>
    <col min="71" max="72" width="10.83203125" style="166"/>
    <col min="73" max="73" width="10.83203125" style="99"/>
    <col min="80" max="80" width="10.83203125" style="83"/>
    <col min="84" max="84" width="10.83203125" style="106"/>
    <col min="96" max="103" width="10.83203125" customWidth="1" outlineLevel="1"/>
  </cols>
  <sheetData>
    <row r="1" spans="1:103" x14ac:dyDescent="0.2">
      <c r="AF1" s="125"/>
      <c r="AG1" s="125"/>
      <c r="AR1" s="118"/>
      <c r="AS1" s="122"/>
      <c r="AT1" s="148"/>
      <c r="BP1" s="154"/>
      <c r="BV1" s="99"/>
    </row>
    <row r="2" spans="1:103" x14ac:dyDescent="0.2">
      <c r="B2" s="69" t="s">
        <v>1335</v>
      </c>
      <c r="C2" t="s">
        <v>1560</v>
      </c>
      <c r="D2" t="s">
        <v>1560</v>
      </c>
      <c r="E2" t="s">
        <v>1560</v>
      </c>
      <c r="F2" s="97" t="s">
        <v>1495</v>
      </c>
      <c r="G2" s="121" t="s">
        <v>1555</v>
      </c>
      <c r="H2" s="123" t="s">
        <v>1555</v>
      </c>
      <c r="I2" s="123" t="s">
        <v>1555</v>
      </c>
      <c r="J2" s="123" t="s">
        <v>1555</v>
      </c>
      <c r="K2" s="123" t="s">
        <v>1555</v>
      </c>
      <c r="L2" s="123" t="s">
        <v>1555</v>
      </c>
      <c r="M2" s="125" t="s">
        <v>1483</v>
      </c>
      <c r="N2" s="125" t="s">
        <v>1483</v>
      </c>
      <c r="O2" s="125" t="s">
        <v>1483</v>
      </c>
      <c r="P2" s="125" t="s">
        <v>1483</v>
      </c>
      <c r="Q2" s="122" t="s">
        <v>1555</v>
      </c>
      <c r="R2" s="122" t="s">
        <v>1555</v>
      </c>
      <c r="S2" s="124" t="s">
        <v>1483</v>
      </c>
      <c r="T2" s="126" t="s">
        <v>1483</v>
      </c>
      <c r="U2" s="126" t="s">
        <v>1483</v>
      </c>
      <c r="V2" s="126" t="s">
        <v>1483</v>
      </c>
      <c r="W2" s="126" t="s">
        <v>1483</v>
      </c>
      <c r="X2" s="126" t="s">
        <v>1483</v>
      </c>
      <c r="Y2" s="126" t="s">
        <v>1483</v>
      </c>
      <c r="Z2" s="122" t="s">
        <v>1555</v>
      </c>
      <c r="AA2" s="122" t="s">
        <v>1555</v>
      </c>
      <c r="AB2" s="122" t="s">
        <v>1555</v>
      </c>
      <c r="AC2" s="126" t="s">
        <v>1483</v>
      </c>
      <c r="AD2" s="126" t="s">
        <v>1483</v>
      </c>
      <c r="AE2" s="126" t="s">
        <v>1483</v>
      </c>
      <c r="AF2" s="126" t="s">
        <v>1483</v>
      </c>
      <c r="AG2" s="126" t="s">
        <v>1483</v>
      </c>
      <c r="AH2" s="126" t="s">
        <v>1483</v>
      </c>
      <c r="AI2" s="126" t="s">
        <v>1483</v>
      </c>
      <c r="AJ2" s="126" t="s">
        <v>1483</v>
      </c>
      <c r="AK2" s="126" t="s">
        <v>1483</v>
      </c>
      <c r="AL2" s="122" t="s">
        <v>1555</v>
      </c>
      <c r="AM2" s="122" t="s">
        <v>1555</v>
      </c>
      <c r="AN2" s="122" t="s">
        <v>1555</v>
      </c>
      <c r="AO2" s="122" t="s">
        <v>1555</v>
      </c>
      <c r="AP2" s="122" t="s">
        <v>1555</v>
      </c>
      <c r="AQ2" s="122" t="s">
        <v>1555</v>
      </c>
      <c r="AR2" s="126" t="s">
        <v>1483</v>
      </c>
      <c r="AS2" s="126" t="s">
        <v>1483</v>
      </c>
      <c r="AT2" s="126" t="s">
        <v>1483</v>
      </c>
      <c r="AU2" s="122" t="s">
        <v>1555</v>
      </c>
      <c r="AV2" s="126" t="s">
        <v>1483</v>
      </c>
      <c r="AW2" s="126" t="s">
        <v>1483</v>
      </c>
      <c r="AX2" s="126" t="s">
        <v>1483</v>
      </c>
      <c r="AY2" s="122" t="s">
        <v>1555</v>
      </c>
      <c r="AZ2" s="122" t="s">
        <v>1555</v>
      </c>
      <c r="BA2" s="122" t="s">
        <v>1555</v>
      </c>
      <c r="BB2" s="126" t="s">
        <v>1483</v>
      </c>
      <c r="BC2" s="126" t="s">
        <v>1483</v>
      </c>
      <c r="BD2" s="122" t="s">
        <v>1555</v>
      </c>
      <c r="BE2" s="122" t="s">
        <v>1555</v>
      </c>
      <c r="BF2" s="122" t="s">
        <v>1555</v>
      </c>
      <c r="BG2" s="122" t="s">
        <v>1555</v>
      </c>
      <c r="BH2" s="122" t="s">
        <v>1555</v>
      </c>
      <c r="BI2" s="154" t="s">
        <v>1501</v>
      </c>
      <c r="BJ2" s="122" t="s">
        <v>1501</v>
      </c>
      <c r="BK2" s="154" t="s">
        <v>1501</v>
      </c>
      <c r="BL2" s="122" t="s">
        <v>1501</v>
      </c>
      <c r="BM2" s="154" t="s">
        <v>1501</v>
      </c>
      <c r="BN2" s="122" t="s">
        <v>1501</v>
      </c>
      <c r="BO2" s="154" t="s">
        <v>1501</v>
      </c>
      <c r="BP2" s="154" t="s">
        <v>1501</v>
      </c>
      <c r="BQ2" s="154" t="s">
        <v>1501</v>
      </c>
      <c r="BR2" s="166" t="s">
        <v>1585</v>
      </c>
      <c r="BS2" s="166" t="s">
        <v>1585</v>
      </c>
      <c r="BT2" s="166" t="s">
        <v>1585</v>
      </c>
      <c r="BU2" s="115" t="s">
        <v>1585</v>
      </c>
      <c r="BV2" s="115" t="s">
        <v>1585</v>
      </c>
      <c r="BW2" s="115" t="s">
        <v>1585</v>
      </c>
      <c r="BX2" s="115" t="s">
        <v>1585</v>
      </c>
      <c r="BY2" s="115" t="s">
        <v>1585</v>
      </c>
      <c r="BZ2" s="115" t="s">
        <v>1585</v>
      </c>
      <c r="CA2" s="115" t="s">
        <v>1585</v>
      </c>
      <c r="CB2" s="96" t="s">
        <v>1585</v>
      </c>
      <c r="CC2" s="115" t="s">
        <v>1585</v>
      </c>
      <c r="CD2" s="115" t="s">
        <v>1585</v>
      </c>
      <c r="CE2" s="115" t="s">
        <v>1585</v>
      </c>
      <c r="CF2" s="166" t="s">
        <v>1585</v>
      </c>
      <c r="CG2" s="115" t="s">
        <v>1585</v>
      </c>
      <c r="CH2" s="115" t="s">
        <v>1585</v>
      </c>
      <c r="CI2" s="115" t="s">
        <v>1585</v>
      </c>
      <c r="CJ2" s="115" t="s">
        <v>1585</v>
      </c>
      <c r="CK2" s="115" t="s">
        <v>1585</v>
      </c>
      <c r="CL2" s="115" t="s">
        <v>1585</v>
      </c>
      <c r="CM2" s="115" t="s">
        <v>1585</v>
      </c>
      <c r="CN2" s="115" t="s">
        <v>1585</v>
      </c>
      <c r="CO2" s="115" t="s">
        <v>1585</v>
      </c>
      <c r="CP2" s="115" t="s">
        <v>1585</v>
      </c>
      <c r="CR2" s="115" t="s">
        <v>1890</v>
      </c>
      <c r="CS2" s="115" t="s">
        <v>1585</v>
      </c>
      <c r="CT2" s="115" t="s">
        <v>1585</v>
      </c>
      <c r="CU2" s="115" t="s">
        <v>1585</v>
      </c>
      <c r="CV2" s="115" t="s">
        <v>1890</v>
      </c>
      <c r="CW2" s="115" t="s">
        <v>1585</v>
      </c>
      <c r="CX2" s="115" t="s">
        <v>1585</v>
      </c>
      <c r="CY2" s="115" t="s">
        <v>1585</v>
      </c>
    </row>
    <row r="3" spans="1:103" x14ac:dyDescent="0.2">
      <c r="B3" s="69" t="s">
        <v>1561</v>
      </c>
      <c r="C3" s="57" t="s">
        <v>1386</v>
      </c>
      <c r="D3" s="57" t="s">
        <v>1183</v>
      </c>
      <c r="E3" s="57" t="s">
        <v>1388</v>
      </c>
      <c r="F3" s="97" t="s">
        <v>1554</v>
      </c>
      <c r="G3" s="98" t="s">
        <v>1557</v>
      </c>
      <c r="H3" s="123" t="s">
        <v>1570</v>
      </c>
      <c r="I3" s="123" t="s">
        <v>1575</v>
      </c>
      <c r="J3" s="123" t="s">
        <v>1609</v>
      </c>
      <c r="K3" s="123" t="s">
        <v>1610</v>
      </c>
      <c r="L3" s="123" t="s">
        <v>1611</v>
      </c>
      <c r="M3" s="125" t="s">
        <v>1861</v>
      </c>
      <c r="N3" s="125" t="s">
        <v>1492</v>
      </c>
      <c r="O3" s="125" t="s">
        <v>1562</v>
      </c>
      <c r="P3" s="125" t="s">
        <v>1559</v>
      </c>
      <c r="Q3" s="122" t="s">
        <v>1570</v>
      </c>
      <c r="R3" s="122" t="s">
        <v>1575</v>
      </c>
      <c r="S3" s="124" t="s">
        <v>1861</v>
      </c>
      <c r="T3" s="126" t="s">
        <v>1492</v>
      </c>
      <c r="U3" s="124" t="s">
        <v>1862</v>
      </c>
      <c r="V3" s="126" t="s">
        <v>1493</v>
      </c>
      <c r="W3" s="126" t="s">
        <v>1494</v>
      </c>
      <c r="X3" s="124" t="s">
        <v>1863</v>
      </c>
      <c r="Y3" s="124" t="s">
        <v>1864</v>
      </c>
      <c r="Z3" s="122" t="s">
        <v>1570</v>
      </c>
      <c r="AA3" s="122" t="s">
        <v>1575</v>
      </c>
      <c r="AB3" s="122" t="s">
        <v>1577</v>
      </c>
      <c r="AC3" s="126" t="s">
        <v>1484</v>
      </c>
      <c r="AD3" s="126" t="s">
        <v>1484</v>
      </c>
      <c r="AE3" s="126" t="s">
        <v>1558</v>
      </c>
      <c r="AF3" s="126" t="s">
        <v>1558</v>
      </c>
      <c r="AG3" s="126" t="s">
        <v>1861</v>
      </c>
      <c r="AH3" s="126" t="s">
        <v>1492</v>
      </c>
      <c r="AI3" s="126" t="s">
        <v>1492</v>
      </c>
      <c r="AJ3" s="126" t="s">
        <v>1492</v>
      </c>
      <c r="AK3" s="126" t="s">
        <v>1492</v>
      </c>
      <c r="AL3" s="122" t="s">
        <v>1570</v>
      </c>
      <c r="AM3" s="122" t="s">
        <v>1570</v>
      </c>
      <c r="AN3" s="127" t="s">
        <v>1568</v>
      </c>
      <c r="AO3" s="127" t="s">
        <v>1855</v>
      </c>
      <c r="AP3" s="122" t="s">
        <v>1868</v>
      </c>
      <c r="AQ3" s="127" t="s">
        <v>1569</v>
      </c>
      <c r="AR3" s="126" t="s">
        <v>1563</v>
      </c>
      <c r="AS3" s="126" t="s">
        <v>1564</v>
      </c>
      <c r="AT3" s="126" t="s">
        <v>1565</v>
      </c>
      <c r="AU3" s="122" t="s">
        <v>1570</v>
      </c>
      <c r="AV3" s="126" t="s">
        <v>1498</v>
      </c>
      <c r="AW3" s="126" t="s">
        <v>1499</v>
      </c>
      <c r="AX3" s="126" t="s">
        <v>1500</v>
      </c>
      <c r="AY3" s="122" t="s">
        <v>1570</v>
      </c>
      <c r="AZ3" s="122" t="s">
        <v>1575</v>
      </c>
      <c r="BA3" s="122" t="s">
        <v>1856</v>
      </c>
      <c r="BB3" s="126" t="s">
        <v>1566</v>
      </c>
      <c r="BC3" s="126" t="s">
        <v>1567</v>
      </c>
      <c r="BD3" s="122" t="s">
        <v>1570</v>
      </c>
      <c r="BE3" s="122" t="s">
        <v>1575</v>
      </c>
      <c r="BF3" s="122" t="s">
        <v>1857</v>
      </c>
      <c r="BG3" s="122" t="s">
        <v>1858</v>
      </c>
      <c r="BH3" s="122" t="s">
        <v>1860</v>
      </c>
      <c r="BI3" s="156" t="s">
        <v>1859</v>
      </c>
      <c r="BJ3" s="127" t="s">
        <v>1875</v>
      </c>
      <c r="BK3" s="156" t="s">
        <v>1875</v>
      </c>
      <c r="BL3" s="127" t="s">
        <v>1877</v>
      </c>
      <c r="BM3" s="156" t="s">
        <v>1877</v>
      </c>
      <c r="BN3" s="127" t="s">
        <v>1878</v>
      </c>
      <c r="BO3" s="156" t="s">
        <v>1878</v>
      </c>
      <c r="BP3" s="156" t="s">
        <v>1878</v>
      </c>
      <c r="BQ3" s="156" t="s">
        <v>1878</v>
      </c>
      <c r="BR3" s="166"/>
      <c r="BU3"/>
      <c r="BV3" s="66"/>
      <c r="BW3" s="66"/>
      <c r="BX3" s="92"/>
      <c r="BY3" s="99"/>
      <c r="BZ3" s="92"/>
      <c r="CA3" s="66"/>
      <c r="CB3" s="96"/>
      <c r="CC3" s="85" t="s">
        <v>1405</v>
      </c>
      <c r="CD3" s="66"/>
      <c r="CE3" s="92"/>
      <c r="CF3" s="173" t="s">
        <v>1885</v>
      </c>
      <c r="CG3" s="85" t="s">
        <v>1882</v>
      </c>
      <c r="CH3" s="85" t="s">
        <v>1883</v>
      </c>
      <c r="CI3" s="84" t="s">
        <v>1881</v>
      </c>
      <c r="CJ3" s="84" t="s">
        <v>1882</v>
      </c>
      <c r="CK3" s="84" t="s">
        <v>1883</v>
      </c>
      <c r="CL3" s="92"/>
      <c r="CM3" s="66"/>
      <c r="CN3" s="66"/>
      <c r="CO3" s="106"/>
      <c r="CP3" s="105"/>
      <c r="CR3" s="66" t="s">
        <v>1893</v>
      </c>
      <c r="CS3" s="165" t="s">
        <v>1894</v>
      </c>
      <c r="CT3" s="165" t="s">
        <v>1894</v>
      </c>
      <c r="CU3" s="165" t="s">
        <v>1894</v>
      </c>
      <c r="CV3" s="66" t="s">
        <v>186</v>
      </c>
      <c r="CW3" s="165" t="s">
        <v>1891</v>
      </c>
      <c r="CX3" s="165" t="s">
        <v>1891</v>
      </c>
      <c r="CY3" s="165" t="s">
        <v>1891</v>
      </c>
    </row>
    <row r="4" spans="1:103" x14ac:dyDescent="0.2">
      <c r="B4" s="69"/>
      <c r="C4" s="57"/>
      <c r="D4" s="57"/>
      <c r="E4" s="57"/>
      <c r="F4" s="97"/>
      <c r="G4" s="121"/>
      <c r="H4" s="123" t="s">
        <v>1571</v>
      </c>
      <c r="I4" s="123" t="s">
        <v>1571</v>
      </c>
      <c r="J4" s="123" t="s">
        <v>1571</v>
      </c>
      <c r="K4" s="123" t="s">
        <v>1571</v>
      </c>
      <c r="L4" s="123" t="s">
        <v>1571</v>
      </c>
      <c r="M4" s="125" t="s">
        <v>1571</v>
      </c>
      <c r="N4" s="125" t="s">
        <v>1571</v>
      </c>
      <c r="O4" s="125" t="s">
        <v>1571</v>
      </c>
      <c r="P4" s="125" t="s">
        <v>1571</v>
      </c>
      <c r="Q4" s="122" t="s">
        <v>134</v>
      </c>
      <c r="R4" s="122" t="s">
        <v>134</v>
      </c>
      <c r="S4" s="124" t="s">
        <v>134</v>
      </c>
      <c r="T4" s="124" t="s">
        <v>134</v>
      </c>
      <c r="U4" s="124" t="s">
        <v>134</v>
      </c>
      <c r="V4" s="124" t="s">
        <v>134</v>
      </c>
      <c r="W4" s="124" t="s">
        <v>134</v>
      </c>
      <c r="X4" s="124" t="s">
        <v>134</v>
      </c>
      <c r="Y4" s="124" t="s">
        <v>134</v>
      </c>
      <c r="Z4" s="122" t="s">
        <v>1572</v>
      </c>
      <c r="AA4" s="122" t="s">
        <v>1572</v>
      </c>
      <c r="AB4" s="122" t="s">
        <v>1572</v>
      </c>
      <c r="AC4" s="126" t="s">
        <v>1861</v>
      </c>
      <c r="AD4" s="126" t="s">
        <v>1485</v>
      </c>
      <c r="AE4" s="126" t="s">
        <v>1861</v>
      </c>
      <c r="AF4" s="126" t="s">
        <v>1559</v>
      </c>
      <c r="AG4" s="126" t="s">
        <v>1482</v>
      </c>
      <c r="AH4" s="126" t="s">
        <v>1869</v>
      </c>
      <c r="AI4" s="126" t="s">
        <v>1870</v>
      </c>
      <c r="AJ4" s="126" t="s">
        <v>1871</v>
      </c>
      <c r="AK4" s="126" t="s">
        <v>1872</v>
      </c>
      <c r="AL4" s="122" t="s">
        <v>1573</v>
      </c>
      <c r="AM4" s="122" t="s">
        <v>33</v>
      </c>
      <c r="AN4" s="127" t="s">
        <v>33</v>
      </c>
      <c r="AO4" s="127" t="s">
        <v>33</v>
      </c>
      <c r="AP4" s="122" t="s">
        <v>33</v>
      </c>
      <c r="AQ4" s="127" t="s">
        <v>33</v>
      </c>
      <c r="AR4" s="126" t="s">
        <v>33</v>
      </c>
      <c r="AS4" s="126" t="s">
        <v>33</v>
      </c>
      <c r="AT4" s="126" t="s">
        <v>33</v>
      </c>
      <c r="AU4" s="122" t="s">
        <v>1574</v>
      </c>
      <c r="AV4" s="126" t="s">
        <v>1574</v>
      </c>
      <c r="AW4" s="126" t="s">
        <v>1574</v>
      </c>
      <c r="AX4" s="126" t="s">
        <v>1574</v>
      </c>
      <c r="AY4" s="122" t="s">
        <v>139</v>
      </c>
      <c r="AZ4" s="122" t="s">
        <v>139</v>
      </c>
      <c r="BA4" s="122" t="s">
        <v>139</v>
      </c>
      <c r="BB4" s="126" t="s">
        <v>139</v>
      </c>
      <c r="BC4" s="126" t="s">
        <v>139</v>
      </c>
      <c r="BD4" s="122" t="s">
        <v>147</v>
      </c>
      <c r="BE4" s="122" t="s">
        <v>147</v>
      </c>
      <c r="BF4" s="122" t="s">
        <v>1859</v>
      </c>
      <c r="BG4" s="122" t="s">
        <v>1859</v>
      </c>
      <c r="BH4" s="122" t="s">
        <v>1859</v>
      </c>
      <c r="BI4" s="156" t="s">
        <v>1874</v>
      </c>
      <c r="BJ4" s="127" t="s">
        <v>1876</v>
      </c>
      <c r="BK4" s="156" t="s">
        <v>1462</v>
      </c>
      <c r="BL4" s="127" t="s">
        <v>1876</v>
      </c>
      <c r="BM4" s="156" t="s">
        <v>1575</v>
      </c>
      <c r="BN4" s="127" t="s">
        <v>1876</v>
      </c>
      <c r="BO4" s="156" t="s">
        <v>1575</v>
      </c>
      <c r="BP4" s="156" t="s">
        <v>1879</v>
      </c>
      <c r="BQ4" s="156" t="s">
        <v>1880</v>
      </c>
      <c r="BR4" s="167" t="s">
        <v>1889</v>
      </c>
      <c r="BS4" s="167" t="s">
        <v>33</v>
      </c>
      <c r="BT4" s="167" t="s">
        <v>139</v>
      </c>
      <c r="BU4" s="85" t="s">
        <v>1403</v>
      </c>
      <c r="BV4" s="85" t="s">
        <v>1338</v>
      </c>
      <c r="BW4" s="85" t="s">
        <v>1465</v>
      </c>
      <c r="BX4" s="100" t="s">
        <v>1466</v>
      </c>
      <c r="BY4" s="85" t="s">
        <v>1459</v>
      </c>
      <c r="BZ4" s="86" t="s">
        <v>1460</v>
      </c>
      <c r="CA4" s="85" t="s">
        <v>1340</v>
      </c>
      <c r="CB4" s="95" t="s">
        <v>1341</v>
      </c>
      <c r="CC4" s="85" t="s">
        <v>1152</v>
      </c>
      <c r="CD4" s="85" t="s">
        <v>1154</v>
      </c>
      <c r="CE4" s="85" t="s">
        <v>1156</v>
      </c>
      <c r="CF4" s="107" t="s">
        <v>1462</v>
      </c>
      <c r="CG4" s="85" t="s">
        <v>1462</v>
      </c>
      <c r="CH4" s="85" t="s">
        <v>1462</v>
      </c>
      <c r="CI4" s="84" t="s">
        <v>1884</v>
      </c>
      <c r="CJ4" s="84" t="s">
        <v>1884</v>
      </c>
      <c r="CK4" s="84" t="s">
        <v>1884</v>
      </c>
      <c r="CL4" s="85" t="s">
        <v>1464</v>
      </c>
      <c r="CM4" s="84" t="s">
        <v>1481</v>
      </c>
      <c r="CN4" s="85" t="s">
        <v>1404</v>
      </c>
      <c r="CO4" s="107" t="s">
        <v>1467</v>
      </c>
      <c r="CP4" s="107" t="s">
        <v>1463</v>
      </c>
      <c r="CR4" s="120">
        <v>12</v>
      </c>
      <c r="CS4" s="84" t="s">
        <v>1895</v>
      </c>
      <c r="CT4" s="85" t="s">
        <v>1404</v>
      </c>
      <c r="CU4" s="107" t="s">
        <v>1463</v>
      </c>
      <c r="CV4" s="120">
        <v>12</v>
      </c>
      <c r="CW4" s="84" t="s">
        <v>1895</v>
      </c>
      <c r="CX4" s="85" t="s">
        <v>1404</v>
      </c>
      <c r="CY4" s="107" t="s">
        <v>1463</v>
      </c>
    </row>
    <row r="5" spans="1:103" s="81" customFormat="1" x14ac:dyDescent="0.2">
      <c r="B5" s="211"/>
      <c r="C5" s="75"/>
      <c r="D5" s="75"/>
      <c r="E5" s="75"/>
      <c r="F5" s="104"/>
      <c r="G5" s="212"/>
      <c r="H5" s="177"/>
      <c r="I5" s="177"/>
      <c r="J5" s="177"/>
      <c r="K5" s="177"/>
      <c r="L5" s="177"/>
      <c r="M5" s="179"/>
      <c r="N5" s="179"/>
      <c r="O5" s="179"/>
      <c r="P5" s="179"/>
      <c r="Q5" s="176"/>
      <c r="R5" s="176"/>
      <c r="S5" s="178"/>
      <c r="T5" s="178"/>
      <c r="U5" s="178"/>
      <c r="V5" s="178"/>
      <c r="W5" s="178"/>
      <c r="X5" s="178"/>
      <c r="Y5" s="178"/>
      <c r="Z5" s="176"/>
      <c r="AA5" s="176"/>
      <c r="AB5" s="176"/>
      <c r="AC5" s="213"/>
      <c r="AD5" s="213"/>
      <c r="AE5" s="213"/>
      <c r="AF5" s="213"/>
      <c r="AG5" s="213"/>
      <c r="AH5" s="213"/>
      <c r="AI5" s="213"/>
      <c r="AJ5" s="213"/>
      <c r="AK5" s="213"/>
      <c r="AL5" s="176"/>
      <c r="AM5" s="176"/>
      <c r="AN5" s="142"/>
      <c r="AO5" s="142"/>
      <c r="AP5" s="176"/>
      <c r="AQ5" s="142"/>
      <c r="AR5" s="213"/>
      <c r="AS5" s="213"/>
      <c r="AT5" s="213"/>
      <c r="AU5" s="176"/>
      <c r="AV5" s="213"/>
      <c r="AW5" s="213"/>
      <c r="AX5" s="213"/>
      <c r="AY5" s="176"/>
      <c r="AZ5" s="176"/>
      <c r="BA5" s="176"/>
      <c r="BB5" s="213"/>
      <c r="BC5" s="213"/>
      <c r="BD5" s="176"/>
      <c r="BE5" s="176"/>
      <c r="BF5" s="176"/>
      <c r="BG5" s="176"/>
      <c r="BH5" s="176"/>
      <c r="BI5" s="214"/>
      <c r="BJ5" s="142"/>
      <c r="BK5" s="214"/>
      <c r="BL5" s="142"/>
      <c r="BM5" s="214"/>
      <c r="BN5" s="142"/>
      <c r="BO5" s="214"/>
      <c r="BP5" s="214"/>
      <c r="BQ5" s="214"/>
      <c r="BR5" s="215"/>
      <c r="BS5" s="215"/>
      <c r="BT5" s="215"/>
      <c r="BU5" s="216"/>
      <c r="BV5" s="216"/>
      <c r="BW5" s="216"/>
      <c r="BX5" s="217"/>
      <c r="BY5" s="216"/>
      <c r="BZ5" s="218"/>
      <c r="CA5" s="216"/>
      <c r="CB5" s="219"/>
      <c r="CC5" s="216"/>
      <c r="CD5" s="216"/>
      <c r="CE5" s="216"/>
      <c r="CF5" s="220"/>
      <c r="CG5" s="216"/>
      <c r="CH5" s="216"/>
      <c r="CI5" s="221"/>
      <c r="CJ5" s="221"/>
      <c r="CK5" s="221"/>
      <c r="CL5" s="216"/>
      <c r="CM5" s="221"/>
      <c r="CN5" s="216"/>
      <c r="CO5" s="220"/>
      <c r="CP5" s="220"/>
      <c r="CS5" s="221"/>
      <c r="CT5" s="216"/>
      <c r="CU5" s="220"/>
      <c r="CW5" s="221"/>
      <c r="CX5" s="216"/>
      <c r="CY5" s="220"/>
    </row>
    <row r="6" spans="1:103" x14ac:dyDescent="0.2">
      <c r="A6" s="120">
        <v>250706</v>
      </c>
      <c r="B6" s="72" t="s">
        <v>1905</v>
      </c>
      <c r="C6" s="57" t="s">
        <v>1387</v>
      </c>
      <c r="D6" s="57" t="s">
        <v>1886</v>
      </c>
      <c r="E6" s="65" t="s">
        <v>1441</v>
      </c>
      <c r="F6" s="57" t="s">
        <v>1454</v>
      </c>
      <c r="G6" s="62" t="s">
        <v>1556</v>
      </c>
      <c r="H6" s="129" t="b">
        <v>0</v>
      </c>
      <c r="J6" s="123" t="s">
        <v>1866</v>
      </c>
      <c r="K6" s="123" t="s">
        <v>1866</v>
      </c>
      <c r="L6" s="123" t="s">
        <v>1866</v>
      </c>
      <c r="M6" s="137" t="b">
        <v>0</v>
      </c>
      <c r="Q6" s="128" t="b">
        <v>1</v>
      </c>
      <c r="R6" s="127" t="s">
        <v>1559</v>
      </c>
      <c r="S6" s="135" t="b">
        <v>1</v>
      </c>
      <c r="T6" s="126">
        <v>13</v>
      </c>
      <c r="U6" s="124">
        <v>1.4999999999999999E-2</v>
      </c>
      <c r="V6" s="126">
        <v>75</v>
      </c>
      <c r="W6" s="126">
        <v>-75</v>
      </c>
      <c r="X6" s="124">
        <v>50</v>
      </c>
      <c r="Y6" s="124">
        <v>5</v>
      </c>
      <c r="Z6" s="128" t="b">
        <v>1</v>
      </c>
      <c r="AA6" s="127" t="s">
        <v>1867</v>
      </c>
      <c r="AB6" s="133">
        <v>2</v>
      </c>
      <c r="AC6" s="137" t="b">
        <v>0</v>
      </c>
      <c r="AE6" s="137" t="b">
        <v>0</v>
      </c>
      <c r="AG6" s="135" t="b">
        <v>1</v>
      </c>
      <c r="AH6" s="125">
        <v>5</v>
      </c>
      <c r="AI6" s="125">
        <v>13</v>
      </c>
      <c r="AJ6" s="125">
        <v>34</v>
      </c>
      <c r="AK6" s="125">
        <v>89</v>
      </c>
      <c r="AL6" s="129" t="b">
        <v>0</v>
      </c>
      <c r="AM6" s="128" t="b">
        <v>1</v>
      </c>
      <c r="AN6" s="131" t="s">
        <v>1469</v>
      </c>
      <c r="AO6" s="141">
        <v>1.0000000000000001E-5</v>
      </c>
      <c r="AP6" s="128" t="b">
        <v>1</v>
      </c>
      <c r="AQ6" s="141">
        <v>1.0000000000000001E-5</v>
      </c>
      <c r="AR6" s="126">
        <v>5</v>
      </c>
      <c r="AS6" s="126">
        <v>8</v>
      </c>
      <c r="AT6" s="126">
        <v>5</v>
      </c>
      <c r="AU6" s="128" t="b">
        <v>1</v>
      </c>
      <c r="AV6" s="124">
        <v>3</v>
      </c>
      <c r="AW6" s="146">
        <v>5</v>
      </c>
      <c r="AX6" s="124">
        <v>1</v>
      </c>
      <c r="AY6" s="128" t="b">
        <v>1</v>
      </c>
      <c r="AZ6" s="122" t="s">
        <v>1586</v>
      </c>
      <c r="BA6" s="122">
        <v>4</v>
      </c>
      <c r="BB6" s="126">
        <v>0.05</v>
      </c>
      <c r="BC6" s="126">
        <v>0.5</v>
      </c>
      <c r="BD6" s="129" t="b">
        <v>0</v>
      </c>
      <c r="BE6" s="122" t="s">
        <v>1873</v>
      </c>
      <c r="BF6" s="128" t="b">
        <v>1</v>
      </c>
      <c r="BG6" s="122" t="s">
        <v>1578</v>
      </c>
      <c r="BH6" s="133">
        <v>0.02</v>
      </c>
      <c r="BI6" s="156" t="s">
        <v>403</v>
      </c>
      <c r="BJ6" s="128" t="b">
        <v>1</v>
      </c>
      <c r="BK6" s="161">
        <v>1.5</v>
      </c>
      <c r="BL6" s="129" t="b">
        <v>0</v>
      </c>
      <c r="BM6" s="156" t="s">
        <v>412</v>
      </c>
      <c r="BN6" s="128" t="b">
        <v>1</v>
      </c>
      <c r="BO6" s="156" t="s">
        <v>1382</v>
      </c>
      <c r="BP6" s="157">
        <v>1</v>
      </c>
      <c r="BQ6" s="157">
        <v>0.5</v>
      </c>
      <c r="BR6" s="166" t="str">
        <f t="shared" ref="BR6:BR10" si="0">AH6&amp;"/ "&amp;AI6&amp;"/ "&amp;AJ6&amp;"/ "&amp;AK6</f>
        <v>5/ 13/ 34/ 89</v>
      </c>
      <c r="BS6" s="166" t="str">
        <f>AR6&amp;" / "&amp;AS6&amp;" / "&amp;AT6</f>
        <v>5 / 8 / 5</v>
      </c>
      <c r="BT6" s="166" t="str">
        <f>BB6&amp;" / "&amp;BC6</f>
        <v>0.05 / 0.5</v>
      </c>
      <c r="BU6" s="66">
        <v>404</v>
      </c>
      <c r="BV6" s="66">
        <v>226</v>
      </c>
      <c r="BW6" s="66">
        <v>196</v>
      </c>
      <c r="BX6" s="99">
        <f>BV6-BW6</f>
        <v>30</v>
      </c>
      <c r="BY6" s="66">
        <v>44</v>
      </c>
      <c r="BZ6" s="92">
        <f>BU6-SUM(BW6:BY6)</f>
        <v>134</v>
      </c>
      <c r="CA6" s="204">
        <f>IF(BU6=0,0,BV6/BU6)</f>
        <v>0.55940594059405946</v>
      </c>
      <c r="CB6" s="205">
        <f>IF(BU6=0,0,BY6/BU6)</f>
        <v>0.10891089108910891</v>
      </c>
      <c r="CC6" s="87">
        <v>3.98</v>
      </c>
      <c r="CD6" s="87">
        <v>18.559999999999999</v>
      </c>
      <c r="CE6" s="87">
        <v>0.38</v>
      </c>
      <c r="CF6" s="170">
        <f>BK6</f>
        <v>1.5</v>
      </c>
      <c r="CG6" s="87">
        <v>0.64</v>
      </c>
      <c r="CH6" s="87">
        <v>0.51</v>
      </c>
      <c r="CI6" s="93">
        <v>1806.3</v>
      </c>
      <c r="CJ6" s="87">
        <v>7.99</v>
      </c>
      <c r="CK6" s="87">
        <v>6.9</v>
      </c>
      <c r="CL6" s="87">
        <v>-3.96</v>
      </c>
      <c r="CM6" s="165">
        <v>1000</v>
      </c>
      <c r="CN6" s="102">
        <v>7498.22</v>
      </c>
      <c r="CO6" s="110">
        <f>CM6+CN6</f>
        <v>8498.2200000000012</v>
      </c>
      <c r="CP6" s="110">
        <f>CN6/10</f>
        <v>749.822</v>
      </c>
      <c r="CS6" s="80">
        <f>CI6</f>
        <v>1806.3</v>
      </c>
      <c r="CT6" s="80">
        <f>CN6</f>
        <v>7498.22</v>
      </c>
      <c r="CU6" s="80">
        <f>CP6</f>
        <v>749.822</v>
      </c>
      <c r="CV6" s="82">
        <f>CV$4</f>
        <v>12</v>
      </c>
      <c r="CW6" s="80">
        <f>CI6*CV6</f>
        <v>21675.599999999999</v>
      </c>
      <c r="CX6" s="80">
        <f>CN6*CV6</f>
        <v>89978.64</v>
      </c>
      <c r="CY6" s="80">
        <f>CX6/10</f>
        <v>8997.8639999999996</v>
      </c>
    </row>
    <row r="7" spans="1:103" outlineLevel="1" x14ac:dyDescent="0.2">
      <c r="A7" s="120"/>
      <c r="B7" s="72"/>
      <c r="C7" s="57" t="s">
        <v>1627</v>
      </c>
      <c r="D7" s="57" t="s">
        <v>1886</v>
      </c>
      <c r="E7" s="65" t="s">
        <v>1441</v>
      </c>
      <c r="F7" s="57" t="s">
        <v>1454</v>
      </c>
      <c r="G7" s="62" t="s">
        <v>1556</v>
      </c>
      <c r="H7" s="129" t="b">
        <v>0</v>
      </c>
      <c r="J7" s="123" t="s">
        <v>1866</v>
      </c>
      <c r="K7" s="123" t="s">
        <v>1866</v>
      </c>
      <c r="L7" s="123" t="s">
        <v>1866</v>
      </c>
      <c r="M7" s="137" t="b">
        <v>0</v>
      </c>
      <c r="Q7" s="128" t="b">
        <v>1</v>
      </c>
      <c r="R7" s="127" t="s">
        <v>1559</v>
      </c>
      <c r="S7" s="135" t="b">
        <v>1</v>
      </c>
      <c r="T7" s="126">
        <v>13</v>
      </c>
      <c r="U7" s="124">
        <v>1.4999999999999999E-2</v>
      </c>
      <c r="V7" s="126">
        <v>75</v>
      </c>
      <c r="W7" s="126">
        <v>-75</v>
      </c>
      <c r="X7" s="124">
        <v>50</v>
      </c>
      <c r="Y7" s="124">
        <v>5</v>
      </c>
      <c r="Z7" s="128" t="b">
        <v>1</v>
      </c>
      <c r="AA7" s="127" t="s">
        <v>1867</v>
      </c>
      <c r="AB7" s="133">
        <v>2</v>
      </c>
      <c r="AC7" s="137" t="b">
        <v>0</v>
      </c>
      <c r="AE7" s="137" t="b">
        <v>0</v>
      </c>
      <c r="AG7" s="135" t="b">
        <v>1</v>
      </c>
      <c r="AH7" s="125">
        <v>5</v>
      </c>
      <c r="AI7" s="125">
        <v>13</v>
      </c>
      <c r="AJ7" s="125">
        <v>34</v>
      </c>
      <c r="AK7" s="125">
        <v>89</v>
      </c>
      <c r="AL7" s="129" t="b">
        <v>0</v>
      </c>
      <c r="AM7" s="128" t="b">
        <v>1</v>
      </c>
      <c r="AN7" s="131" t="s">
        <v>1469</v>
      </c>
      <c r="AO7" s="141">
        <v>1.0000000000000001E-5</v>
      </c>
      <c r="AP7" s="128" t="b">
        <v>1</v>
      </c>
      <c r="AQ7" s="141">
        <v>1.0000000000000001E-5</v>
      </c>
      <c r="AR7" s="126">
        <v>5</v>
      </c>
      <c r="AS7" s="126">
        <v>8</v>
      </c>
      <c r="AT7" s="126">
        <v>5</v>
      </c>
      <c r="AU7" s="128" t="b">
        <v>1</v>
      </c>
      <c r="AV7" s="124">
        <v>3</v>
      </c>
      <c r="AW7" s="146">
        <v>5</v>
      </c>
      <c r="AX7" s="124">
        <v>1</v>
      </c>
      <c r="AY7" s="128" t="b">
        <v>1</v>
      </c>
      <c r="AZ7" s="122" t="s">
        <v>1586</v>
      </c>
      <c r="BA7" s="122">
        <v>4</v>
      </c>
      <c r="BB7" s="126">
        <v>0.05</v>
      </c>
      <c r="BC7" s="126">
        <v>0.5</v>
      </c>
      <c r="BD7" s="129" t="b">
        <v>0</v>
      </c>
      <c r="BE7" s="122" t="s">
        <v>1873</v>
      </c>
      <c r="BF7" s="128" t="b">
        <v>1</v>
      </c>
      <c r="BG7" s="122" t="s">
        <v>1578</v>
      </c>
      <c r="BH7" s="133">
        <v>0.02</v>
      </c>
      <c r="BI7" s="156" t="s">
        <v>403</v>
      </c>
      <c r="BJ7" s="128" t="b">
        <v>1</v>
      </c>
      <c r="BK7" s="161">
        <v>1.5</v>
      </c>
      <c r="BL7" s="129" t="b">
        <v>0</v>
      </c>
      <c r="BM7" s="156" t="s">
        <v>412</v>
      </c>
      <c r="BN7" s="128" t="b">
        <v>1</v>
      </c>
      <c r="BO7" s="156" t="s">
        <v>1382</v>
      </c>
      <c r="BP7" s="157">
        <v>1</v>
      </c>
      <c r="BQ7" s="157">
        <v>0.5</v>
      </c>
      <c r="BR7" s="166" t="str">
        <f t="shared" si="0"/>
        <v>5/ 13/ 34/ 89</v>
      </c>
      <c r="BS7" s="166" t="str">
        <f>AR7&amp;" / "&amp;AS7&amp;" / "&amp;AT7</f>
        <v>5 / 8 / 5</v>
      </c>
      <c r="BT7" s="166" t="str">
        <f>BB7&amp;" / "&amp;BC7</f>
        <v>0.05 / 0.5</v>
      </c>
      <c r="BU7" s="66">
        <v>406</v>
      </c>
      <c r="BV7" s="66">
        <v>245</v>
      </c>
      <c r="BW7" s="66">
        <v>197</v>
      </c>
      <c r="BX7" s="99">
        <f>BV7-BW7</f>
        <v>48</v>
      </c>
      <c r="BY7" s="66">
        <v>41</v>
      </c>
      <c r="BZ7" s="92">
        <f>BU7-SUM(BW7:BY7)</f>
        <v>120</v>
      </c>
      <c r="CA7" s="204">
        <f t="shared" ref="CA7:CA10" si="1">IF(BU7=0,0,BV7/BU7)</f>
        <v>0.60344827586206895</v>
      </c>
      <c r="CB7" s="205">
        <f t="shared" ref="CB7:CB10" si="2">IF(BU7=0,0,BY7/BU7)</f>
        <v>0.10098522167487685</v>
      </c>
      <c r="CC7" s="87">
        <v>5.05</v>
      </c>
      <c r="CD7" s="87">
        <v>27.13</v>
      </c>
      <c r="CE7" s="87">
        <v>0.44</v>
      </c>
      <c r="CF7" s="170">
        <f>BK7</f>
        <v>1.5</v>
      </c>
      <c r="CG7" s="87">
        <v>0.67</v>
      </c>
      <c r="CH7" s="87">
        <v>0.52</v>
      </c>
      <c r="CI7" s="93">
        <v>1844.2</v>
      </c>
      <c r="CJ7" s="87">
        <v>7.53</v>
      </c>
      <c r="CK7" s="87">
        <v>6.48</v>
      </c>
      <c r="CL7" s="87">
        <v>-4.22</v>
      </c>
      <c r="CM7" s="165">
        <v>1000</v>
      </c>
      <c r="CN7" s="103">
        <v>11013.47</v>
      </c>
      <c r="CO7" s="112">
        <f>CM7+CN7</f>
        <v>12013.47</v>
      </c>
      <c r="CP7" s="112">
        <f>CN7/10</f>
        <v>1101.347</v>
      </c>
      <c r="CS7" s="174">
        <f t="shared" ref="CS7:CS10" si="3">CI7</f>
        <v>1844.2</v>
      </c>
      <c r="CT7" s="174">
        <f t="shared" ref="CT7:CT10" si="4">CN7</f>
        <v>11013.47</v>
      </c>
      <c r="CU7" s="174">
        <f t="shared" ref="CU7:CU10" si="5">CP7</f>
        <v>1101.347</v>
      </c>
      <c r="CV7" s="82">
        <f>CV$4</f>
        <v>12</v>
      </c>
      <c r="CW7" s="174">
        <f>CI7*CV7</f>
        <v>22130.400000000001</v>
      </c>
      <c r="CX7" s="174">
        <f>CN7*CV7</f>
        <v>132161.63999999998</v>
      </c>
      <c r="CY7" s="174">
        <f t="shared" ref="CY7:CY10" si="6">CX7/10</f>
        <v>13216.163999999999</v>
      </c>
    </row>
    <row r="8" spans="1:103" outlineLevel="1" x14ac:dyDescent="0.2">
      <c r="A8" s="120"/>
      <c r="B8" s="72"/>
      <c r="C8" s="57" t="s">
        <v>1635</v>
      </c>
      <c r="D8" s="57" t="s">
        <v>1886</v>
      </c>
      <c r="E8" s="65" t="s">
        <v>1441</v>
      </c>
      <c r="F8" s="57" t="s">
        <v>1454</v>
      </c>
      <c r="G8" s="62" t="s">
        <v>1556</v>
      </c>
      <c r="H8" s="129" t="b">
        <v>0</v>
      </c>
      <c r="J8" s="123" t="s">
        <v>1866</v>
      </c>
      <c r="K8" s="123" t="s">
        <v>1866</v>
      </c>
      <c r="L8" s="123" t="s">
        <v>1866</v>
      </c>
      <c r="M8" s="137" t="b">
        <v>0</v>
      </c>
      <c r="Q8" s="128" t="b">
        <v>1</v>
      </c>
      <c r="R8" s="127" t="s">
        <v>1559</v>
      </c>
      <c r="S8" s="135" t="b">
        <v>1</v>
      </c>
      <c r="T8" s="126">
        <v>13</v>
      </c>
      <c r="U8" s="124">
        <v>1.4999999999999999E-2</v>
      </c>
      <c r="V8" s="126">
        <v>75</v>
      </c>
      <c r="W8" s="126">
        <v>-75</v>
      </c>
      <c r="X8" s="124">
        <v>50</v>
      </c>
      <c r="Y8" s="124">
        <v>5</v>
      </c>
      <c r="Z8" s="128" t="b">
        <v>1</v>
      </c>
      <c r="AA8" s="127" t="s">
        <v>1867</v>
      </c>
      <c r="AB8" s="133">
        <v>2</v>
      </c>
      <c r="AC8" s="137" t="b">
        <v>0</v>
      </c>
      <c r="AE8" s="137" t="b">
        <v>0</v>
      </c>
      <c r="AG8" s="135" t="b">
        <v>1</v>
      </c>
      <c r="AH8" s="125">
        <v>5</v>
      </c>
      <c r="AI8" s="125">
        <v>13</v>
      </c>
      <c r="AJ8" s="125">
        <v>34</v>
      </c>
      <c r="AK8" s="125">
        <v>89</v>
      </c>
      <c r="AL8" s="129" t="b">
        <v>0</v>
      </c>
      <c r="AM8" s="128" t="b">
        <v>1</v>
      </c>
      <c r="AN8" s="131" t="s">
        <v>1469</v>
      </c>
      <c r="AO8" s="141">
        <v>1.0000000000000001E-5</v>
      </c>
      <c r="AP8" s="128" t="b">
        <v>1</v>
      </c>
      <c r="AQ8" s="141">
        <v>1.0000000000000001E-5</v>
      </c>
      <c r="AR8" s="126">
        <v>5</v>
      </c>
      <c r="AS8" s="126">
        <v>8</v>
      </c>
      <c r="AT8" s="126">
        <v>5</v>
      </c>
      <c r="AU8" s="128" t="b">
        <v>1</v>
      </c>
      <c r="AV8" s="124">
        <v>3</v>
      </c>
      <c r="AW8" s="146">
        <v>5</v>
      </c>
      <c r="AX8" s="124">
        <v>1</v>
      </c>
      <c r="AY8" s="128" t="b">
        <v>1</v>
      </c>
      <c r="AZ8" s="122" t="s">
        <v>1586</v>
      </c>
      <c r="BA8" s="122">
        <v>4</v>
      </c>
      <c r="BB8" s="126">
        <v>0.05</v>
      </c>
      <c r="BC8" s="126">
        <v>0.5</v>
      </c>
      <c r="BD8" s="129" t="b">
        <v>0</v>
      </c>
      <c r="BE8" s="122" t="s">
        <v>1873</v>
      </c>
      <c r="BF8" s="128" t="b">
        <v>1</v>
      </c>
      <c r="BG8" s="122" t="s">
        <v>1578</v>
      </c>
      <c r="BH8" s="133">
        <v>0.02</v>
      </c>
      <c r="BI8" s="156" t="s">
        <v>403</v>
      </c>
      <c r="BJ8" s="128" t="b">
        <v>1</v>
      </c>
      <c r="BK8" s="161">
        <v>1.5</v>
      </c>
      <c r="BL8" s="129" t="b">
        <v>0</v>
      </c>
      <c r="BM8" s="156" t="s">
        <v>412</v>
      </c>
      <c r="BN8" s="128" t="b">
        <v>1</v>
      </c>
      <c r="BO8" s="156" t="s">
        <v>1382</v>
      </c>
      <c r="BP8" s="157">
        <v>1</v>
      </c>
      <c r="BQ8" s="157">
        <v>0.5</v>
      </c>
      <c r="BR8" s="166" t="str">
        <f t="shared" si="0"/>
        <v>5/ 13/ 34/ 89</v>
      </c>
      <c r="BS8" s="166" t="str">
        <f>AR8&amp;" / "&amp;AS8&amp;" / "&amp;AT8</f>
        <v>5 / 8 / 5</v>
      </c>
      <c r="BT8" s="166" t="str">
        <f>BB8&amp;" / "&amp;BC8</f>
        <v>0.05 / 0.5</v>
      </c>
      <c r="BU8" s="66">
        <v>228</v>
      </c>
      <c r="BV8" s="66">
        <v>130</v>
      </c>
      <c r="BW8" s="66">
        <v>117</v>
      </c>
      <c r="BX8" s="99">
        <f>BV8-BW8</f>
        <v>13</v>
      </c>
      <c r="BY8" s="66">
        <v>13</v>
      </c>
      <c r="BZ8" s="92">
        <f>BU8-SUM(BW8:BY8)</f>
        <v>85</v>
      </c>
      <c r="CA8" s="204">
        <f t="shared" si="1"/>
        <v>0.57017543859649122</v>
      </c>
      <c r="CB8" s="205">
        <f t="shared" si="2"/>
        <v>5.701754385964912E-2</v>
      </c>
      <c r="CC8" s="87">
        <v>6.56</v>
      </c>
      <c r="CD8" s="87">
        <v>11.03</v>
      </c>
      <c r="CE8" s="87">
        <v>0.49</v>
      </c>
      <c r="CF8" s="170">
        <f>BK8</f>
        <v>1.5</v>
      </c>
      <c r="CG8" s="87">
        <v>0.56999999999999995</v>
      </c>
      <c r="CH8" s="87">
        <v>0.47</v>
      </c>
      <c r="CI8" s="93">
        <v>594.70000000000005</v>
      </c>
      <c r="CJ8" s="87">
        <v>4.57</v>
      </c>
      <c r="CK8" s="87">
        <v>4.7300000000000004</v>
      </c>
      <c r="CL8" s="87">
        <v>-4</v>
      </c>
      <c r="CM8" s="165">
        <v>1000</v>
      </c>
      <c r="CN8" s="93">
        <v>2514.08</v>
      </c>
      <c r="CO8" s="108">
        <f>CM8+CN8</f>
        <v>3514.08</v>
      </c>
      <c r="CP8" s="108">
        <f>CN8/10</f>
        <v>251.40799999999999</v>
      </c>
      <c r="CS8" s="80">
        <f t="shared" si="3"/>
        <v>594.70000000000005</v>
      </c>
      <c r="CT8" s="80">
        <f t="shared" si="4"/>
        <v>2514.08</v>
      </c>
      <c r="CU8" s="80">
        <f t="shared" si="5"/>
        <v>251.40799999999999</v>
      </c>
      <c r="CV8" s="82">
        <f>CV$4</f>
        <v>12</v>
      </c>
      <c r="CW8" s="80">
        <f>CI8*CV8</f>
        <v>7136.4000000000005</v>
      </c>
      <c r="CX8" s="80">
        <f>CN8*CV8</f>
        <v>30168.959999999999</v>
      </c>
      <c r="CY8" s="80">
        <f t="shared" si="6"/>
        <v>3016.8959999999997</v>
      </c>
    </row>
    <row r="9" spans="1:103" outlineLevel="1" x14ac:dyDescent="0.2">
      <c r="A9" s="120"/>
      <c r="B9" s="72"/>
      <c r="C9" s="57" t="s">
        <v>1629</v>
      </c>
      <c r="D9" s="57" t="s">
        <v>1886</v>
      </c>
      <c r="E9" s="65" t="s">
        <v>1441</v>
      </c>
      <c r="F9" s="57" t="s">
        <v>1454</v>
      </c>
      <c r="G9" s="62" t="s">
        <v>1556</v>
      </c>
      <c r="H9" s="129" t="b">
        <v>0</v>
      </c>
      <c r="J9" s="123" t="s">
        <v>1866</v>
      </c>
      <c r="K9" s="123" t="s">
        <v>1866</v>
      </c>
      <c r="L9" s="123" t="s">
        <v>1866</v>
      </c>
      <c r="M9" s="137" t="b">
        <v>0</v>
      </c>
      <c r="Q9" s="128" t="b">
        <v>1</v>
      </c>
      <c r="R9" s="127" t="s">
        <v>1559</v>
      </c>
      <c r="S9" s="135" t="b">
        <v>1</v>
      </c>
      <c r="T9" s="126">
        <v>13</v>
      </c>
      <c r="U9" s="124">
        <v>1.4999999999999999E-2</v>
      </c>
      <c r="V9" s="126">
        <v>75</v>
      </c>
      <c r="W9" s="126">
        <v>-75</v>
      </c>
      <c r="X9" s="124">
        <v>50</v>
      </c>
      <c r="Y9" s="124">
        <v>5</v>
      </c>
      <c r="Z9" s="128" t="b">
        <v>1</v>
      </c>
      <c r="AA9" s="127" t="s">
        <v>1867</v>
      </c>
      <c r="AB9" s="133">
        <v>2</v>
      </c>
      <c r="AC9" s="137" t="b">
        <v>0</v>
      </c>
      <c r="AE9" s="137" t="b">
        <v>0</v>
      </c>
      <c r="AG9" s="135" t="b">
        <v>1</v>
      </c>
      <c r="AH9" s="125">
        <v>5</v>
      </c>
      <c r="AI9" s="125">
        <v>13</v>
      </c>
      <c r="AJ9" s="125">
        <v>34</v>
      </c>
      <c r="AK9" s="125">
        <v>89</v>
      </c>
      <c r="AL9" s="129" t="b">
        <v>0</v>
      </c>
      <c r="AM9" s="128" t="b">
        <v>1</v>
      </c>
      <c r="AN9" s="131" t="s">
        <v>1469</v>
      </c>
      <c r="AO9" s="141">
        <v>1.0000000000000001E-5</v>
      </c>
      <c r="AP9" s="128" t="b">
        <v>1</v>
      </c>
      <c r="AQ9" s="141">
        <v>1.0000000000000001E-5</v>
      </c>
      <c r="AR9" s="126">
        <v>5</v>
      </c>
      <c r="AS9" s="126">
        <v>8</v>
      </c>
      <c r="AT9" s="126">
        <v>5</v>
      </c>
      <c r="AU9" s="128" t="b">
        <v>1</v>
      </c>
      <c r="AV9" s="124">
        <v>3</v>
      </c>
      <c r="AW9" s="146">
        <v>5</v>
      </c>
      <c r="AX9" s="124">
        <v>1</v>
      </c>
      <c r="AY9" s="128" t="b">
        <v>1</v>
      </c>
      <c r="AZ9" s="122" t="s">
        <v>1586</v>
      </c>
      <c r="BA9" s="122">
        <v>4</v>
      </c>
      <c r="BB9" s="126">
        <v>0.05</v>
      </c>
      <c r="BC9" s="126">
        <v>0.5</v>
      </c>
      <c r="BD9" s="129" t="b">
        <v>0</v>
      </c>
      <c r="BE9" s="122" t="s">
        <v>1873</v>
      </c>
      <c r="BF9" s="128" t="b">
        <v>1</v>
      </c>
      <c r="BG9" s="122" t="s">
        <v>1578</v>
      </c>
      <c r="BH9" s="133">
        <v>0.02</v>
      </c>
      <c r="BI9" s="156" t="s">
        <v>403</v>
      </c>
      <c r="BJ9" s="128" t="b">
        <v>1</v>
      </c>
      <c r="BK9" s="161">
        <v>1.5</v>
      </c>
      <c r="BL9" s="129" t="b">
        <v>0</v>
      </c>
      <c r="BM9" s="156" t="s">
        <v>412</v>
      </c>
      <c r="BN9" s="128" t="b">
        <v>1</v>
      </c>
      <c r="BO9" s="156" t="s">
        <v>1382</v>
      </c>
      <c r="BP9" s="157">
        <v>1</v>
      </c>
      <c r="BQ9" s="157">
        <v>0.5</v>
      </c>
      <c r="BR9" s="166" t="str">
        <f t="shared" si="0"/>
        <v>5/ 13/ 34/ 89</v>
      </c>
      <c r="BS9" s="166" t="str">
        <f>AR9&amp;" / "&amp;AS9&amp;" / "&amp;AT9</f>
        <v>5 / 8 / 5</v>
      </c>
      <c r="BT9" s="166" t="str">
        <f>BB9&amp;" / "&amp;BC9</f>
        <v>0.05 / 0.5</v>
      </c>
      <c r="BU9" s="66">
        <v>233</v>
      </c>
      <c r="BV9" s="66">
        <v>146</v>
      </c>
      <c r="BW9" s="66">
        <v>126</v>
      </c>
      <c r="BX9" s="99">
        <f>BV9-BW9</f>
        <v>20</v>
      </c>
      <c r="BY9" s="66">
        <v>9</v>
      </c>
      <c r="BZ9" s="92">
        <f>BU9-SUM(BW9:BY9)</f>
        <v>78</v>
      </c>
      <c r="CA9" s="204">
        <f t="shared" si="1"/>
        <v>0.62660944206008584</v>
      </c>
      <c r="CB9" s="205">
        <f t="shared" si="2"/>
        <v>3.8626609442060089E-2</v>
      </c>
      <c r="CC9" s="87">
        <v>10.19</v>
      </c>
      <c r="CD9" s="87">
        <v>13.77</v>
      </c>
      <c r="CE9" s="87">
        <v>0.55000000000000004</v>
      </c>
      <c r="CF9" s="170">
        <f>BK9</f>
        <v>1.5</v>
      </c>
      <c r="CG9" s="87">
        <v>0.56000000000000005</v>
      </c>
      <c r="CH9" s="87">
        <v>0.39</v>
      </c>
      <c r="CI9" s="93">
        <v>663.8</v>
      </c>
      <c r="CJ9" s="87">
        <v>4.55</v>
      </c>
      <c r="CK9" s="87">
        <v>3.8</v>
      </c>
      <c r="CL9" s="87">
        <v>-3.95</v>
      </c>
      <c r="CM9" s="165">
        <v>1000</v>
      </c>
      <c r="CN9" s="93">
        <v>3208.22</v>
      </c>
      <c r="CO9" s="108">
        <f>CM9+CN9</f>
        <v>4208.2199999999993</v>
      </c>
      <c r="CP9" s="108">
        <f>CN9/10</f>
        <v>320.822</v>
      </c>
      <c r="CS9" s="80">
        <f t="shared" si="3"/>
        <v>663.8</v>
      </c>
      <c r="CT9" s="80">
        <f t="shared" si="4"/>
        <v>3208.22</v>
      </c>
      <c r="CU9" s="80">
        <f t="shared" si="5"/>
        <v>320.822</v>
      </c>
      <c r="CV9" s="82">
        <f>CV$4</f>
        <v>12</v>
      </c>
      <c r="CW9" s="80">
        <f>CI9*CV9</f>
        <v>7965.5999999999995</v>
      </c>
      <c r="CX9" s="80">
        <f>CN9*CV9</f>
        <v>38498.639999999999</v>
      </c>
      <c r="CY9" s="80">
        <f t="shared" si="6"/>
        <v>3849.864</v>
      </c>
    </row>
    <row r="10" spans="1:103" outlineLevel="1" x14ac:dyDescent="0.2">
      <c r="A10" s="120"/>
      <c r="B10" s="72"/>
      <c r="C10" s="57" t="s">
        <v>1633</v>
      </c>
      <c r="D10" s="57" t="s">
        <v>1886</v>
      </c>
      <c r="E10" s="65" t="s">
        <v>1441</v>
      </c>
      <c r="F10" s="57" t="s">
        <v>1454</v>
      </c>
      <c r="G10" s="62" t="s">
        <v>1556</v>
      </c>
      <c r="H10" s="129" t="b">
        <v>0</v>
      </c>
      <c r="J10" s="123" t="s">
        <v>1866</v>
      </c>
      <c r="K10" s="123" t="s">
        <v>1866</v>
      </c>
      <c r="L10" s="123" t="s">
        <v>1866</v>
      </c>
      <c r="M10" s="137" t="b">
        <v>0</v>
      </c>
      <c r="Q10" s="128" t="b">
        <v>1</v>
      </c>
      <c r="R10" s="127" t="s">
        <v>1559</v>
      </c>
      <c r="S10" s="135" t="b">
        <v>1</v>
      </c>
      <c r="T10" s="126">
        <v>13</v>
      </c>
      <c r="U10" s="124">
        <v>1.4999999999999999E-2</v>
      </c>
      <c r="V10" s="126">
        <v>75</v>
      </c>
      <c r="W10" s="126">
        <v>-75</v>
      </c>
      <c r="X10" s="124">
        <v>50</v>
      </c>
      <c r="Y10" s="124">
        <v>5</v>
      </c>
      <c r="Z10" s="128" t="b">
        <v>1</v>
      </c>
      <c r="AA10" s="127" t="s">
        <v>1867</v>
      </c>
      <c r="AB10" s="133">
        <v>2</v>
      </c>
      <c r="AC10" s="137" t="b">
        <v>0</v>
      </c>
      <c r="AE10" s="137" t="b">
        <v>0</v>
      </c>
      <c r="AG10" s="135" t="b">
        <v>1</v>
      </c>
      <c r="AH10" s="125">
        <v>5</v>
      </c>
      <c r="AI10" s="125">
        <v>13</v>
      </c>
      <c r="AJ10" s="125">
        <v>34</v>
      </c>
      <c r="AK10" s="125">
        <v>89</v>
      </c>
      <c r="AL10" s="129" t="b">
        <v>0</v>
      </c>
      <c r="AM10" s="128" t="b">
        <v>1</v>
      </c>
      <c r="AN10" s="131" t="s">
        <v>1469</v>
      </c>
      <c r="AO10" s="141">
        <v>1.0000000000000001E-5</v>
      </c>
      <c r="AP10" s="128" t="b">
        <v>1</v>
      </c>
      <c r="AQ10" s="141">
        <v>1.0000000000000001E-5</v>
      </c>
      <c r="AR10" s="126">
        <v>5</v>
      </c>
      <c r="AS10" s="126">
        <v>8</v>
      </c>
      <c r="AT10" s="126">
        <v>5</v>
      </c>
      <c r="AU10" s="128" t="b">
        <v>1</v>
      </c>
      <c r="AV10" s="124">
        <v>3</v>
      </c>
      <c r="AW10" s="146">
        <v>5</v>
      </c>
      <c r="AX10" s="124">
        <v>1</v>
      </c>
      <c r="AY10" s="128" t="b">
        <v>1</v>
      </c>
      <c r="AZ10" s="122" t="s">
        <v>1586</v>
      </c>
      <c r="BA10" s="122">
        <v>4</v>
      </c>
      <c r="BB10" s="126">
        <v>0.05</v>
      </c>
      <c r="BC10" s="126">
        <v>0.5</v>
      </c>
      <c r="BD10" s="129" t="b">
        <v>0</v>
      </c>
      <c r="BE10" s="122" t="s">
        <v>1873</v>
      </c>
      <c r="BF10" s="128" t="b">
        <v>1</v>
      </c>
      <c r="BG10" s="122" t="s">
        <v>1578</v>
      </c>
      <c r="BH10" s="133">
        <v>0.02</v>
      </c>
      <c r="BI10" s="156" t="s">
        <v>403</v>
      </c>
      <c r="BJ10" s="128" t="b">
        <v>1</v>
      </c>
      <c r="BK10" s="161">
        <v>1.5</v>
      </c>
      <c r="BL10" s="129" t="b">
        <v>0</v>
      </c>
      <c r="BM10" s="156" t="s">
        <v>412</v>
      </c>
      <c r="BN10" s="128" t="b">
        <v>1</v>
      </c>
      <c r="BO10" s="156" t="s">
        <v>1382</v>
      </c>
      <c r="BP10" s="157">
        <v>1</v>
      </c>
      <c r="BQ10" s="157">
        <v>0.5</v>
      </c>
      <c r="BR10" s="166" t="str">
        <f t="shared" si="0"/>
        <v>5/ 13/ 34/ 89</v>
      </c>
      <c r="BS10" s="166" t="str">
        <f>AR10&amp;" / "&amp;AS10&amp;" / "&amp;AT10</f>
        <v>5 / 8 / 5</v>
      </c>
      <c r="BT10" s="166" t="str">
        <f>BB10&amp;" / "&amp;BC10</f>
        <v>0.05 / 0.5</v>
      </c>
      <c r="BU10" s="66">
        <v>291</v>
      </c>
      <c r="BV10" s="66">
        <v>181</v>
      </c>
      <c r="BW10" s="66">
        <v>164</v>
      </c>
      <c r="BX10" s="99">
        <f>BV10-BW10</f>
        <v>17</v>
      </c>
      <c r="BY10" s="66">
        <v>17</v>
      </c>
      <c r="BZ10" s="92">
        <f>BU10-SUM(BW10:BY10)</f>
        <v>93</v>
      </c>
      <c r="CA10" s="204">
        <f t="shared" si="1"/>
        <v>0.62199312714776633</v>
      </c>
      <c r="CB10" s="205">
        <f t="shared" si="2"/>
        <v>5.8419243986254296E-2</v>
      </c>
      <c r="CC10" s="87">
        <v>6</v>
      </c>
      <c r="CD10" s="87">
        <v>14.04</v>
      </c>
      <c r="CE10" s="87">
        <v>0.48</v>
      </c>
      <c r="CF10" s="170">
        <f>BK10</f>
        <v>1.5</v>
      </c>
      <c r="CG10" s="87">
        <v>0.54</v>
      </c>
      <c r="CH10" s="87">
        <v>0.45</v>
      </c>
      <c r="CI10" s="93">
        <v>923.9</v>
      </c>
      <c r="CJ10" s="87">
        <v>5.0999999999999996</v>
      </c>
      <c r="CK10" s="87">
        <v>4.12</v>
      </c>
      <c r="CL10" s="87">
        <v>-5.43</v>
      </c>
      <c r="CM10" s="165">
        <v>1000</v>
      </c>
      <c r="CN10" s="93">
        <v>4086.3</v>
      </c>
      <c r="CO10" s="108">
        <f>CM10+CN10</f>
        <v>5086.3</v>
      </c>
      <c r="CP10" s="108">
        <f>CN10/10</f>
        <v>408.63</v>
      </c>
      <c r="CS10" s="80">
        <f t="shared" si="3"/>
        <v>923.9</v>
      </c>
      <c r="CT10" s="80">
        <f t="shared" si="4"/>
        <v>4086.3</v>
      </c>
      <c r="CU10" s="80">
        <f t="shared" si="5"/>
        <v>408.63</v>
      </c>
      <c r="CV10" s="82">
        <f>CV$4</f>
        <v>12</v>
      </c>
      <c r="CW10" s="80">
        <f>CI10*CV10</f>
        <v>11086.8</v>
      </c>
      <c r="CX10" s="80">
        <f>CN10*CV10</f>
        <v>49035.600000000006</v>
      </c>
      <c r="CY10" s="80">
        <f t="shared" si="6"/>
        <v>4903.5600000000004</v>
      </c>
    </row>
    <row r="11" spans="1:103" outlineLevel="1" collapsed="1" x14ac:dyDescent="0.2">
      <c r="G11" s="113"/>
      <c r="AE11" s="124"/>
      <c r="AO11" s="127"/>
      <c r="AQ11" s="138"/>
    </row>
    <row r="12" spans="1:103" x14ac:dyDescent="0.2">
      <c r="A12" s="120"/>
      <c r="B12" s="72" t="s">
        <v>1906</v>
      </c>
      <c r="C12" s="57" t="s">
        <v>1387</v>
      </c>
      <c r="D12" s="57" t="s">
        <v>1886</v>
      </c>
      <c r="E12" s="65" t="s">
        <v>1389</v>
      </c>
      <c r="F12" s="57" t="s">
        <v>1454</v>
      </c>
      <c r="G12" s="62" t="s">
        <v>1556</v>
      </c>
      <c r="H12" s="129" t="b">
        <v>0</v>
      </c>
      <c r="J12" s="123" t="s">
        <v>1866</v>
      </c>
      <c r="K12" s="123" t="s">
        <v>1866</v>
      </c>
      <c r="L12" s="123" t="s">
        <v>1866</v>
      </c>
      <c r="M12" s="137" t="b">
        <v>0</v>
      </c>
      <c r="Q12" s="128" t="b">
        <v>1</v>
      </c>
      <c r="R12" s="127" t="s">
        <v>1559</v>
      </c>
      <c r="S12" s="135" t="b">
        <v>1</v>
      </c>
      <c r="T12" s="126">
        <v>13</v>
      </c>
      <c r="U12" s="124">
        <v>1.4999999999999999E-2</v>
      </c>
      <c r="V12" s="126">
        <v>75</v>
      </c>
      <c r="W12" s="126">
        <v>-75</v>
      </c>
      <c r="X12" s="124">
        <v>50</v>
      </c>
      <c r="Y12" s="124">
        <v>5</v>
      </c>
      <c r="Z12" s="128" t="b">
        <v>1</v>
      </c>
      <c r="AA12" s="127" t="s">
        <v>1867</v>
      </c>
      <c r="AB12" s="133">
        <v>2</v>
      </c>
      <c r="AC12" s="137" t="b">
        <v>0</v>
      </c>
      <c r="AE12" s="137" t="b">
        <v>0</v>
      </c>
      <c r="AG12" s="135" t="b">
        <v>1</v>
      </c>
      <c r="AH12" s="125">
        <v>5</v>
      </c>
      <c r="AI12" s="125">
        <v>13</v>
      </c>
      <c r="AJ12" s="125">
        <v>34</v>
      </c>
      <c r="AK12" s="125">
        <v>89</v>
      </c>
      <c r="AL12" s="129" t="b">
        <v>0</v>
      </c>
      <c r="AM12" s="128" t="b">
        <v>1</v>
      </c>
      <c r="AN12" s="131" t="s">
        <v>1469</v>
      </c>
      <c r="AO12" s="141">
        <v>1.0000000000000001E-5</v>
      </c>
      <c r="AP12" s="128" t="b">
        <v>1</v>
      </c>
      <c r="AQ12" s="141">
        <v>1.0000000000000001E-5</v>
      </c>
      <c r="AR12" s="126">
        <v>5</v>
      </c>
      <c r="AS12" s="126">
        <v>8</v>
      </c>
      <c r="AT12" s="126">
        <v>5</v>
      </c>
      <c r="AU12" s="128" t="b">
        <v>1</v>
      </c>
      <c r="AV12" s="124">
        <v>3</v>
      </c>
      <c r="AW12" s="146">
        <v>5</v>
      </c>
      <c r="AX12" s="124">
        <v>1</v>
      </c>
      <c r="AY12" s="128" t="b">
        <v>1</v>
      </c>
      <c r="AZ12" s="122" t="s">
        <v>1586</v>
      </c>
      <c r="BA12" s="122">
        <v>4</v>
      </c>
      <c r="BB12" s="126">
        <v>0.05</v>
      </c>
      <c r="BC12" s="126">
        <v>0.5</v>
      </c>
      <c r="BD12" s="129" t="b">
        <v>0</v>
      </c>
      <c r="BE12" s="122" t="s">
        <v>1873</v>
      </c>
      <c r="BF12" s="128" t="b">
        <v>1</v>
      </c>
      <c r="BG12" s="122" t="s">
        <v>1578</v>
      </c>
      <c r="BH12" s="133">
        <v>0.02</v>
      </c>
      <c r="BI12" s="156" t="s">
        <v>403</v>
      </c>
      <c r="BJ12" s="128" t="b">
        <v>1</v>
      </c>
      <c r="BK12" s="161">
        <v>1.5</v>
      </c>
      <c r="BL12" s="129" t="b">
        <v>0</v>
      </c>
      <c r="BM12" s="156" t="s">
        <v>412</v>
      </c>
      <c r="BN12" s="128" t="b">
        <v>1</v>
      </c>
      <c r="BO12" s="156" t="s">
        <v>1382</v>
      </c>
      <c r="BP12" s="157">
        <v>1</v>
      </c>
      <c r="BQ12" s="157">
        <v>0.5</v>
      </c>
      <c r="BR12" s="166" t="str">
        <f t="shared" ref="BR12:BR16" si="7">AH12&amp;"/ "&amp;AI12&amp;"/ "&amp;AJ12&amp;"/ "&amp;AK12</f>
        <v>5/ 13/ 34/ 89</v>
      </c>
      <c r="BS12" s="166" t="str">
        <f>AR12&amp;" / "&amp;AS12&amp;" / "&amp;AT12</f>
        <v>5 / 8 / 5</v>
      </c>
      <c r="BT12" s="166" t="str">
        <f>BB12&amp;" / "&amp;BC12</f>
        <v>0.05 / 0.5</v>
      </c>
      <c r="BU12" s="66">
        <v>4573</v>
      </c>
      <c r="BV12" s="66">
        <v>2628</v>
      </c>
      <c r="BW12" s="66">
        <v>2253</v>
      </c>
      <c r="BX12" s="99">
        <f>BV12-BW12</f>
        <v>375</v>
      </c>
      <c r="BY12" s="66">
        <v>455</v>
      </c>
      <c r="BZ12" s="92">
        <f>BU12-SUM(BW12:BY12)</f>
        <v>1490</v>
      </c>
      <c r="CA12" s="204">
        <f>IF(BU12=0,0,BV12/BU12)</f>
        <v>0.57467745462497266</v>
      </c>
      <c r="CB12" s="205">
        <f>IF(BU12=0,0,BY12/BU12)</f>
        <v>9.9497047889787887E-2</v>
      </c>
      <c r="CC12" s="87">
        <v>4.53</v>
      </c>
      <c r="CD12" s="87">
        <v>40.97</v>
      </c>
      <c r="CE12" s="87">
        <v>0.46</v>
      </c>
      <c r="CF12" s="170">
        <f>BK12</f>
        <v>1.5</v>
      </c>
      <c r="CG12" s="87">
        <v>0.64</v>
      </c>
      <c r="CH12" s="87">
        <v>0.5</v>
      </c>
      <c r="CI12" s="93">
        <v>22317.1</v>
      </c>
      <c r="CJ12" s="87">
        <v>8.49</v>
      </c>
      <c r="CK12" s="87">
        <v>10.14</v>
      </c>
      <c r="CL12" s="87">
        <v>-3.96</v>
      </c>
      <c r="CM12" s="165">
        <v>1000</v>
      </c>
      <c r="CN12" s="93">
        <v>187330.67</v>
      </c>
      <c r="CO12" s="108">
        <f>CM12+CN12</f>
        <v>188330.67</v>
      </c>
      <c r="CP12" s="108">
        <f>CN12/10</f>
        <v>18733.067000000003</v>
      </c>
      <c r="CR12" s="82">
        <f>CR$4</f>
        <v>12</v>
      </c>
      <c r="CS12" s="80">
        <f>CI12/CR12</f>
        <v>1859.7583333333332</v>
      </c>
      <c r="CT12" s="80">
        <f>CN12/CR12</f>
        <v>15610.889166666668</v>
      </c>
      <c r="CU12" s="80">
        <f>CT12/10</f>
        <v>1561.0889166666668</v>
      </c>
      <c r="CW12" s="80">
        <f>CI12</f>
        <v>22317.1</v>
      </c>
      <c r="CX12" s="80">
        <f>CN12</f>
        <v>187330.67</v>
      </c>
      <c r="CY12" s="80">
        <f>CP12</f>
        <v>18733.067000000003</v>
      </c>
    </row>
    <row r="13" spans="1:103" outlineLevel="1" x14ac:dyDescent="0.2">
      <c r="A13" s="120"/>
      <c r="B13" s="72"/>
      <c r="C13" s="57" t="s">
        <v>1627</v>
      </c>
      <c r="D13" s="57" t="s">
        <v>1886</v>
      </c>
      <c r="E13" s="65" t="s">
        <v>1389</v>
      </c>
      <c r="F13" s="57" t="s">
        <v>1454</v>
      </c>
      <c r="G13" s="62" t="s">
        <v>1556</v>
      </c>
      <c r="H13" s="129" t="b">
        <v>0</v>
      </c>
      <c r="J13" s="123" t="s">
        <v>1866</v>
      </c>
      <c r="K13" s="123" t="s">
        <v>1866</v>
      </c>
      <c r="L13" s="123" t="s">
        <v>1866</v>
      </c>
      <c r="M13" s="137" t="b">
        <v>0</v>
      </c>
      <c r="Q13" s="128" t="b">
        <v>1</v>
      </c>
      <c r="R13" s="127" t="s">
        <v>1559</v>
      </c>
      <c r="S13" s="135" t="b">
        <v>1</v>
      </c>
      <c r="T13" s="126">
        <v>13</v>
      </c>
      <c r="U13" s="124">
        <v>1.4999999999999999E-2</v>
      </c>
      <c r="V13" s="126">
        <v>75</v>
      </c>
      <c r="W13" s="126">
        <v>-75</v>
      </c>
      <c r="X13" s="124">
        <v>50</v>
      </c>
      <c r="Y13" s="124">
        <v>5</v>
      </c>
      <c r="Z13" s="128" t="b">
        <v>1</v>
      </c>
      <c r="AA13" s="127" t="s">
        <v>1867</v>
      </c>
      <c r="AB13" s="133">
        <v>2</v>
      </c>
      <c r="AC13" s="137" t="b">
        <v>0</v>
      </c>
      <c r="AE13" s="137" t="b">
        <v>0</v>
      </c>
      <c r="AG13" s="135" t="b">
        <v>1</v>
      </c>
      <c r="AH13" s="125">
        <v>5</v>
      </c>
      <c r="AI13" s="125">
        <v>13</v>
      </c>
      <c r="AJ13" s="125">
        <v>34</v>
      </c>
      <c r="AK13" s="125">
        <v>89</v>
      </c>
      <c r="AL13" s="129" t="b">
        <v>0</v>
      </c>
      <c r="AM13" s="128" t="b">
        <v>1</v>
      </c>
      <c r="AN13" s="131" t="s">
        <v>1469</v>
      </c>
      <c r="AO13" s="141">
        <v>1.0000000000000001E-5</v>
      </c>
      <c r="AP13" s="128" t="b">
        <v>1</v>
      </c>
      <c r="AQ13" s="141">
        <v>1.0000000000000001E-5</v>
      </c>
      <c r="AR13" s="126">
        <v>5</v>
      </c>
      <c r="AS13" s="126">
        <v>8</v>
      </c>
      <c r="AT13" s="126">
        <v>5</v>
      </c>
      <c r="AU13" s="128" t="b">
        <v>1</v>
      </c>
      <c r="AV13" s="124">
        <v>3</v>
      </c>
      <c r="AW13" s="146">
        <v>5</v>
      </c>
      <c r="AX13" s="124">
        <v>1</v>
      </c>
      <c r="AY13" s="128" t="b">
        <v>1</v>
      </c>
      <c r="AZ13" s="122" t="s">
        <v>1586</v>
      </c>
      <c r="BA13" s="122">
        <v>4</v>
      </c>
      <c r="BB13" s="126">
        <v>0.05</v>
      </c>
      <c r="BC13" s="126">
        <v>0.5</v>
      </c>
      <c r="BD13" s="129" t="b">
        <v>0</v>
      </c>
      <c r="BE13" s="122" t="s">
        <v>1873</v>
      </c>
      <c r="BF13" s="128" t="b">
        <v>1</v>
      </c>
      <c r="BG13" s="122" t="s">
        <v>1578</v>
      </c>
      <c r="BH13" s="133">
        <v>0.02</v>
      </c>
      <c r="BI13" s="156" t="s">
        <v>403</v>
      </c>
      <c r="BJ13" s="128" t="b">
        <v>1</v>
      </c>
      <c r="BK13" s="161">
        <v>1.5</v>
      </c>
      <c r="BL13" s="129" t="b">
        <v>0</v>
      </c>
      <c r="BM13" s="156" t="s">
        <v>412</v>
      </c>
      <c r="BN13" s="128" t="b">
        <v>1</v>
      </c>
      <c r="BO13" s="156" t="s">
        <v>1382</v>
      </c>
      <c r="BP13" s="157">
        <v>1</v>
      </c>
      <c r="BQ13" s="157">
        <v>0.5</v>
      </c>
      <c r="BR13" s="166" t="str">
        <f t="shared" si="7"/>
        <v>5/ 13/ 34/ 89</v>
      </c>
      <c r="BS13" s="166" t="str">
        <f>AR13&amp;" / "&amp;AS13&amp;" / "&amp;AT13</f>
        <v>5 / 8 / 5</v>
      </c>
      <c r="BT13" s="166" t="str">
        <f>BB13&amp;" / "&amp;BC13</f>
        <v>0.05 / 0.5</v>
      </c>
      <c r="BU13" s="66">
        <v>4890</v>
      </c>
      <c r="BV13" s="66">
        <v>2877</v>
      </c>
      <c r="BW13" s="66">
        <v>2426</v>
      </c>
      <c r="BX13" s="99">
        <f>BV13-BW13</f>
        <v>451</v>
      </c>
      <c r="BY13" s="66">
        <v>496</v>
      </c>
      <c r="BZ13" s="92">
        <f>BU13-SUM(BW13:BY13)</f>
        <v>1517</v>
      </c>
      <c r="CA13" s="204">
        <f t="shared" ref="CA13:CA16" si="8">IF(BU13=0,0,BV13/BU13)</f>
        <v>0.58834355828220863</v>
      </c>
      <c r="CB13" s="205">
        <f t="shared" ref="CB13:CB16" si="9">IF(BU13=0,0,BY13/BU13)</f>
        <v>0.10143149284253579</v>
      </c>
      <c r="CC13" s="87">
        <v>4.42</v>
      </c>
      <c r="CD13" s="87">
        <v>41.83</v>
      </c>
      <c r="CE13" s="87">
        <v>0.46</v>
      </c>
      <c r="CF13" s="170">
        <f>BK13</f>
        <v>1.5</v>
      </c>
      <c r="CG13" s="87">
        <v>0.64</v>
      </c>
      <c r="CH13" s="87">
        <v>0.49</v>
      </c>
      <c r="CI13" s="93">
        <v>24944.9</v>
      </c>
      <c r="CJ13" s="87">
        <v>8.67</v>
      </c>
      <c r="CK13" s="87">
        <v>10.55</v>
      </c>
      <c r="CL13" s="87">
        <v>-4.22</v>
      </c>
      <c r="CM13" s="165">
        <v>1000</v>
      </c>
      <c r="CN13" s="93">
        <v>204527.27</v>
      </c>
      <c r="CO13" s="108">
        <f>CM13+CN13</f>
        <v>205527.27</v>
      </c>
      <c r="CP13" s="108">
        <f>CN13/10</f>
        <v>20452.726999999999</v>
      </c>
      <c r="CR13" s="82">
        <f>CR$4</f>
        <v>12</v>
      </c>
      <c r="CS13" s="80">
        <f t="shared" ref="CS13:CS16" si="10">CI13/CR13</f>
        <v>2078.7416666666668</v>
      </c>
      <c r="CT13" s="80">
        <f t="shared" ref="CT13:CT16" si="11">CN13/CR13</f>
        <v>17043.939166666667</v>
      </c>
      <c r="CU13" s="80">
        <f t="shared" ref="CU13:CU16" si="12">CT13/10</f>
        <v>1704.3939166666667</v>
      </c>
      <c r="CW13" s="80">
        <f t="shared" ref="CW13:CW16" si="13">CI13</f>
        <v>24944.9</v>
      </c>
      <c r="CX13" s="80">
        <f t="shared" ref="CX13:CX16" si="14">CN13</f>
        <v>204527.27</v>
      </c>
      <c r="CY13" s="80">
        <f t="shared" ref="CY13:CY16" si="15">CP13</f>
        <v>20452.726999999999</v>
      </c>
    </row>
    <row r="14" spans="1:103" outlineLevel="1" x14ac:dyDescent="0.2">
      <c r="A14" s="120"/>
      <c r="B14" s="72"/>
      <c r="C14" s="57" t="s">
        <v>1635</v>
      </c>
      <c r="D14" s="57" t="s">
        <v>1886</v>
      </c>
      <c r="E14" s="65" t="s">
        <v>1389</v>
      </c>
      <c r="F14" s="57" t="s">
        <v>1454</v>
      </c>
      <c r="G14" s="62" t="s">
        <v>1556</v>
      </c>
      <c r="H14" s="129" t="b">
        <v>0</v>
      </c>
      <c r="J14" s="123" t="s">
        <v>1866</v>
      </c>
      <c r="K14" s="123" t="s">
        <v>1866</v>
      </c>
      <c r="L14" s="123" t="s">
        <v>1866</v>
      </c>
      <c r="M14" s="137" t="b">
        <v>0</v>
      </c>
      <c r="Q14" s="128" t="b">
        <v>1</v>
      </c>
      <c r="R14" s="127" t="s">
        <v>1559</v>
      </c>
      <c r="S14" s="135" t="b">
        <v>1</v>
      </c>
      <c r="T14" s="126">
        <v>13</v>
      </c>
      <c r="U14" s="124">
        <v>1.4999999999999999E-2</v>
      </c>
      <c r="V14" s="126">
        <v>75</v>
      </c>
      <c r="W14" s="126">
        <v>-75</v>
      </c>
      <c r="X14" s="124">
        <v>50</v>
      </c>
      <c r="Y14" s="124">
        <v>5</v>
      </c>
      <c r="Z14" s="128" t="b">
        <v>1</v>
      </c>
      <c r="AA14" s="127" t="s">
        <v>1867</v>
      </c>
      <c r="AB14" s="133">
        <v>2</v>
      </c>
      <c r="AC14" s="137" t="b">
        <v>0</v>
      </c>
      <c r="AE14" s="137" t="b">
        <v>0</v>
      </c>
      <c r="AG14" s="135" t="b">
        <v>1</v>
      </c>
      <c r="AH14" s="125">
        <v>5</v>
      </c>
      <c r="AI14" s="125">
        <v>13</v>
      </c>
      <c r="AJ14" s="125">
        <v>34</v>
      </c>
      <c r="AK14" s="125">
        <v>89</v>
      </c>
      <c r="AL14" s="129" t="b">
        <v>0</v>
      </c>
      <c r="AM14" s="128" t="b">
        <v>1</v>
      </c>
      <c r="AN14" s="131" t="s">
        <v>1469</v>
      </c>
      <c r="AO14" s="141">
        <v>1.0000000000000001E-5</v>
      </c>
      <c r="AP14" s="128" t="b">
        <v>1</v>
      </c>
      <c r="AQ14" s="141">
        <v>1.0000000000000001E-5</v>
      </c>
      <c r="AR14" s="126">
        <v>5</v>
      </c>
      <c r="AS14" s="126">
        <v>8</v>
      </c>
      <c r="AT14" s="126">
        <v>5</v>
      </c>
      <c r="AU14" s="128" t="b">
        <v>1</v>
      </c>
      <c r="AV14" s="124">
        <v>3</v>
      </c>
      <c r="AW14" s="146">
        <v>5</v>
      </c>
      <c r="AX14" s="124">
        <v>1</v>
      </c>
      <c r="AY14" s="128" t="b">
        <v>1</v>
      </c>
      <c r="AZ14" s="122" t="s">
        <v>1586</v>
      </c>
      <c r="BA14" s="122">
        <v>4</v>
      </c>
      <c r="BB14" s="126">
        <v>0.05</v>
      </c>
      <c r="BC14" s="126">
        <v>0.5</v>
      </c>
      <c r="BD14" s="129" t="b">
        <v>0</v>
      </c>
      <c r="BE14" s="122" t="s">
        <v>1873</v>
      </c>
      <c r="BF14" s="128" t="b">
        <v>1</v>
      </c>
      <c r="BG14" s="122" t="s">
        <v>1578</v>
      </c>
      <c r="BH14" s="133">
        <v>0.02</v>
      </c>
      <c r="BI14" s="156" t="s">
        <v>403</v>
      </c>
      <c r="BJ14" s="128" t="b">
        <v>1</v>
      </c>
      <c r="BK14" s="161">
        <v>1.5</v>
      </c>
      <c r="BL14" s="129" t="b">
        <v>0</v>
      </c>
      <c r="BM14" s="156" t="s">
        <v>412</v>
      </c>
      <c r="BN14" s="128" t="b">
        <v>1</v>
      </c>
      <c r="BO14" s="156" t="s">
        <v>1382</v>
      </c>
      <c r="BP14" s="157">
        <v>1</v>
      </c>
      <c r="BQ14" s="157">
        <v>0.5</v>
      </c>
      <c r="BR14" s="166" t="str">
        <f t="shared" si="7"/>
        <v>5/ 13/ 34/ 89</v>
      </c>
      <c r="BS14" s="166" t="str">
        <f>AR14&amp;" / "&amp;AS14&amp;" / "&amp;AT14</f>
        <v>5 / 8 / 5</v>
      </c>
      <c r="BT14" s="166" t="str">
        <f>BB14&amp;" / "&amp;BC14</f>
        <v>0.05 / 0.5</v>
      </c>
      <c r="BU14" s="66">
        <v>2123</v>
      </c>
      <c r="BV14" s="66">
        <v>1275</v>
      </c>
      <c r="BW14" s="66">
        <v>1173</v>
      </c>
      <c r="BX14" s="99">
        <f>BV14-BW14</f>
        <v>102</v>
      </c>
      <c r="BY14" s="66">
        <v>76</v>
      </c>
      <c r="BZ14" s="92">
        <f>BU14-SUM(BW14:BY14)</f>
        <v>772</v>
      </c>
      <c r="CA14" s="204">
        <f t="shared" si="8"/>
        <v>0.60056523787093741</v>
      </c>
      <c r="CB14" s="205">
        <f t="shared" si="9"/>
        <v>3.5798398492699009E-2</v>
      </c>
      <c r="CC14" s="87">
        <v>11.78</v>
      </c>
      <c r="CD14" s="87">
        <v>41.51</v>
      </c>
      <c r="CE14" s="87">
        <v>0.6</v>
      </c>
      <c r="CF14" s="170">
        <f>BK14</f>
        <v>1.5</v>
      </c>
      <c r="CG14" s="87">
        <v>0.56000000000000005</v>
      </c>
      <c r="CH14" s="87">
        <v>0.45</v>
      </c>
      <c r="CI14" s="93">
        <v>5518</v>
      </c>
      <c r="CJ14" s="87">
        <v>4.33</v>
      </c>
      <c r="CK14" s="87">
        <v>3.8</v>
      </c>
      <c r="CL14" s="87">
        <v>-4</v>
      </c>
      <c r="CM14" s="165">
        <v>1000</v>
      </c>
      <c r="CN14" s="93">
        <v>88118.87</v>
      </c>
      <c r="CO14" s="108">
        <f>CM14+CN14</f>
        <v>89118.87</v>
      </c>
      <c r="CP14" s="108">
        <f>CN14/10</f>
        <v>8811.8869999999988</v>
      </c>
      <c r="CR14" s="82">
        <f>CR$4</f>
        <v>12</v>
      </c>
      <c r="CS14" s="80">
        <f t="shared" si="10"/>
        <v>459.83333333333331</v>
      </c>
      <c r="CT14" s="80">
        <f t="shared" si="11"/>
        <v>7343.2391666666663</v>
      </c>
      <c r="CU14" s="80">
        <f t="shared" si="12"/>
        <v>734.32391666666661</v>
      </c>
      <c r="CW14" s="80">
        <f t="shared" si="13"/>
        <v>5518</v>
      </c>
      <c r="CX14" s="80">
        <f t="shared" si="14"/>
        <v>88118.87</v>
      </c>
      <c r="CY14" s="80">
        <f t="shared" si="15"/>
        <v>8811.8869999999988</v>
      </c>
    </row>
    <row r="15" spans="1:103" outlineLevel="1" x14ac:dyDescent="0.2">
      <c r="A15" s="120"/>
      <c r="B15" s="72"/>
      <c r="C15" s="57" t="s">
        <v>1629</v>
      </c>
      <c r="D15" s="57" t="s">
        <v>1886</v>
      </c>
      <c r="E15" s="65" t="s">
        <v>1389</v>
      </c>
      <c r="F15" s="57" t="s">
        <v>1454</v>
      </c>
      <c r="G15" s="62" t="s">
        <v>1556</v>
      </c>
      <c r="H15" s="129" t="b">
        <v>0</v>
      </c>
      <c r="J15" s="123" t="s">
        <v>1866</v>
      </c>
      <c r="K15" s="123" t="s">
        <v>1866</v>
      </c>
      <c r="L15" s="123" t="s">
        <v>1866</v>
      </c>
      <c r="M15" s="137" t="b">
        <v>0</v>
      </c>
      <c r="Q15" s="128" t="b">
        <v>1</v>
      </c>
      <c r="R15" s="127" t="s">
        <v>1559</v>
      </c>
      <c r="S15" s="135" t="b">
        <v>1</v>
      </c>
      <c r="T15" s="126">
        <v>13</v>
      </c>
      <c r="U15" s="124">
        <v>1.4999999999999999E-2</v>
      </c>
      <c r="V15" s="126">
        <v>75</v>
      </c>
      <c r="W15" s="126">
        <v>-75</v>
      </c>
      <c r="X15" s="124">
        <v>50</v>
      </c>
      <c r="Y15" s="124">
        <v>5</v>
      </c>
      <c r="Z15" s="128" t="b">
        <v>1</v>
      </c>
      <c r="AA15" s="127" t="s">
        <v>1867</v>
      </c>
      <c r="AB15" s="133">
        <v>2</v>
      </c>
      <c r="AC15" s="137" t="b">
        <v>0</v>
      </c>
      <c r="AE15" s="137" t="b">
        <v>0</v>
      </c>
      <c r="AG15" s="135" t="b">
        <v>1</v>
      </c>
      <c r="AH15" s="125">
        <v>5</v>
      </c>
      <c r="AI15" s="125">
        <v>13</v>
      </c>
      <c r="AJ15" s="125">
        <v>34</v>
      </c>
      <c r="AK15" s="125">
        <v>89</v>
      </c>
      <c r="AL15" s="129" t="b">
        <v>0</v>
      </c>
      <c r="AM15" s="128" t="b">
        <v>1</v>
      </c>
      <c r="AN15" s="131" t="s">
        <v>1469</v>
      </c>
      <c r="AO15" s="141">
        <v>1.0000000000000001E-5</v>
      </c>
      <c r="AP15" s="128" t="b">
        <v>1</v>
      </c>
      <c r="AQ15" s="141">
        <v>1.0000000000000001E-5</v>
      </c>
      <c r="AR15" s="126">
        <v>5</v>
      </c>
      <c r="AS15" s="126">
        <v>8</v>
      </c>
      <c r="AT15" s="126">
        <v>5</v>
      </c>
      <c r="AU15" s="128" t="b">
        <v>1</v>
      </c>
      <c r="AV15" s="124">
        <v>3</v>
      </c>
      <c r="AW15" s="146">
        <v>5</v>
      </c>
      <c r="AX15" s="124">
        <v>1</v>
      </c>
      <c r="AY15" s="128" t="b">
        <v>1</v>
      </c>
      <c r="AZ15" s="122" t="s">
        <v>1586</v>
      </c>
      <c r="BA15" s="122">
        <v>4</v>
      </c>
      <c r="BB15" s="126">
        <v>0.05</v>
      </c>
      <c r="BC15" s="126">
        <v>0.5</v>
      </c>
      <c r="BD15" s="129" t="b">
        <v>0</v>
      </c>
      <c r="BE15" s="122" t="s">
        <v>1873</v>
      </c>
      <c r="BF15" s="128" t="b">
        <v>1</v>
      </c>
      <c r="BG15" s="122" t="s">
        <v>1578</v>
      </c>
      <c r="BH15" s="133">
        <v>0.02</v>
      </c>
      <c r="BI15" s="156" t="s">
        <v>403</v>
      </c>
      <c r="BJ15" s="128" t="b">
        <v>1</v>
      </c>
      <c r="BK15" s="161">
        <v>1.5</v>
      </c>
      <c r="BL15" s="129" t="b">
        <v>0</v>
      </c>
      <c r="BM15" s="156" t="s">
        <v>412</v>
      </c>
      <c r="BN15" s="128" t="b">
        <v>1</v>
      </c>
      <c r="BO15" s="156" t="s">
        <v>1382</v>
      </c>
      <c r="BP15" s="157">
        <v>1</v>
      </c>
      <c r="BQ15" s="157">
        <v>0.5</v>
      </c>
      <c r="BR15" s="166" t="str">
        <f t="shared" si="7"/>
        <v>5/ 13/ 34/ 89</v>
      </c>
      <c r="BS15" s="166" t="str">
        <f>AR15&amp;" / "&amp;AS15&amp;" / "&amp;AT15</f>
        <v>5 / 8 / 5</v>
      </c>
      <c r="BT15" s="166" t="str">
        <f>BB15&amp;" / "&amp;BC15</f>
        <v>0.05 / 0.5</v>
      </c>
      <c r="BU15" s="66">
        <v>2207</v>
      </c>
      <c r="BV15" s="66">
        <v>1305</v>
      </c>
      <c r="BW15" s="66">
        <v>1142</v>
      </c>
      <c r="BX15" s="99">
        <f>BV15-BW15</f>
        <v>163</v>
      </c>
      <c r="BY15" s="66">
        <v>125</v>
      </c>
      <c r="BZ15" s="92">
        <f>BU15-SUM(BW15:BY15)</f>
        <v>777</v>
      </c>
      <c r="CA15" s="204">
        <f t="shared" si="8"/>
        <v>0.59130040779338466</v>
      </c>
      <c r="CB15" s="205">
        <f t="shared" si="9"/>
        <v>5.6637970095151792E-2</v>
      </c>
      <c r="CC15" s="87">
        <v>6.96</v>
      </c>
      <c r="CD15" s="87">
        <v>39.92</v>
      </c>
      <c r="CE15" s="87">
        <v>0.52</v>
      </c>
      <c r="CF15" s="170">
        <f>BK15</f>
        <v>1.5</v>
      </c>
      <c r="CG15" s="87">
        <v>0.57999999999999996</v>
      </c>
      <c r="CH15" s="87">
        <v>0.44</v>
      </c>
      <c r="CI15" s="93">
        <v>6484.4</v>
      </c>
      <c r="CJ15" s="87">
        <v>4.97</v>
      </c>
      <c r="CK15" s="87">
        <v>4.99</v>
      </c>
      <c r="CL15" s="87">
        <v>-5.81</v>
      </c>
      <c r="CM15" s="165">
        <v>1000</v>
      </c>
      <c r="CN15" s="93">
        <v>88094.3</v>
      </c>
      <c r="CO15" s="108">
        <f>CM15+CN15</f>
        <v>89094.3</v>
      </c>
      <c r="CP15" s="108">
        <f>CN15/10</f>
        <v>8809.43</v>
      </c>
      <c r="CR15" s="82">
        <f>CR$4</f>
        <v>12</v>
      </c>
      <c r="CS15" s="80">
        <f t="shared" si="10"/>
        <v>540.36666666666667</v>
      </c>
      <c r="CT15" s="80">
        <f t="shared" si="11"/>
        <v>7341.1916666666666</v>
      </c>
      <c r="CU15" s="80">
        <f t="shared" si="12"/>
        <v>734.11916666666662</v>
      </c>
      <c r="CW15" s="80">
        <f t="shared" si="13"/>
        <v>6484.4</v>
      </c>
      <c r="CX15" s="80">
        <f t="shared" si="14"/>
        <v>88094.3</v>
      </c>
      <c r="CY15" s="80">
        <f t="shared" si="15"/>
        <v>8809.43</v>
      </c>
    </row>
    <row r="16" spans="1:103" outlineLevel="1" x14ac:dyDescent="0.2">
      <c r="A16" s="120"/>
      <c r="B16" s="72"/>
      <c r="C16" s="57" t="s">
        <v>1633</v>
      </c>
      <c r="D16" s="57" t="s">
        <v>1886</v>
      </c>
      <c r="E16" s="65" t="s">
        <v>1389</v>
      </c>
      <c r="F16" s="57" t="s">
        <v>1454</v>
      </c>
      <c r="G16" s="62" t="s">
        <v>1556</v>
      </c>
      <c r="H16" s="129" t="b">
        <v>0</v>
      </c>
      <c r="J16" s="123" t="s">
        <v>1866</v>
      </c>
      <c r="K16" s="123" t="s">
        <v>1866</v>
      </c>
      <c r="L16" s="123" t="s">
        <v>1866</v>
      </c>
      <c r="M16" s="137" t="b">
        <v>0</v>
      </c>
      <c r="Q16" s="128" t="b">
        <v>1</v>
      </c>
      <c r="R16" s="127" t="s">
        <v>1559</v>
      </c>
      <c r="S16" s="135" t="b">
        <v>1</v>
      </c>
      <c r="T16" s="126">
        <v>13</v>
      </c>
      <c r="U16" s="124">
        <v>1.4999999999999999E-2</v>
      </c>
      <c r="V16" s="126">
        <v>75</v>
      </c>
      <c r="W16" s="126">
        <v>-75</v>
      </c>
      <c r="X16" s="124">
        <v>50</v>
      </c>
      <c r="Y16" s="124">
        <v>5</v>
      </c>
      <c r="Z16" s="128" t="b">
        <v>1</v>
      </c>
      <c r="AA16" s="127" t="s">
        <v>1867</v>
      </c>
      <c r="AB16" s="133">
        <v>2</v>
      </c>
      <c r="AC16" s="137" t="b">
        <v>0</v>
      </c>
      <c r="AE16" s="137" t="b">
        <v>0</v>
      </c>
      <c r="AG16" s="135" t="b">
        <v>1</v>
      </c>
      <c r="AH16" s="125">
        <v>5</v>
      </c>
      <c r="AI16" s="125">
        <v>13</v>
      </c>
      <c r="AJ16" s="125">
        <v>34</v>
      </c>
      <c r="AK16" s="125">
        <v>89</v>
      </c>
      <c r="AL16" s="129" t="b">
        <v>0</v>
      </c>
      <c r="AM16" s="128" t="b">
        <v>1</v>
      </c>
      <c r="AN16" s="131" t="s">
        <v>1469</v>
      </c>
      <c r="AO16" s="141">
        <v>1.0000000000000001E-5</v>
      </c>
      <c r="AP16" s="128" t="b">
        <v>1</v>
      </c>
      <c r="AQ16" s="141">
        <v>1.0000000000000001E-5</v>
      </c>
      <c r="AR16" s="126">
        <v>5</v>
      </c>
      <c r="AS16" s="126">
        <v>8</v>
      </c>
      <c r="AT16" s="126">
        <v>5</v>
      </c>
      <c r="AU16" s="128" t="b">
        <v>1</v>
      </c>
      <c r="AV16" s="124">
        <v>3</v>
      </c>
      <c r="AW16" s="146">
        <v>5</v>
      </c>
      <c r="AX16" s="124">
        <v>1</v>
      </c>
      <c r="AY16" s="128" t="b">
        <v>1</v>
      </c>
      <c r="AZ16" s="122" t="s">
        <v>1586</v>
      </c>
      <c r="BA16" s="122">
        <v>4</v>
      </c>
      <c r="BB16" s="126">
        <v>0.05</v>
      </c>
      <c r="BC16" s="126">
        <v>0.5</v>
      </c>
      <c r="BD16" s="129" t="b">
        <v>0</v>
      </c>
      <c r="BE16" s="122" t="s">
        <v>1873</v>
      </c>
      <c r="BF16" s="128" t="b">
        <v>1</v>
      </c>
      <c r="BG16" s="122" t="s">
        <v>1578</v>
      </c>
      <c r="BH16" s="133">
        <v>0.02</v>
      </c>
      <c r="BI16" s="156" t="s">
        <v>403</v>
      </c>
      <c r="BJ16" s="128" t="b">
        <v>1</v>
      </c>
      <c r="BK16" s="161">
        <v>1.5</v>
      </c>
      <c r="BL16" s="129" t="b">
        <v>0</v>
      </c>
      <c r="BM16" s="156" t="s">
        <v>412</v>
      </c>
      <c r="BN16" s="128" t="b">
        <v>1</v>
      </c>
      <c r="BO16" s="156" t="s">
        <v>1382</v>
      </c>
      <c r="BP16" s="157">
        <v>1</v>
      </c>
      <c r="BQ16" s="157">
        <v>0.5</v>
      </c>
      <c r="BR16" s="166" t="str">
        <f t="shared" si="7"/>
        <v>5/ 13/ 34/ 89</v>
      </c>
      <c r="BS16" s="166" t="str">
        <f>AR16&amp;" / "&amp;AS16&amp;" / "&amp;AT16</f>
        <v>5 / 8 / 5</v>
      </c>
      <c r="BT16" s="166" t="str">
        <f>BB16&amp;" / "&amp;BC16</f>
        <v>0.05 / 0.5</v>
      </c>
      <c r="BU16" s="66">
        <v>3171</v>
      </c>
      <c r="BV16" s="66">
        <v>1884</v>
      </c>
      <c r="BW16" s="66">
        <v>1660</v>
      </c>
      <c r="BX16" s="99">
        <f>BV16-BW16</f>
        <v>224</v>
      </c>
      <c r="BY16" s="66">
        <v>213</v>
      </c>
      <c r="BZ16" s="92">
        <f>BU16-SUM(BW16:BY16)</f>
        <v>1074</v>
      </c>
      <c r="CA16" s="204">
        <f t="shared" si="8"/>
        <v>0.59413434247871333</v>
      </c>
      <c r="CB16" s="205">
        <f t="shared" si="9"/>
        <v>6.7171239356669826E-2</v>
      </c>
      <c r="CC16" s="87">
        <v>6.55</v>
      </c>
      <c r="CD16" s="87">
        <v>43.14</v>
      </c>
      <c r="CE16" s="87">
        <v>0.53</v>
      </c>
      <c r="CF16" s="170">
        <f>BK16</f>
        <v>1.5</v>
      </c>
      <c r="CG16" s="87">
        <v>0.61</v>
      </c>
      <c r="CH16" s="87">
        <v>0.48</v>
      </c>
      <c r="CI16" s="93">
        <v>10721.7</v>
      </c>
      <c r="CJ16" s="87">
        <v>5.69</v>
      </c>
      <c r="CK16" s="87">
        <v>5.08</v>
      </c>
      <c r="CL16" s="87">
        <v>-5.43</v>
      </c>
      <c r="CM16" s="165">
        <v>1000</v>
      </c>
      <c r="CN16" s="93">
        <v>136800.62</v>
      </c>
      <c r="CO16" s="108">
        <f>CM16+CN16</f>
        <v>137800.62</v>
      </c>
      <c r="CP16" s="108">
        <f>CN16/10</f>
        <v>13680.062</v>
      </c>
      <c r="CR16" s="82">
        <f>CR$4</f>
        <v>12</v>
      </c>
      <c r="CS16" s="80">
        <f t="shared" si="10"/>
        <v>893.47500000000002</v>
      </c>
      <c r="CT16" s="80">
        <f t="shared" si="11"/>
        <v>11400.051666666666</v>
      </c>
      <c r="CU16" s="80">
        <f t="shared" si="12"/>
        <v>1140.0051666666666</v>
      </c>
      <c r="CW16" s="80">
        <f t="shared" si="13"/>
        <v>10721.7</v>
      </c>
      <c r="CX16" s="80">
        <f t="shared" si="14"/>
        <v>136800.62</v>
      </c>
      <c r="CY16" s="80">
        <f t="shared" si="15"/>
        <v>13680.062</v>
      </c>
    </row>
    <row r="17" spans="1:103" outlineLevel="1" x14ac:dyDescent="0.2">
      <c r="G17" s="113"/>
      <c r="AE17" s="124"/>
      <c r="AO17" s="127"/>
      <c r="AQ17" s="138"/>
    </row>
    <row r="18" spans="1:103" x14ac:dyDescent="0.2">
      <c r="A18" s="120"/>
      <c r="B18" s="72" t="s">
        <v>1887</v>
      </c>
      <c r="C18" s="57" t="s">
        <v>1387</v>
      </c>
      <c r="D18" s="57" t="s">
        <v>1440</v>
      </c>
      <c r="E18" s="65" t="s">
        <v>1389</v>
      </c>
      <c r="F18" s="57" t="s">
        <v>1454</v>
      </c>
      <c r="G18" s="62" t="s">
        <v>1556</v>
      </c>
      <c r="H18" s="129" t="b">
        <v>0</v>
      </c>
      <c r="J18" s="123" t="s">
        <v>1866</v>
      </c>
      <c r="K18" s="123" t="s">
        <v>1866</v>
      </c>
      <c r="L18" s="123" t="s">
        <v>1866</v>
      </c>
      <c r="M18" s="137" t="b">
        <v>0</v>
      </c>
      <c r="Q18" s="128" t="b">
        <v>1</v>
      </c>
      <c r="R18" s="127" t="s">
        <v>1559</v>
      </c>
      <c r="S18" s="135" t="b">
        <v>1</v>
      </c>
      <c r="T18" s="126">
        <v>13</v>
      </c>
      <c r="U18" s="124">
        <v>1.4999999999999999E-2</v>
      </c>
      <c r="V18" s="126">
        <v>75</v>
      </c>
      <c r="W18" s="126">
        <v>-75</v>
      </c>
      <c r="X18" s="124">
        <v>50</v>
      </c>
      <c r="Y18" s="124">
        <v>5</v>
      </c>
      <c r="Z18" s="128" t="b">
        <v>1</v>
      </c>
      <c r="AA18" s="127" t="s">
        <v>1867</v>
      </c>
      <c r="AB18" s="133">
        <v>2</v>
      </c>
      <c r="AC18" s="137" t="b">
        <v>0</v>
      </c>
      <c r="AE18" s="137" t="b">
        <v>0</v>
      </c>
      <c r="AG18" s="135" t="b">
        <v>1</v>
      </c>
      <c r="AH18" s="125">
        <v>5</v>
      </c>
      <c r="AI18" s="125">
        <v>13</v>
      </c>
      <c r="AJ18" s="125">
        <v>34</v>
      </c>
      <c r="AK18" s="125">
        <v>89</v>
      </c>
      <c r="AL18" s="129" t="b">
        <v>0</v>
      </c>
      <c r="AM18" s="128" t="b">
        <v>1</v>
      </c>
      <c r="AN18" s="131" t="s">
        <v>1469</v>
      </c>
      <c r="AO18" s="141">
        <v>1.0000000000000001E-5</v>
      </c>
      <c r="AP18" s="128" t="b">
        <v>1</v>
      </c>
      <c r="AQ18" s="141">
        <v>1.0000000000000001E-5</v>
      </c>
      <c r="AR18" s="126">
        <v>5</v>
      </c>
      <c r="AS18" s="126">
        <v>8</v>
      </c>
      <c r="AT18" s="126">
        <v>5</v>
      </c>
      <c r="AU18" s="128" t="b">
        <v>1</v>
      </c>
      <c r="AV18" s="124">
        <v>3</v>
      </c>
      <c r="AW18" s="146">
        <v>5</v>
      </c>
      <c r="AX18" s="124">
        <v>1</v>
      </c>
      <c r="AY18" s="128" t="b">
        <v>1</v>
      </c>
      <c r="AZ18" s="122" t="s">
        <v>1586</v>
      </c>
      <c r="BA18" s="122">
        <v>4</v>
      </c>
      <c r="BB18" s="126">
        <v>0.05</v>
      </c>
      <c r="BC18" s="126">
        <v>0.5</v>
      </c>
      <c r="BD18" s="129" t="b">
        <v>0</v>
      </c>
      <c r="BE18" s="122" t="s">
        <v>1873</v>
      </c>
      <c r="BF18" s="128" t="b">
        <v>1</v>
      </c>
      <c r="BG18" s="122" t="s">
        <v>1578</v>
      </c>
      <c r="BH18" s="133">
        <v>0.02</v>
      </c>
      <c r="BI18" s="156" t="s">
        <v>403</v>
      </c>
      <c r="BJ18" s="128" t="b">
        <v>1</v>
      </c>
      <c r="BK18" s="161">
        <v>1.5</v>
      </c>
      <c r="BL18" s="129" t="b">
        <v>0</v>
      </c>
      <c r="BM18" s="156" t="s">
        <v>412</v>
      </c>
      <c r="BN18" s="128" t="b">
        <v>1</v>
      </c>
      <c r="BO18" s="156" t="s">
        <v>1382</v>
      </c>
      <c r="BP18" s="157">
        <v>1</v>
      </c>
      <c r="BQ18" s="157">
        <v>0.5</v>
      </c>
      <c r="BR18" s="166" t="str">
        <f t="shared" ref="BR18:BR22" si="16">AH18&amp;"/ "&amp;AI18&amp;"/ "&amp;AJ18&amp;"/ "&amp;AK18</f>
        <v>5/ 13/ 34/ 89</v>
      </c>
      <c r="BS18" s="166" t="str">
        <f>AR18&amp;" / "&amp;AS18&amp;" / "&amp;AT18</f>
        <v>5 / 8 / 5</v>
      </c>
      <c r="BT18" s="166" t="str">
        <f>BB18&amp;" / "&amp;BC18</f>
        <v>0.05 / 0.5</v>
      </c>
      <c r="BU18" s="66">
        <v>1654</v>
      </c>
      <c r="BV18" s="66">
        <v>1010</v>
      </c>
      <c r="BW18" s="66">
        <v>834</v>
      </c>
      <c r="BX18" s="99">
        <f>BV18-BW18</f>
        <v>176</v>
      </c>
      <c r="BY18" s="66">
        <v>160</v>
      </c>
      <c r="BZ18" s="92">
        <f>BU18-SUM(BW18:BY18)</f>
        <v>484</v>
      </c>
      <c r="CA18" s="204">
        <f>IF(BU18=0,0,BV18/BU18)</f>
        <v>0.61064087061668681</v>
      </c>
      <c r="CB18" s="205">
        <f>IF(BU18=0,0,BY18/BU18)</f>
        <v>9.6735187424425634E-2</v>
      </c>
      <c r="CC18" s="87">
        <v>5.54</v>
      </c>
      <c r="CD18" s="87">
        <v>44.26</v>
      </c>
      <c r="CE18" s="87">
        <v>0.5</v>
      </c>
      <c r="CF18" s="170">
        <f>BK18</f>
        <v>1.5</v>
      </c>
      <c r="CG18" s="87">
        <v>0.66</v>
      </c>
      <c r="CH18" s="87">
        <v>0.52</v>
      </c>
      <c r="CI18" s="93">
        <v>14285.8</v>
      </c>
      <c r="CJ18" s="87">
        <v>14.14</v>
      </c>
      <c r="CK18" s="87">
        <v>13.92</v>
      </c>
      <c r="CL18" s="87">
        <v>-5.47</v>
      </c>
      <c r="CM18" s="165">
        <v>1000</v>
      </c>
      <c r="CN18" s="103">
        <v>73205.37</v>
      </c>
      <c r="CO18" s="112">
        <f>CM18+CN18</f>
        <v>74205.37</v>
      </c>
      <c r="CP18" s="112">
        <f>CN18/10</f>
        <v>7320.5369999999994</v>
      </c>
      <c r="CR18" s="82">
        <f>CR$4</f>
        <v>12</v>
      </c>
      <c r="CS18" s="80">
        <f>CI18/CR18</f>
        <v>1190.4833333333333</v>
      </c>
      <c r="CT18" s="80">
        <f>CN18/CR18</f>
        <v>6100.4474999999993</v>
      </c>
      <c r="CU18" s="80">
        <f>CT18/10</f>
        <v>610.04474999999991</v>
      </c>
      <c r="CW18" s="80">
        <f>CI18</f>
        <v>14285.8</v>
      </c>
      <c r="CX18" s="80">
        <f>CN18</f>
        <v>73205.37</v>
      </c>
      <c r="CY18" s="80">
        <f>CP18</f>
        <v>7320.5369999999994</v>
      </c>
    </row>
    <row r="19" spans="1:103" outlineLevel="1" x14ac:dyDescent="0.2">
      <c r="A19" s="120"/>
      <c r="B19" s="72"/>
      <c r="C19" s="57" t="s">
        <v>1627</v>
      </c>
      <c r="D19" s="57" t="s">
        <v>1440</v>
      </c>
      <c r="E19" s="65" t="s">
        <v>1389</v>
      </c>
      <c r="F19" s="57" t="s">
        <v>1454</v>
      </c>
      <c r="G19" s="62" t="s">
        <v>1556</v>
      </c>
      <c r="H19" s="129" t="b">
        <v>0</v>
      </c>
      <c r="J19" s="123" t="s">
        <v>1866</v>
      </c>
      <c r="K19" s="123" t="s">
        <v>1866</v>
      </c>
      <c r="L19" s="123" t="s">
        <v>1866</v>
      </c>
      <c r="M19" s="137" t="b">
        <v>0</v>
      </c>
      <c r="Q19" s="128" t="b">
        <v>1</v>
      </c>
      <c r="R19" s="127" t="s">
        <v>1559</v>
      </c>
      <c r="S19" s="135" t="b">
        <v>1</v>
      </c>
      <c r="T19" s="126">
        <v>13</v>
      </c>
      <c r="U19" s="124">
        <v>1.4999999999999999E-2</v>
      </c>
      <c r="V19" s="126">
        <v>75</v>
      </c>
      <c r="W19" s="126">
        <v>-75</v>
      </c>
      <c r="X19" s="124">
        <v>50</v>
      </c>
      <c r="Y19" s="124">
        <v>5</v>
      </c>
      <c r="Z19" s="128" t="b">
        <v>1</v>
      </c>
      <c r="AA19" s="127" t="s">
        <v>1867</v>
      </c>
      <c r="AB19" s="133">
        <v>2</v>
      </c>
      <c r="AC19" s="137" t="b">
        <v>0</v>
      </c>
      <c r="AE19" s="137" t="b">
        <v>0</v>
      </c>
      <c r="AG19" s="135" t="b">
        <v>1</v>
      </c>
      <c r="AH19" s="125">
        <v>5</v>
      </c>
      <c r="AI19" s="125">
        <v>13</v>
      </c>
      <c r="AJ19" s="125">
        <v>34</v>
      </c>
      <c r="AK19" s="125">
        <v>89</v>
      </c>
      <c r="AL19" s="129" t="b">
        <v>0</v>
      </c>
      <c r="AM19" s="128" t="b">
        <v>1</v>
      </c>
      <c r="AN19" s="131" t="s">
        <v>1469</v>
      </c>
      <c r="AO19" s="141">
        <v>1.0000000000000001E-5</v>
      </c>
      <c r="AP19" s="128" t="b">
        <v>1</v>
      </c>
      <c r="AQ19" s="141">
        <v>1.0000000000000001E-5</v>
      </c>
      <c r="AR19" s="126">
        <v>5</v>
      </c>
      <c r="AS19" s="126">
        <v>8</v>
      </c>
      <c r="AT19" s="126">
        <v>5</v>
      </c>
      <c r="AU19" s="128" t="b">
        <v>1</v>
      </c>
      <c r="AV19" s="124">
        <v>3</v>
      </c>
      <c r="AW19" s="146">
        <v>5</v>
      </c>
      <c r="AX19" s="124">
        <v>1</v>
      </c>
      <c r="AY19" s="128" t="b">
        <v>1</v>
      </c>
      <c r="AZ19" s="122" t="s">
        <v>1586</v>
      </c>
      <c r="BA19" s="122">
        <v>4</v>
      </c>
      <c r="BB19" s="126">
        <v>0.05</v>
      </c>
      <c r="BC19" s="126">
        <v>0.5</v>
      </c>
      <c r="BD19" s="129" t="b">
        <v>0</v>
      </c>
      <c r="BE19" s="122" t="s">
        <v>1873</v>
      </c>
      <c r="BF19" s="128" t="b">
        <v>1</v>
      </c>
      <c r="BG19" s="122" t="s">
        <v>1578</v>
      </c>
      <c r="BH19" s="133">
        <v>0.02</v>
      </c>
      <c r="BI19" s="156" t="s">
        <v>403</v>
      </c>
      <c r="BJ19" s="128" t="b">
        <v>1</v>
      </c>
      <c r="BK19" s="161">
        <v>1.5</v>
      </c>
      <c r="BL19" s="129" t="b">
        <v>0</v>
      </c>
      <c r="BM19" s="156" t="s">
        <v>412</v>
      </c>
      <c r="BN19" s="128" t="b">
        <v>1</v>
      </c>
      <c r="BO19" s="156" t="s">
        <v>1382</v>
      </c>
      <c r="BP19" s="157">
        <v>1</v>
      </c>
      <c r="BQ19" s="157">
        <v>0.5</v>
      </c>
      <c r="BR19" s="166" t="str">
        <f t="shared" si="16"/>
        <v>5/ 13/ 34/ 89</v>
      </c>
      <c r="BS19" s="166" t="str">
        <f>AR19&amp;" / "&amp;AS19&amp;" / "&amp;AT19</f>
        <v>5 / 8 / 5</v>
      </c>
      <c r="BT19" s="166" t="str">
        <f>BB19&amp;" / "&amp;BC19</f>
        <v>0.05 / 0.5</v>
      </c>
      <c r="BU19" s="66">
        <v>1719</v>
      </c>
      <c r="BV19" s="66">
        <v>983</v>
      </c>
      <c r="BW19" s="66">
        <v>814</v>
      </c>
      <c r="BX19" s="99">
        <f>BV19-BW19</f>
        <v>169</v>
      </c>
      <c r="BY19" s="66">
        <v>182</v>
      </c>
      <c r="BZ19" s="92">
        <f>BU19-SUM(BW19:BY19)</f>
        <v>554</v>
      </c>
      <c r="CA19" s="204">
        <f t="shared" ref="CA19:CA22" si="17">IF(BU19=0,0,BV19/BU19)</f>
        <v>0.57184409540430481</v>
      </c>
      <c r="CB19" s="205">
        <f t="shared" ref="CB19:CB22" si="18">IF(BU19=0,0,BY19/BU19)</f>
        <v>0.10587550901687028</v>
      </c>
      <c r="CC19" s="87">
        <v>4.05</v>
      </c>
      <c r="CD19" s="87">
        <v>36.090000000000003</v>
      </c>
      <c r="CE19" s="87">
        <v>0.42</v>
      </c>
      <c r="CF19" s="170">
        <f>BK19</f>
        <v>1.5</v>
      </c>
      <c r="CG19" s="87">
        <v>0.63</v>
      </c>
      <c r="CH19" s="87">
        <v>0.49</v>
      </c>
      <c r="CI19" s="93">
        <v>14124</v>
      </c>
      <c r="CJ19" s="87">
        <v>14.37</v>
      </c>
      <c r="CK19" s="87">
        <v>15.68</v>
      </c>
      <c r="CL19" s="87">
        <v>-3.71</v>
      </c>
      <c r="CM19" s="165">
        <v>1000</v>
      </c>
      <c r="CN19" s="102">
        <v>62041.52</v>
      </c>
      <c r="CO19" s="110">
        <f>CM19+CN19</f>
        <v>63041.52</v>
      </c>
      <c r="CP19" s="110">
        <f>CN19/10</f>
        <v>6204.152</v>
      </c>
      <c r="CR19" s="82">
        <f>CR$4</f>
        <v>12</v>
      </c>
      <c r="CS19" s="80">
        <f t="shared" ref="CS19:CS22" si="19">CI19/CR19</f>
        <v>1177</v>
      </c>
      <c r="CT19" s="80">
        <f t="shared" ref="CT19:CT22" si="20">CN19/CR19</f>
        <v>5170.1266666666661</v>
      </c>
      <c r="CU19" s="80">
        <f t="shared" ref="CU19:CU22" si="21">CT19/10</f>
        <v>517.01266666666663</v>
      </c>
      <c r="CW19" s="80">
        <f t="shared" ref="CW19:CW22" si="22">CI19</f>
        <v>14124</v>
      </c>
      <c r="CX19" s="80">
        <f t="shared" ref="CX19:CX22" si="23">CN19</f>
        <v>62041.52</v>
      </c>
      <c r="CY19" s="80">
        <f t="shared" ref="CY19:CY22" si="24">CP19</f>
        <v>6204.152</v>
      </c>
    </row>
    <row r="20" spans="1:103" outlineLevel="1" x14ac:dyDescent="0.2">
      <c r="A20" s="120"/>
      <c r="B20" s="72"/>
      <c r="C20" s="57" t="s">
        <v>1635</v>
      </c>
      <c r="D20" s="57" t="s">
        <v>1440</v>
      </c>
      <c r="E20" s="65" t="s">
        <v>1389</v>
      </c>
      <c r="F20" s="57" t="s">
        <v>1454</v>
      </c>
      <c r="G20" s="62" t="s">
        <v>1556</v>
      </c>
      <c r="H20" s="129" t="b">
        <v>0</v>
      </c>
      <c r="J20" s="123" t="s">
        <v>1866</v>
      </c>
      <c r="K20" s="123" t="s">
        <v>1866</v>
      </c>
      <c r="L20" s="123" t="s">
        <v>1866</v>
      </c>
      <c r="M20" s="137" t="b">
        <v>0</v>
      </c>
      <c r="Q20" s="128" t="b">
        <v>1</v>
      </c>
      <c r="R20" s="127" t="s">
        <v>1559</v>
      </c>
      <c r="S20" s="135" t="b">
        <v>1</v>
      </c>
      <c r="T20" s="126">
        <v>13</v>
      </c>
      <c r="U20" s="124">
        <v>1.4999999999999999E-2</v>
      </c>
      <c r="V20" s="126">
        <v>75</v>
      </c>
      <c r="W20" s="126">
        <v>-75</v>
      </c>
      <c r="X20" s="124">
        <v>50</v>
      </c>
      <c r="Y20" s="124">
        <v>5</v>
      </c>
      <c r="Z20" s="128" t="b">
        <v>1</v>
      </c>
      <c r="AA20" s="127" t="s">
        <v>1867</v>
      </c>
      <c r="AB20" s="133">
        <v>2</v>
      </c>
      <c r="AC20" s="137" t="b">
        <v>0</v>
      </c>
      <c r="AE20" s="137" t="b">
        <v>0</v>
      </c>
      <c r="AG20" s="135" t="b">
        <v>1</v>
      </c>
      <c r="AH20" s="125">
        <v>5</v>
      </c>
      <c r="AI20" s="125">
        <v>13</v>
      </c>
      <c r="AJ20" s="125">
        <v>34</v>
      </c>
      <c r="AK20" s="125">
        <v>89</v>
      </c>
      <c r="AL20" s="129" t="b">
        <v>0</v>
      </c>
      <c r="AM20" s="128" t="b">
        <v>1</v>
      </c>
      <c r="AN20" s="131" t="s">
        <v>1469</v>
      </c>
      <c r="AO20" s="141">
        <v>1.0000000000000001E-5</v>
      </c>
      <c r="AP20" s="128" t="b">
        <v>1</v>
      </c>
      <c r="AQ20" s="141">
        <v>1.0000000000000001E-5</v>
      </c>
      <c r="AR20" s="126">
        <v>5</v>
      </c>
      <c r="AS20" s="126">
        <v>8</v>
      </c>
      <c r="AT20" s="126">
        <v>5</v>
      </c>
      <c r="AU20" s="128" t="b">
        <v>1</v>
      </c>
      <c r="AV20" s="124">
        <v>3</v>
      </c>
      <c r="AW20" s="146">
        <v>5</v>
      </c>
      <c r="AX20" s="124">
        <v>1</v>
      </c>
      <c r="AY20" s="128" t="b">
        <v>1</v>
      </c>
      <c r="AZ20" s="122" t="s">
        <v>1586</v>
      </c>
      <c r="BA20" s="122">
        <v>4</v>
      </c>
      <c r="BB20" s="126">
        <v>0.05</v>
      </c>
      <c r="BC20" s="126">
        <v>0.5</v>
      </c>
      <c r="BD20" s="129" t="b">
        <v>0</v>
      </c>
      <c r="BE20" s="122" t="s">
        <v>1873</v>
      </c>
      <c r="BF20" s="128" t="b">
        <v>1</v>
      </c>
      <c r="BG20" s="122" t="s">
        <v>1578</v>
      </c>
      <c r="BH20" s="133">
        <v>0.02</v>
      </c>
      <c r="BI20" s="156" t="s">
        <v>403</v>
      </c>
      <c r="BJ20" s="128" t="b">
        <v>1</v>
      </c>
      <c r="BK20" s="161">
        <v>1.5</v>
      </c>
      <c r="BL20" s="129" t="b">
        <v>0</v>
      </c>
      <c r="BM20" s="156" t="s">
        <v>412</v>
      </c>
      <c r="BN20" s="128" t="b">
        <v>1</v>
      </c>
      <c r="BO20" s="156" t="s">
        <v>1382</v>
      </c>
      <c r="BP20" s="157">
        <v>1</v>
      </c>
      <c r="BQ20" s="157">
        <v>0.5</v>
      </c>
      <c r="BR20" s="166" t="str">
        <f t="shared" si="16"/>
        <v>5/ 13/ 34/ 89</v>
      </c>
      <c r="BS20" s="166" t="str">
        <f>AR20&amp;" / "&amp;AS20&amp;" / "&amp;AT20</f>
        <v>5 / 8 / 5</v>
      </c>
      <c r="BT20" s="166" t="str">
        <f>BB20&amp;" / "&amp;BC20</f>
        <v>0.05 / 0.5</v>
      </c>
      <c r="BU20" s="66">
        <v>1048</v>
      </c>
      <c r="BV20" s="66">
        <v>608</v>
      </c>
      <c r="BW20" s="66">
        <v>552</v>
      </c>
      <c r="BX20" s="99">
        <f>BV20-BW20</f>
        <v>56</v>
      </c>
      <c r="BY20" s="66">
        <v>69</v>
      </c>
      <c r="BZ20" s="92">
        <f>BU20-SUM(BW20:BY20)</f>
        <v>371</v>
      </c>
      <c r="CA20" s="204">
        <f t="shared" si="17"/>
        <v>0.58015267175572516</v>
      </c>
      <c r="CB20" s="205">
        <f t="shared" si="18"/>
        <v>6.5839694656488548E-2</v>
      </c>
      <c r="CC20" s="87">
        <v>6.53</v>
      </c>
      <c r="CD20" s="87">
        <v>33.33</v>
      </c>
      <c r="CE20" s="87">
        <v>0.48</v>
      </c>
      <c r="CF20" s="170">
        <f>BK20</f>
        <v>1.5</v>
      </c>
      <c r="CG20" s="87">
        <v>0.56999999999999995</v>
      </c>
      <c r="CH20" s="87">
        <v>0.44</v>
      </c>
      <c r="CI20" s="93">
        <v>4002.2</v>
      </c>
      <c r="CJ20" s="87">
        <v>6.58</v>
      </c>
      <c r="CK20" s="87">
        <v>5.95</v>
      </c>
      <c r="CL20" s="87">
        <v>-3.89</v>
      </c>
      <c r="CM20" s="165">
        <v>1000</v>
      </c>
      <c r="CN20" s="93">
        <v>34929.43</v>
      </c>
      <c r="CO20" s="108">
        <f>CM20+CN20</f>
        <v>35929.43</v>
      </c>
      <c r="CP20" s="108">
        <f>CN20/10</f>
        <v>3492.9430000000002</v>
      </c>
      <c r="CR20" s="82">
        <f>CR$4</f>
        <v>12</v>
      </c>
      <c r="CS20" s="80">
        <f t="shared" si="19"/>
        <v>333.51666666666665</v>
      </c>
      <c r="CT20" s="80">
        <f t="shared" si="20"/>
        <v>2910.7858333333334</v>
      </c>
      <c r="CU20" s="80">
        <f t="shared" si="21"/>
        <v>291.07858333333331</v>
      </c>
      <c r="CW20" s="80">
        <f t="shared" si="22"/>
        <v>4002.2</v>
      </c>
      <c r="CX20" s="80">
        <f t="shared" si="23"/>
        <v>34929.43</v>
      </c>
      <c r="CY20" s="80">
        <f t="shared" si="24"/>
        <v>3492.9430000000002</v>
      </c>
    </row>
    <row r="21" spans="1:103" outlineLevel="1" x14ac:dyDescent="0.2">
      <c r="A21" s="120"/>
      <c r="B21" s="72"/>
      <c r="C21" s="57" t="s">
        <v>1629</v>
      </c>
      <c r="D21" s="57" t="s">
        <v>1440</v>
      </c>
      <c r="E21" s="65" t="s">
        <v>1389</v>
      </c>
      <c r="F21" s="57" t="s">
        <v>1454</v>
      </c>
      <c r="G21" s="62" t="s">
        <v>1556</v>
      </c>
      <c r="H21" s="129" t="b">
        <v>0</v>
      </c>
      <c r="J21" s="123" t="s">
        <v>1866</v>
      </c>
      <c r="K21" s="123" t="s">
        <v>1866</v>
      </c>
      <c r="L21" s="123" t="s">
        <v>1866</v>
      </c>
      <c r="M21" s="137" t="b">
        <v>0</v>
      </c>
      <c r="Q21" s="128" t="b">
        <v>1</v>
      </c>
      <c r="R21" s="127" t="s">
        <v>1559</v>
      </c>
      <c r="S21" s="135" t="b">
        <v>1</v>
      </c>
      <c r="T21" s="126">
        <v>13</v>
      </c>
      <c r="U21" s="124">
        <v>1.4999999999999999E-2</v>
      </c>
      <c r="V21" s="126">
        <v>75</v>
      </c>
      <c r="W21" s="126">
        <v>-75</v>
      </c>
      <c r="X21" s="124">
        <v>50</v>
      </c>
      <c r="Y21" s="124">
        <v>5</v>
      </c>
      <c r="Z21" s="128" t="b">
        <v>1</v>
      </c>
      <c r="AA21" s="127" t="s">
        <v>1867</v>
      </c>
      <c r="AB21" s="133">
        <v>2</v>
      </c>
      <c r="AC21" s="137" t="b">
        <v>0</v>
      </c>
      <c r="AE21" s="137" t="b">
        <v>0</v>
      </c>
      <c r="AG21" s="135" t="b">
        <v>1</v>
      </c>
      <c r="AH21" s="125">
        <v>5</v>
      </c>
      <c r="AI21" s="125">
        <v>13</v>
      </c>
      <c r="AJ21" s="125">
        <v>34</v>
      </c>
      <c r="AK21" s="125">
        <v>89</v>
      </c>
      <c r="AL21" s="129" t="b">
        <v>0</v>
      </c>
      <c r="AM21" s="128" t="b">
        <v>1</v>
      </c>
      <c r="AN21" s="131" t="s">
        <v>1469</v>
      </c>
      <c r="AO21" s="141">
        <v>1.0000000000000001E-5</v>
      </c>
      <c r="AP21" s="128" t="b">
        <v>1</v>
      </c>
      <c r="AQ21" s="141">
        <v>1.0000000000000001E-5</v>
      </c>
      <c r="AR21" s="126">
        <v>5</v>
      </c>
      <c r="AS21" s="126">
        <v>8</v>
      </c>
      <c r="AT21" s="126">
        <v>5</v>
      </c>
      <c r="AU21" s="128" t="b">
        <v>1</v>
      </c>
      <c r="AV21" s="124">
        <v>3</v>
      </c>
      <c r="AW21" s="146">
        <v>5</v>
      </c>
      <c r="AX21" s="124">
        <v>1</v>
      </c>
      <c r="AY21" s="128" t="b">
        <v>1</v>
      </c>
      <c r="AZ21" s="122" t="s">
        <v>1586</v>
      </c>
      <c r="BA21" s="122">
        <v>4</v>
      </c>
      <c r="BB21" s="126">
        <v>0.05</v>
      </c>
      <c r="BC21" s="126">
        <v>0.5</v>
      </c>
      <c r="BD21" s="129" t="b">
        <v>0</v>
      </c>
      <c r="BE21" s="122" t="s">
        <v>1873</v>
      </c>
      <c r="BF21" s="128" t="b">
        <v>1</v>
      </c>
      <c r="BG21" s="122" t="s">
        <v>1578</v>
      </c>
      <c r="BH21" s="133">
        <v>0.02</v>
      </c>
      <c r="BI21" s="156" t="s">
        <v>403</v>
      </c>
      <c r="BJ21" s="128" t="b">
        <v>1</v>
      </c>
      <c r="BK21" s="161">
        <v>1.5</v>
      </c>
      <c r="BL21" s="129" t="b">
        <v>0</v>
      </c>
      <c r="BM21" s="156" t="s">
        <v>412</v>
      </c>
      <c r="BN21" s="128" t="b">
        <v>1</v>
      </c>
      <c r="BO21" s="156" t="s">
        <v>1382</v>
      </c>
      <c r="BP21" s="157">
        <v>1</v>
      </c>
      <c r="BQ21" s="157">
        <v>0.5</v>
      </c>
      <c r="BR21" s="166" t="str">
        <f t="shared" si="16"/>
        <v>5/ 13/ 34/ 89</v>
      </c>
      <c r="BS21" s="166" t="str">
        <f>AR21&amp;" / "&amp;AS21&amp;" / "&amp;AT21</f>
        <v>5 / 8 / 5</v>
      </c>
      <c r="BT21" s="166" t="str">
        <f>BB21&amp;" / "&amp;BC21</f>
        <v>0.05 / 0.5</v>
      </c>
      <c r="BU21" s="66">
        <v>1073</v>
      </c>
      <c r="BV21" s="66">
        <v>642</v>
      </c>
      <c r="BW21" s="66">
        <v>561</v>
      </c>
      <c r="BX21" s="99">
        <f>BV21-BW21</f>
        <v>81</v>
      </c>
      <c r="BY21" s="66">
        <v>82</v>
      </c>
      <c r="BZ21" s="92">
        <f>BU21-SUM(BW21:BY21)</f>
        <v>349</v>
      </c>
      <c r="CA21" s="204">
        <f t="shared" si="17"/>
        <v>0.59832246039142589</v>
      </c>
      <c r="CB21" s="205">
        <f t="shared" si="18"/>
        <v>7.6421248835041936E-2</v>
      </c>
      <c r="CC21" s="87">
        <v>6.17</v>
      </c>
      <c r="CD21" s="87">
        <v>36.31</v>
      </c>
      <c r="CE21" s="87">
        <v>0.49</v>
      </c>
      <c r="CF21" s="170">
        <f>BK21</f>
        <v>1.5</v>
      </c>
      <c r="CG21" s="87">
        <v>0.6</v>
      </c>
      <c r="CH21" s="87">
        <v>0.46</v>
      </c>
      <c r="CI21" s="93">
        <v>4937.6000000000004</v>
      </c>
      <c r="CJ21" s="87">
        <v>7.69</v>
      </c>
      <c r="CK21" s="87">
        <v>7.18</v>
      </c>
      <c r="CL21" s="87">
        <v>-4.25</v>
      </c>
      <c r="CM21" s="165">
        <v>1000</v>
      </c>
      <c r="CN21" s="93">
        <v>38958.33</v>
      </c>
      <c r="CO21" s="108">
        <f>CM21+CN21</f>
        <v>39958.33</v>
      </c>
      <c r="CP21" s="108">
        <f>CN21/10</f>
        <v>3895.8330000000001</v>
      </c>
      <c r="CR21" s="82">
        <f>CR$4</f>
        <v>12</v>
      </c>
      <c r="CS21" s="80">
        <f t="shared" si="19"/>
        <v>411.4666666666667</v>
      </c>
      <c r="CT21" s="80">
        <f t="shared" si="20"/>
        <v>3246.5275000000001</v>
      </c>
      <c r="CU21" s="80">
        <f t="shared" si="21"/>
        <v>324.65275000000003</v>
      </c>
      <c r="CW21" s="80">
        <f t="shared" si="22"/>
        <v>4937.6000000000004</v>
      </c>
      <c r="CX21" s="80">
        <f t="shared" si="23"/>
        <v>38958.33</v>
      </c>
      <c r="CY21" s="80">
        <f t="shared" si="24"/>
        <v>3895.8330000000001</v>
      </c>
    </row>
    <row r="22" spans="1:103" outlineLevel="1" x14ac:dyDescent="0.2">
      <c r="A22" s="120"/>
      <c r="B22" s="72"/>
      <c r="C22" s="57" t="s">
        <v>1633</v>
      </c>
      <c r="D22" s="57" t="s">
        <v>1440</v>
      </c>
      <c r="E22" s="65" t="s">
        <v>1389</v>
      </c>
      <c r="F22" s="57" t="s">
        <v>1454</v>
      </c>
      <c r="G22" s="62" t="s">
        <v>1556</v>
      </c>
      <c r="H22" s="129" t="b">
        <v>0</v>
      </c>
      <c r="J22" s="123" t="s">
        <v>1866</v>
      </c>
      <c r="K22" s="123" t="s">
        <v>1866</v>
      </c>
      <c r="L22" s="123" t="s">
        <v>1866</v>
      </c>
      <c r="M22" s="137" t="b">
        <v>0</v>
      </c>
      <c r="Q22" s="128" t="b">
        <v>1</v>
      </c>
      <c r="R22" s="127" t="s">
        <v>1559</v>
      </c>
      <c r="S22" s="135" t="b">
        <v>1</v>
      </c>
      <c r="T22" s="126">
        <v>13</v>
      </c>
      <c r="U22" s="124">
        <v>1.4999999999999999E-2</v>
      </c>
      <c r="V22" s="126">
        <v>75</v>
      </c>
      <c r="W22" s="126">
        <v>-75</v>
      </c>
      <c r="X22" s="124">
        <v>50</v>
      </c>
      <c r="Y22" s="124">
        <v>5</v>
      </c>
      <c r="Z22" s="128" t="b">
        <v>1</v>
      </c>
      <c r="AA22" s="127" t="s">
        <v>1867</v>
      </c>
      <c r="AB22" s="133">
        <v>2</v>
      </c>
      <c r="AC22" s="137" t="b">
        <v>0</v>
      </c>
      <c r="AE22" s="137" t="b">
        <v>0</v>
      </c>
      <c r="AG22" s="135" t="b">
        <v>1</v>
      </c>
      <c r="AH22" s="125">
        <v>5</v>
      </c>
      <c r="AI22" s="125">
        <v>13</v>
      </c>
      <c r="AJ22" s="125">
        <v>34</v>
      </c>
      <c r="AK22" s="125">
        <v>89</v>
      </c>
      <c r="AL22" s="129" t="b">
        <v>0</v>
      </c>
      <c r="AM22" s="128" t="b">
        <v>1</v>
      </c>
      <c r="AN22" s="131" t="s">
        <v>1469</v>
      </c>
      <c r="AO22" s="141">
        <v>1.0000000000000001E-5</v>
      </c>
      <c r="AP22" s="128" t="b">
        <v>1</v>
      </c>
      <c r="AQ22" s="141">
        <v>1.0000000000000001E-5</v>
      </c>
      <c r="AR22" s="126">
        <v>5</v>
      </c>
      <c r="AS22" s="126">
        <v>8</v>
      </c>
      <c r="AT22" s="126">
        <v>5</v>
      </c>
      <c r="AU22" s="128" t="b">
        <v>1</v>
      </c>
      <c r="AV22" s="124">
        <v>3</v>
      </c>
      <c r="AW22" s="146">
        <v>5</v>
      </c>
      <c r="AX22" s="124">
        <v>1</v>
      </c>
      <c r="AY22" s="128" t="b">
        <v>1</v>
      </c>
      <c r="AZ22" s="122" t="s">
        <v>1586</v>
      </c>
      <c r="BA22" s="122">
        <v>4</v>
      </c>
      <c r="BB22" s="126">
        <v>0.05</v>
      </c>
      <c r="BC22" s="126">
        <v>0.5</v>
      </c>
      <c r="BD22" s="129" t="b">
        <v>0</v>
      </c>
      <c r="BE22" s="122" t="s">
        <v>1873</v>
      </c>
      <c r="BF22" s="128" t="b">
        <v>1</v>
      </c>
      <c r="BG22" s="122" t="s">
        <v>1578</v>
      </c>
      <c r="BH22" s="133">
        <v>0.02</v>
      </c>
      <c r="BI22" s="156" t="s">
        <v>403</v>
      </c>
      <c r="BJ22" s="128" t="b">
        <v>1</v>
      </c>
      <c r="BK22" s="161">
        <v>1.5</v>
      </c>
      <c r="BL22" s="129" t="b">
        <v>0</v>
      </c>
      <c r="BM22" s="156" t="s">
        <v>412</v>
      </c>
      <c r="BN22" s="128" t="b">
        <v>1</v>
      </c>
      <c r="BO22" s="156" t="s">
        <v>1382</v>
      </c>
      <c r="BP22" s="157">
        <v>1</v>
      </c>
      <c r="BQ22" s="157">
        <v>0.5</v>
      </c>
      <c r="BR22" s="166" t="str">
        <f t="shared" si="16"/>
        <v>5/ 13/ 34/ 89</v>
      </c>
      <c r="BS22" s="166" t="str">
        <f>AR22&amp;" / "&amp;AS22&amp;" / "&amp;AT22</f>
        <v>5 / 8 / 5</v>
      </c>
      <c r="BT22" s="166" t="str">
        <f>BB22&amp;" / "&amp;BC22</f>
        <v>0.05 / 0.5</v>
      </c>
      <c r="BU22" s="66">
        <v>1355</v>
      </c>
      <c r="BV22" s="66">
        <v>774</v>
      </c>
      <c r="BW22" s="66">
        <v>669</v>
      </c>
      <c r="BX22" s="99">
        <f>BV22-BW22</f>
        <v>105</v>
      </c>
      <c r="BY22" s="66">
        <v>120</v>
      </c>
      <c r="BZ22" s="92">
        <f>BU22-SUM(BW22:BY22)</f>
        <v>461</v>
      </c>
      <c r="CA22" s="204">
        <f t="shared" si="17"/>
        <v>0.57121771217712181</v>
      </c>
      <c r="CB22" s="205">
        <f t="shared" si="18"/>
        <v>8.8560885608856083E-2</v>
      </c>
      <c r="CC22" s="87">
        <v>4.79</v>
      </c>
      <c r="CD22" s="87">
        <v>34.49</v>
      </c>
      <c r="CE22" s="87">
        <v>0.45</v>
      </c>
      <c r="CF22" s="170">
        <f>BK22</f>
        <v>1.5</v>
      </c>
      <c r="CG22" s="87">
        <v>0.6</v>
      </c>
      <c r="CH22" s="87">
        <v>0.49</v>
      </c>
      <c r="CI22" s="93">
        <v>6909.7</v>
      </c>
      <c r="CJ22" s="87">
        <v>8.93</v>
      </c>
      <c r="CK22" s="87">
        <v>7.91</v>
      </c>
      <c r="CL22" s="87">
        <v>-6.29</v>
      </c>
      <c r="CM22" s="165">
        <v>1000</v>
      </c>
      <c r="CN22" s="93">
        <v>46735.12</v>
      </c>
      <c r="CO22" s="108">
        <f>CM22+CN22</f>
        <v>47735.12</v>
      </c>
      <c r="CP22" s="108">
        <f>CN22/10</f>
        <v>4673.5120000000006</v>
      </c>
      <c r="CR22" s="82">
        <f>CR$4</f>
        <v>12</v>
      </c>
      <c r="CS22" s="80">
        <f t="shared" si="19"/>
        <v>575.80833333333328</v>
      </c>
      <c r="CT22" s="80">
        <f t="shared" si="20"/>
        <v>3894.5933333333337</v>
      </c>
      <c r="CU22" s="80">
        <f t="shared" si="21"/>
        <v>389.45933333333335</v>
      </c>
      <c r="CW22" s="80">
        <f t="shared" si="22"/>
        <v>6909.7</v>
      </c>
      <c r="CX22" s="80">
        <f t="shared" si="23"/>
        <v>46735.12</v>
      </c>
      <c r="CY22" s="80">
        <f t="shared" si="24"/>
        <v>4673.5120000000006</v>
      </c>
    </row>
    <row r="23" spans="1:103" outlineLevel="1" x14ac:dyDescent="0.2">
      <c r="AE23" s="124"/>
    </row>
    <row r="24" spans="1:103" x14ac:dyDescent="0.2">
      <c r="A24" s="120"/>
      <c r="B24" s="72" t="s">
        <v>1892</v>
      </c>
      <c r="C24" s="57" t="s">
        <v>1387</v>
      </c>
      <c r="D24" s="57" t="s">
        <v>1888</v>
      </c>
      <c r="E24" s="65" t="s">
        <v>1389</v>
      </c>
      <c r="F24" s="57" t="s">
        <v>1454</v>
      </c>
      <c r="G24" s="62" t="s">
        <v>1556</v>
      </c>
      <c r="H24" s="129" t="b">
        <v>0</v>
      </c>
      <c r="J24" s="123" t="s">
        <v>1866</v>
      </c>
      <c r="K24" s="123" t="s">
        <v>1866</v>
      </c>
      <c r="L24" s="123" t="s">
        <v>1866</v>
      </c>
      <c r="M24" s="137" t="b">
        <v>0</v>
      </c>
      <c r="Q24" s="128" t="b">
        <v>1</v>
      </c>
      <c r="R24" s="127" t="s">
        <v>1559</v>
      </c>
      <c r="S24" s="135" t="b">
        <v>1</v>
      </c>
      <c r="T24" s="126">
        <v>13</v>
      </c>
      <c r="U24" s="124">
        <v>1.4999999999999999E-2</v>
      </c>
      <c r="V24" s="126">
        <v>75</v>
      </c>
      <c r="W24" s="126">
        <v>-75</v>
      </c>
      <c r="X24" s="124">
        <v>50</v>
      </c>
      <c r="Y24" s="124">
        <v>5</v>
      </c>
      <c r="Z24" s="128" t="b">
        <v>1</v>
      </c>
      <c r="AA24" s="127" t="s">
        <v>1867</v>
      </c>
      <c r="AB24" s="133">
        <v>2</v>
      </c>
      <c r="AC24" s="137" t="b">
        <v>0</v>
      </c>
      <c r="AE24" s="137" t="b">
        <v>0</v>
      </c>
      <c r="AG24" s="135" t="b">
        <v>1</v>
      </c>
      <c r="AH24" s="125">
        <v>5</v>
      </c>
      <c r="AI24" s="125">
        <v>13</v>
      </c>
      <c r="AJ24" s="125">
        <v>34</v>
      </c>
      <c r="AK24" s="125">
        <v>89</v>
      </c>
      <c r="AL24" s="129" t="b">
        <v>0</v>
      </c>
      <c r="AM24" s="128" t="b">
        <v>1</v>
      </c>
      <c r="AN24" s="131" t="s">
        <v>1469</v>
      </c>
      <c r="AO24" s="141">
        <v>1.0000000000000001E-5</v>
      </c>
      <c r="AP24" s="128" t="b">
        <v>1</v>
      </c>
      <c r="AQ24" s="141">
        <v>1.0000000000000001E-5</v>
      </c>
      <c r="AR24" s="126">
        <v>5</v>
      </c>
      <c r="AS24" s="126">
        <v>8</v>
      </c>
      <c r="AT24" s="126">
        <v>5</v>
      </c>
      <c r="AU24" s="128" t="b">
        <v>1</v>
      </c>
      <c r="AV24" s="124">
        <v>3</v>
      </c>
      <c r="AW24" s="146">
        <v>5</v>
      </c>
      <c r="AX24" s="124">
        <v>1</v>
      </c>
      <c r="AY24" s="128" t="b">
        <v>1</v>
      </c>
      <c r="AZ24" s="122" t="s">
        <v>1586</v>
      </c>
      <c r="BA24" s="122">
        <v>4</v>
      </c>
      <c r="BB24" s="126">
        <v>0.05</v>
      </c>
      <c r="BC24" s="126">
        <v>0.5</v>
      </c>
      <c r="BD24" s="129" t="b">
        <v>0</v>
      </c>
      <c r="BE24" s="122" t="s">
        <v>1873</v>
      </c>
      <c r="BF24" s="128" t="b">
        <v>1</v>
      </c>
      <c r="BG24" s="122" t="s">
        <v>1578</v>
      </c>
      <c r="BH24" s="133">
        <v>0.02</v>
      </c>
      <c r="BI24" s="156" t="s">
        <v>403</v>
      </c>
      <c r="BJ24" s="128" t="b">
        <v>1</v>
      </c>
      <c r="BK24" s="161">
        <v>1.5</v>
      </c>
      <c r="BL24" s="129" t="b">
        <v>0</v>
      </c>
      <c r="BM24" s="156" t="s">
        <v>412</v>
      </c>
      <c r="BN24" s="128" t="b">
        <v>1</v>
      </c>
      <c r="BO24" s="156" t="s">
        <v>1382</v>
      </c>
      <c r="BP24" s="157">
        <v>1</v>
      </c>
      <c r="BQ24" s="157">
        <v>0.5</v>
      </c>
      <c r="BR24" s="166" t="str">
        <f t="shared" ref="BR24:BR25" si="25">AH24&amp;"/ "&amp;AI24&amp;"/ "&amp;AJ24&amp;"/ "&amp;AK24</f>
        <v>5/ 13/ 34/ 89</v>
      </c>
      <c r="BS24" s="166" t="str">
        <f>AR24&amp;" / "&amp;AS24&amp;" / "&amp;AT24</f>
        <v>5 / 8 / 5</v>
      </c>
      <c r="BT24" s="166" t="str">
        <f>BB24&amp;" / "&amp;BC24</f>
        <v>0.05 / 0.5</v>
      </c>
      <c r="BU24" s="66">
        <v>418</v>
      </c>
      <c r="BV24" s="66">
        <v>254</v>
      </c>
      <c r="BW24" s="66">
        <v>201</v>
      </c>
      <c r="BX24" s="99">
        <f>BV24-BW24</f>
        <v>53</v>
      </c>
      <c r="BY24" s="66">
        <v>42</v>
      </c>
      <c r="BZ24" s="92">
        <f>BU24-SUM(BW24:BY24)</f>
        <v>122</v>
      </c>
      <c r="CA24" s="204">
        <f>IF(BU24=0,0,BV24/BU24)</f>
        <v>0.60765550239234445</v>
      </c>
      <c r="CB24" s="205">
        <f>IF(BU24=0,0,BY24/BU24)</f>
        <v>0.10047846889952153</v>
      </c>
      <c r="CC24" s="87">
        <v>7.16</v>
      </c>
      <c r="CD24" s="87">
        <v>29.64</v>
      </c>
      <c r="CE24" s="87">
        <v>0.46</v>
      </c>
      <c r="CF24" s="170">
        <f>BK24</f>
        <v>1.5</v>
      </c>
      <c r="CG24" s="87">
        <v>0.69</v>
      </c>
      <c r="CH24" s="87">
        <v>0.51</v>
      </c>
      <c r="CI24" s="93">
        <v>7556.7</v>
      </c>
      <c r="CJ24" s="87">
        <v>29.75</v>
      </c>
      <c r="CK24" s="87">
        <v>27.72</v>
      </c>
      <c r="CL24" s="87">
        <v>-5.59</v>
      </c>
      <c r="CM24" s="165">
        <v>1000</v>
      </c>
      <c r="CN24" s="103">
        <v>12388.64</v>
      </c>
      <c r="CO24" s="112">
        <f>CM24+CN24</f>
        <v>13388.64</v>
      </c>
      <c r="CP24" s="112">
        <f>CN24/10</f>
        <v>1238.864</v>
      </c>
      <c r="CR24" s="82">
        <f>CR$4</f>
        <v>12</v>
      </c>
      <c r="CS24" s="80">
        <f>CI24/CR24</f>
        <v>629.72500000000002</v>
      </c>
      <c r="CT24" s="80">
        <f>CN24/CR24</f>
        <v>1032.3866666666665</v>
      </c>
      <c r="CU24" s="80">
        <f>CT24/10</f>
        <v>103.23866666666666</v>
      </c>
      <c r="CW24" s="80">
        <f>CI24</f>
        <v>7556.7</v>
      </c>
      <c r="CX24" s="80">
        <f>CN24</f>
        <v>12388.64</v>
      </c>
      <c r="CY24" s="80">
        <f>CP24</f>
        <v>1238.864</v>
      </c>
    </row>
    <row r="25" spans="1:103" outlineLevel="1" x14ac:dyDescent="0.2">
      <c r="A25" s="120"/>
      <c r="B25" s="72"/>
      <c r="C25" s="57" t="s">
        <v>1627</v>
      </c>
      <c r="D25" s="57" t="s">
        <v>1888</v>
      </c>
      <c r="E25" s="65" t="s">
        <v>1389</v>
      </c>
      <c r="F25" s="57" t="s">
        <v>1454</v>
      </c>
      <c r="G25" s="62" t="s">
        <v>1556</v>
      </c>
      <c r="H25" s="129" t="b">
        <v>0</v>
      </c>
      <c r="J25" s="123" t="s">
        <v>1866</v>
      </c>
      <c r="K25" s="123" t="s">
        <v>1866</v>
      </c>
      <c r="L25" s="123" t="s">
        <v>1866</v>
      </c>
      <c r="M25" s="137" t="b">
        <v>0</v>
      </c>
      <c r="Q25" s="128" t="b">
        <v>1</v>
      </c>
      <c r="R25" s="127" t="s">
        <v>1559</v>
      </c>
      <c r="S25" s="135" t="b">
        <v>1</v>
      </c>
      <c r="T25" s="126">
        <v>13</v>
      </c>
      <c r="U25" s="124">
        <v>1.4999999999999999E-2</v>
      </c>
      <c r="V25" s="126">
        <v>75</v>
      </c>
      <c r="W25" s="126">
        <v>-75</v>
      </c>
      <c r="X25" s="124">
        <v>50</v>
      </c>
      <c r="Y25" s="124">
        <v>5</v>
      </c>
      <c r="Z25" s="128" t="b">
        <v>1</v>
      </c>
      <c r="AA25" s="127" t="s">
        <v>1867</v>
      </c>
      <c r="AB25" s="133">
        <v>2</v>
      </c>
      <c r="AC25" s="137" t="b">
        <v>0</v>
      </c>
      <c r="AE25" s="137" t="b">
        <v>0</v>
      </c>
      <c r="AG25" s="135" t="b">
        <v>1</v>
      </c>
      <c r="AH25" s="125">
        <v>5</v>
      </c>
      <c r="AI25" s="125">
        <v>13</v>
      </c>
      <c r="AJ25" s="125">
        <v>34</v>
      </c>
      <c r="AK25" s="125">
        <v>89</v>
      </c>
      <c r="AL25" s="129" t="b">
        <v>0</v>
      </c>
      <c r="AM25" s="128" t="b">
        <v>1</v>
      </c>
      <c r="AN25" s="131" t="s">
        <v>1469</v>
      </c>
      <c r="AO25" s="141">
        <v>1.0000000000000001E-5</v>
      </c>
      <c r="AP25" s="128" t="b">
        <v>1</v>
      </c>
      <c r="AQ25" s="141">
        <v>1.0000000000000001E-5</v>
      </c>
      <c r="AR25" s="126">
        <v>5</v>
      </c>
      <c r="AS25" s="126">
        <v>8</v>
      </c>
      <c r="AT25" s="126">
        <v>5</v>
      </c>
      <c r="AU25" s="128" t="b">
        <v>1</v>
      </c>
      <c r="AV25" s="124">
        <v>3</v>
      </c>
      <c r="AW25" s="146">
        <v>5</v>
      </c>
      <c r="AX25" s="124">
        <v>1</v>
      </c>
      <c r="AY25" s="128" t="b">
        <v>1</v>
      </c>
      <c r="AZ25" s="122" t="s">
        <v>1586</v>
      </c>
      <c r="BA25" s="122">
        <v>4</v>
      </c>
      <c r="BB25" s="126">
        <v>0.05</v>
      </c>
      <c r="BC25" s="126">
        <v>0.5</v>
      </c>
      <c r="BD25" s="129" t="b">
        <v>0</v>
      </c>
      <c r="BE25" s="122" t="s">
        <v>1873</v>
      </c>
      <c r="BF25" s="128" t="b">
        <v>1</v>
      </c>
      <c r="BG25" s="122" t="s">
        <v>1578</v>
      </c>
      <c r="BH25" s="133">
        <v>0.02</v>
      </c>
      <c r="BI25" s="156" t="s">
        <v>403</v>
      </c>
      <c r="BJ25" s="128" t="b">
        <v>1</v>
      </c>
      <c r="BK25" s="161">
        <v>1.5</v>
      </c>
      <c r="BL25" s="129" t="b">
        <v>0</v>
      </c>
      <c r="BM25" s="156" t="s">
        <v>412</v>
      </c>
      <c r="BN25" s="128" t="b">
        <v>1</v>
      </c>
      <c r="BO25" s="156" t="s">
        <v>1382</v>
      </c>
      <c r="BP25" s="157">
        <v>1</v>
      </c>
      <c r="BQ25" s="157">
        <v>0.5</v>
      </c>
      <c r="BR25" s="166" t="str">
        <f t="shared" si="25"/>
        <v>5/ 13/ 34/ 89</v>
      </c>
      <c r="BS25" s="166" t="str">
        <f>AR25&amp;" / "&amp;AS25&amp;" / "&amp;AT25</f>
        <v>5 / 8 / 5</v>
      </c>
      <c r="BT25" s="166" t="str">
        <f>BB25&amp;" / "&amp;BC25</f>
        <v>0.05 / 0.5</v>
      </c>
      <c r="BU25" s="66">
        <v>446</v>
      </c>
      <c r="BV25" s="66">
        <v>253</v>
      </c>
      <c r="BW25" s="66">
        <v>212</v>
      </c>
      <c r="BX25" s="99">
        <f>BV25-BW25</f>
        <v>41</v>
      </c>
      <c r="BY25" s="66">
        <v>50</v>
      </c>
      <c r="BZ25" s="92">
        <f>BU25-SUM(BW25:BY25)</f>
        <v>143</v>
      </c>
      <c r="CA25" s="204">
        <f t="shared" ref="CA25:CA28" si="26">IF(BU25=0,0,BV25/BU25)</f>
        <v>0.56726457399103136</v>
      </c>
      <c r="CB25" s="205">
        <f t="shared" ref="CB25:CB28" si="27">IF(BU25=0,0,BY25/BU25)</f>
        <v>0.11210762331838565</v>
      </c>
      <c r="CC25" s="87">
        <v>3.67</v>
      </c>
      <c r="CD25" s="87">
        <v>19.86</v>
      </c>
      <c r="CE25" s="87">
        <v>0.35</v>
      </c>
      <c r="CF25" s="170">
        <f>BK25</f>
        <v>1.5</v>
      </c>
      <c r="CG25" s="87">
        <v>0.61</v>
      </c>
      <c r="CH25" s="87">
        <v>0.46</v>
      </c>
      <c r="CI25" s="93">
        <v>7123.2</v>
      </c>
      <c r="CJ25" s="87">
        <v>28.15</v>
      </c>
      <c r="CK25" s="87">
        <v>27.18</v>
      </c>
      <c r="CL25" s="87">
        <v>-4.9000000000000004</v>
      </c>
      <c r="CM25" s="165">
        <v>1000</v>
      </c>
      <c r="CN25" s="102">
        <v>8056.95</v>
      </c>
      <c r="CO25" s="110">
        <f>CM25+CN25</f>
        <v>9056.9500000000007</v>
      </c>
      <c r="CP25" s="110">
        <f>CN25/10</f>
        <v>805.69499999999994</v>
      </c>
      <c r="CR25" s="82">
        <f>CR$4</f>
        <v>12</v>
      </c>
      <c r="CS25" s="80">
        <f t="shared" ref="CS25:CS28" si="28">CI25/CR25</f>
        <v>593.6</v>
      </c>
      <c r="CT25" s="80">
        <f t="shared" ref="CT25:CT28" si="29">CN25/CR25</f>
        <v>671.41250000000002</v>
      </c>
      <c r="CU25" s="80">
        <f t="shared" ref="CU25:CU28" si="30">CT25/10</f>
        <v>67.141249999999999</v>
      </c>
      <c r="CW25" s="80">
        <f t="shared" ref="CW25:CW28" si="31">CI25</f>
        <v>7123.2</v>
      </c>
      <c r="CX25" s="80">
        <f t="shared" ref="CX25:CX28" si="32">CN25</f>
        <v>8056.95</v>
      </c>
      <c r="CY25" s="80">
        <f t="shared" ref="CY25:CY28" si="33">CP25</f>
        <v>805.69499999999994</v>
      </c>
    </row>
    <row r="26" spans="1:103" outlineLevel="1" x14ac:dyDescent="0.2">
      <c r="A26" s="120"/>
      <c r="B26" s="72"/>
      <c r="C26" s="57" t="s">
        <v>1635</v>
      </c>
      <c r="D26" s="57" t="s">
        <v>1888</v>
      </c>
      <c r="E26" s="65" t="s">
        <v>1389</v>
      </c>
      <c r="F26" s="57" t="s">
        <v>1454</v>
      </c>
      <c r="G26" s="62" t="s">
        <v>1556</v>
      </c>
      <c r="H26" s="129" t="b">
        <v>0</v>
      </c>
      <c r="J26" s="123" t="s">
        <v>1866</v>
      </c>
      <c r="K26" s="123" t="s">
        <v>1866</v>
      </c>
      <c r="L26" s="123" t="s">
        <v>1866</v>
      </c>
      <c r="M26" s="137" t="b">
        <v>0</v>
      </c>
      <c r="Q26" s="128" t="b">
        <v>1</v>
      </c>
      <c r="R26" s="127" t="s">
        <v>1559</v>
      </c>
      <c r="S26" s="135" t="b">
        <v>1</v>
      </c>
      <c r="T26" s="126">
        <v>13</v>
      </c>
      <c r="U26" s="124">
        <v>1.4999999999999999E-2</v>
      </c>
      <c r="V26" s="126">
        <v>75</v>
      </c>
      <c r="W26" s="126">
        <v>-75</v>
      </c>
      <c r="X26" s="124">
        <v>50</v>
      </c>
      <c r="Y26" s="124">
        <v>5</v>
      </c>
      <c r="Z26" s="128" t="b">
        <v>1</v>
      </c>
      <c r="AA26" s="127" t="s">
        <v>1867</v>
      </c>
      <c r="AB26" s="133">
        <v>2</v>
      </c>
      <c r="AC26" s="137" t="b">
        <v>0</v>
      </c>
      <c r="AE26" s="137" t="b">
        <v>0</v>
      </c>
      <c r="AG26" s="135" t="b">
        <v>1</v>
      </c>
      <c r="AH26" s="125">
        <v>5</v>
      </c>
      <c r="AI26" s="125">
        <v>13</v>
      </c>
      <c r="AJ26" s="125">
        <v>34</v>
      </c>
      <c r="AK26" s="125">
        <v>89</v>
      </c>
      <c r="AL26" s="129" t="b">
        <v>0</v>
      </c>
      <c r="AM26" s="128" t="b">
        <v>1</v>
      </c>
      <c r="AN26" s="131" t="s">
        <v>1469</v>
      </c>
      <c r="AO26" s="141">
        <v>1.0000000000000001E-5</v>
      </c>
      <c r="AP26" s="128" t="b">
        <v>1</v>
      </c>
      <c r="AQ26" s="141">
        <v>1.0000000000000001E-5</v>
      </c>
      <c r="AR26" s="126">
        <v>5</v>
      </c>
      <c r="AS26" s="126">
        <v>8</v>
      </c>
      <c r="AT26" s="126">
        <v>5</v>
      </c>
      <c r="AU26" s="128" t="b">
        <v>1</v>
      </c>
      <c r="AV26" s="124">
        <v>3</v>
      </c>
      <c r="AW26" s="146">
        <v>5</v>
      </c>
      <c r="AX26" s="124">
        <v>1</v>
      </c>
      <c r="AY26" s="128" t="b">
        <v>1</v>
      </c>
      <c r="AZ26" s="122" t="s">
        <v>1586</v>
      </c>
      <c r="BA26" s="122">
        <v>4</v>
      </c>
      <c r="BB26" s="126">
        <v>0.05</v>
      </c>
      <c r="BC26" s="126">
        <v>0.5</v>
      </c>
      <c r="BD26" s="129" t="b">
        <v>0</v>
      </c>
      <c r="BE26" s="122" t="s">
        <v>1873</v>
      </c>
      <c r="BF26" s="128" t="b">
        <v>1</v>
      </c>
      <c r="BG26" s="122" t="s">
        <v>1578</v>
      </c>
      <c r="BH26" s="133">
        <v>0.02</v>
      </c>
      <c r="BI26" s="156" t="s">
        <v>403</v>
      </c>
      <c r="BJ26" s="128" t="b">
        <v>1</v>
      </c>
      <c r="BK26" s="161">
        <v>1.5</v>
      </c>
      <c r="BL26" s="129" t="b">
        <v>0</v>
      </c>
      <c r="BM26" s="156" t="s">
        <v>412</v>
      </c>
      <c r="BN26" s="128" t="b">
        <v>1</v>
      </c>
      <c r="BO26" s="156" t="s">
        <v>1382</v>
      </c>
      <c r="BP26" s="157">
        <v>1</v>
      </c>
      <c r="BQ26" s="157">
        <v>0.5</v>
      </c>
      <c r="BR26" s="166" t="str">
        <f t="shared" ref="BR26:BR28" si="34">AH26&amp;"/ "&amp;AI26&amp;"/ "&amp;AJ26&amp;"/ "&amp;AK26</f>
        <v>5/ 13/ 34/ 89</v>
      </c>
      <c r="BS26" s="166" t="str">
        <f>AR26&amp;" / "&amp;AS26&amp;" / "&amp;AT26</f>
        <v>5 / 8 / 5</v>
      </c>
      <c r="BT26" s="166" t="str">
        <f>BB26&amp;" / "&amp;BC26</f>
        <v>0.05 / 0.5</v>
      </c>
      <c r="BU26" s="66">
        <v>358</v>
      </c>
      <c r="BV26" s="66">
        <v>223</v>
      </c>
      <c r="BW26" s="66">
        <v>198</v>
      </c>
      <c r="BX26" s="99">
        <f>BV26-BW26</f>
        <v>25</v>
      </c>
      <c r="BY26" s="66">
        <v>24</v>
      </c>
      <c r="BZ26" s="92">
        <f>BU26-SUM(BW26:BY26)</f>
        <v>111</v>
      </c>
      <c r="CA26" s="204">
        <f t="shared" si="26"/>
        <v>0.62290502793296088</v>
      </c>
      <c r="CB26" s="205">
        <f t="shared" si="27"/>
        <v>6.7039106145251395E-2</v>
      </c>
      <c r="CC26" s="87">
        <v>6.22</v>
      </c>
      <c r="CD26" s="87">
        <v>19.93</v>
      </c>
      <c r="CE26" s="87">
        <v>0.44</v>
      </c>
      <c r="CF26" s="170">
        <f>BK26</f>
        <v>1.5</v>
      </c>
      <c r="CG26" s="87">
        <v>0.56000000000000005</v>
      </c>
      <c r="CH26" s="87">
        <v>0.41</v>
      </c>
      <c r="CI26" s="93">
        <v>2489.5</v>
      </c>
      <c r="CJ26" s="87">
        <v>11.16</v>
      </c>
      <c r="CK26" s="87">
        <v>9.06</v>
      </c>
      <c r="CL26" s="87">
        <v>-3.46</v>
      </c>
      <c r="CM26" s="165">
        <v>1000</v>
      </c>
      <c r="CN26" s="93">
        <v>7135.78</v>
      </c>
      <c r="CO26" s="108">
        <f>CM26+CN26</f>
        <v>8135.78</v>
      </c>
      <c r="CP26" s="108">
        <f>CN26/10</f>
        <v>713.57799999999997</v>
      </c>
      <c r="CR26" s="82">
        <f>CR$4</f>
        <v>12</v>
      </c>
      <c r="CS26" s="80">
        <f t="shared" si="28"/>
        <v>207.45833333333334</v>
      </c>
      <c r="CT26" s="80">
        <f t="shared" si="29"/>
        <v>594.64833333333331</v>
      </c>
      <c r="CU26" s="80">
        <f t="shared" si="30"/>
        <v>59.464833333333331</v>
      </c>
      <c r="CW26" s="80">
        <f t="shared" si="31"/>
        <v>2489.5</v>
      </c>
      <c r="CX26" s="80">
        <f t="shared" si="32"/>
        <v>7135.78</v>
      </c>
      <c r="CY26" s="80">
        <f t="shared" si="33"/>
        <v>713.57799999999997</v>
      </c>
    </row>
    <row r="27" spans="1:103" outlineLevel="1" x14ac:dyDescent="0.2">
      <c r="A27" s="120"/>
      <c r="B27" s="72"/>
      <c r="C27" s="57" t="s">
        <v>1629</v>
      </c>
      <c r="D27" s="57" t="s">
        <v>1888</v>
      </c>
      <c r="E27" s="65" t="s">
        <v>1389</v>
      </c>
      <c r="F27" s="57" t="s">
        <v>1454</v>
      </c>
      <c r="G27" s="62" t="s">
        <v>1556</v>
      </c>
      <c r="H27" s="129" t="b">
        <v>0</v>
      </c>
      <c r="J27" s="123" t="s">
        <v>1866</v>
      </c>
      <c r="K27" s="123" t="s">
        <v>1866</v>
      </c>
      <c r="L27" s="123" t="s">
        <v>1866</v>
      </c>
      <c r="M27" s="137" t="b">
        <v>0</v>
      </c>
      <c r="Q27" s="128" t="b">
        <v>1</v>
      </c>
      <c r="R27" s="127" t="s">
        <v>1559</v>
      </c>
      <c r="S27" s="135" t="b">
        <v>1</v>
      </c>
      <c r="T27" s="126">
        <v>13</v>
      </c>
      <c r="U27" s="124">
        <v>1.4999999999999999E-2</v>
      </c>
      <c r="V27" s="126">
        <v>75</v>
      </c>
      <c r="W27" s="126">
        <v>-75</v>
      </c>
      <c r="X27" s="124">
        <v>50</v>
      </c>
      <c r="Y27" s="124">
        <v>5</v>
      </c>
      <c r="Z27" s="128" t="b">
        <v>1</v>
      </c>
      <c r="AA27" s="127" t="s">
        <v>1867</v>
      </c>
      <c r="AB27" s="133">
        <v>2</v>
      </c>
      <c r="AC27" s="137" t="b">
        <v>0</v>
      </c>
      <c r="AE27" s="137" t="b">
        <v>0</v>
      </c>
      <c r="AG27" s="135" t="b">
        <v>1</v>
      </c>
      <c r="AH27" s="125">
        <v>5</v>
      </c>
      <c r="AI27" s="125">
        <v>13</v>
      </c>
      <c r="AJ27" s="125">
        <v>34</v>
      </c>
      <c r="AK27" s="125">
        <v>89</v>
      </c>
      <c r="AL27" s="129" t="b">
        <v>0</v>
      </c>
      <c r="AM27" s="128" t="b">
        <v>1</v>
      </c>
      <c r="AN27" s="131" t="s">
        <v>1469</v>
      </c>
      <c r="AO27" s="141">
        <v>1.0000000000000001E-5</v>
      </c>
      <c r="AP27" s="128" t="b">
        <v>1</v>
      </c>
      <c r="AQ27" s="141">
        <v>1.0000000000000001E-5</v>
      </c>
      <c r="AR27" s="126">
        <v>5</v>
      </c>
      <c r="AS27" s="126">
        <v>8</v>
      </c>
      <c r="AT27" s="126">
        <v>5</v>
      </c>
      <c r="AU27" s="128" t="b">
        <v>1</v>
      </c>
      <c r="AV27" s="124">
        <v>3</v>
      </c>
      <c r="AW27" s="146">
        <v>5</v>
      </c>
      <c r="AX27" s="124">
        <v>1</v>
      </c>
      <c r="AY27" s="128" t="b">
        <v>1</v>
      </c>
      <c r="AZ27" s="122" t="s">
        <v>1586</v>
      </c>
      <c r="BA27" s="122">
        <v>4</v>
      </c>
      <c r="BB27" s="126">
        <v>0.05</v>
      </c>
      <c r="BC27" s="126">
        <v>0.5</v>
      </c>
      <c r="BD27" s="129" t="b">
        <v>0</v>
      </c>
      <c r="BE27" s="122" t="s">
        <v>1873</v>
      </c>
      <c r="BF27" s="128" t="b">
        <v>1</v>
      </c>
      <c r="BG27" s="122" t="s">
        <v>1578</v>
      </c>
      <c r="BH27" s="133">
        <v>0.02</v>
      </c>
      <c r="BI27" s="156" t="s">
        <v>403</v>
      </c>
      <c r="BJ27" s="128" t="b">
        <v>1</v>
      </c>
      <c r="BK27" s="161">
        <v>1.5</v>
      </c>
      <c r="BL27" s="129" t="b">
        <v>0</v>
      </c>
      <c r="BM27" s="156" t="s">
        <v>412</v>
      </c>
      <c r="BN27" s="128" t="b">
        <v>1</v>
      </c>
      <c r="BO27" s="156" t="s">
        <v>1382</v>
      </c>
      <c r="BP27" s="157">
        <v>1</v>
      </c>
      <c r="BQ27" s="157">
        <v>0.5</v>
      </c>
      <c r="BR27" s="166" t="str">
        <f t="shared" si="34"/>
        <v>5/ 13/ 34/ 89</v>
      </c>
      <c r="BS27" s="166" t="str">
        <f>AR27&amp;" / "&amp;AS27&amp;" / "&amp;AT27</f>
        <v>5 / 8 / 5</v>
      </c>
      <c r="BT27" s="166" t="str">
        <f>BB27&amp;" / "&amp;BC27</f>
        <v>0.05 / 0.5</v>
      </c>
      <c r="BU27" s="66">
        <v>374</v>
      </c>
      <c r="BV27" s="66">
        <v>203</v>
      </c>
      <c r="BW27" s="66">
        <v>176</v>
      </c>
      <c r="BX27" s="99">
        <f>BV27-BW27</f>
        <v>27</v>
      </c>
      <c r="BY27" s="66">
        <v>41</v>
      </c>
      <c r="BZ27" s="92">
        <f>BU27-SUM(BW27:BY27)</f>
        <v>130</v>
      </c>
      <c r="CA27" s="204">
        <f t="shared" si="26"/>
        <v>0.54278074866310155</v>
      </c>
      <c r="CB27" s="205">
        <f t="shared" si="27"/>
        <v>0.10962566844919786</v>
      </c>
      <c r="CC27" s="87">
        <v>3.55</v>
      </c>
      <c r="CD27" s="87">
        <v>12.69</v>
      </c>
      <c r="CE27" s="87">
        <v>0.34</v>
      </c>
      <c r="CF27" s="170">
        <f>BK27</f>
        <v>1.5</v>
      </c>
      <c r="CG27" s="87">
        <v>0.6</v>
      </c>
      <c r="CH27" s="87">
        <v>0.46</v>
      </c>
      <c r="CI27" s="93">
        <v>2649</v>
      </c>
      <c r="CJ27" s="87">
        <v>13.05</v>
      </c>
      <c r="CK27" s="87">
        <v>10.72</v>
      </c>
      <c r="CL27" s="87">
        <v>-6.09</v>
      </c>
      <c r="CM27" s="165">
        <v>1000</v>
      </c>
      <c r="CN27" s="93">
        <v>4746.2299999999996</v>
      </c>
      <c r="CO27" s="108">
        <f>CM27+CN27</f>
        <v>5746.23</v>
      </c>
      <c r="CP27" s="108">
        <f>CN27/10</f>
        <v>474.62299999999993</v>
      </c>
      <c r="CR27" s="82">
        <f>CR$4</f>
        <v>12</v>
      </c>
      <c r="CS27" s="80">
        <f t="shared" si="28"/>
        <v>220.75</v>
      </c>
      <c r="CT27" s="80">
        <f t="shared" si="29"/>
        <v>395.51916666666665</v>
      </c>
      <c r="CU27" s="80">
        <f t="shared" si="30"/>
        <v>39.551916666666664</v>
      </c>
      <c r="CW27" s="80">
        <f t="shared" si="31"/>
        <v>2649</v>
      </c>
      <c r="CX27" s="80">
        <f t="shared" si="32"/>
        <v>4746.2299999999996</v>
      </c>
      <c r="CY27" s="80">
        <f t="shared" si="33"/>
        <v>474.62299999999993</v>
      </c>
    </row>
    <row r="28" spans="1:103" outlineLevel="1" x14ac:dyDescent="0.2">
      <c r="A28" s="120"/>
      <c r="B28" s="72"/>
      <c r="C28" s="57" t="s">
        <v>1633</v>
      </c>
      <c r="D28" s="57" t="s">
        <v>1888</v>
      </c>
      <c r="E28" s="65" t="s">
        <v>1389</v>
      </c>
      <c r="F28" s="57" t="s">
        <v>1454</v>
      </c>
      <c r="G28" s="62" t="s">
        <v>1556</v>
      </c>
      <c r="H28" s="129" t="b">
        <v>0</v>
      </c>
      <c r="J28" s="123" t="s">
        <v>1866</v>
      </c>
      <c r="K28" s="123" t="s">
        <v>1866</v>
      </c>
      <c r="L28" s="123" t="s">
        <v>1866</v>
      </c>
      <c r="M28" s="137" t="b">
        <v>0</v>
      </c>
      <c r="Q28" s="128" t="b">
        <v>1</v>
      </c>
      <c r="R28" s="127" t="s">
        <v>1559</v>
      </c>
      <c r="S28" s="135" t="b">
        <v>1</v>
      </c>
      <c r="T28" s="126">
        <v>13</v>
      </c>
      <c r="U28" s="124">
        <v>1.4999999999999999E-2</v>
      </c>
      <c r="V28" s="126">
        <v>75</v>
      </c>
      <c r="W28" s="126">
        <v>-75</v>
      </c>
      <c r="X28" s="124">
        <v>50</v>
      </c>
      <c r="Y28" s="124">
        <v>5</v>
      </c>
      <c r="Z28" s="128" t="b">
        <v>1</v>
      </c>
      <c r="AA28" s="127" t="s">
        <v>1867</v>
      </c>
      <c r="AB28" s="133">
        <v>2</v>
      </c>
      <c r="AC28" s="137" t="b">
        <v>0</v>
      </c>
      <c r="AE28" s="137" t="b">
        <v>0</v>
      </c>
      <c r="AG28" s="135" t="b">
        <v>1</v>
      </c>
      <c r="AH28" s="125">
        <v>5</v>
      </c>
      <c r="AI28" s="125">
        <v>13</v>
      </c>
      <c r="AJ28" s="125">
        <v>34</v>
      </c>
      <c r="AK28" s="125">
        <v>89</v>
      </c>
      <c r="AL28" s="129" t="b">
        <v>0</v>
      </c>
      <c r="AM28" s="128" t="b">
        <v>1</v>
      </c>
      <c r="AN28" s="131" t="s">
        <v>1469</v>
      </c>
      <c r="AO28" s="141">
        <v>1.0000000000000001E-5</v>
      </c>
      <c r="AP28" s="128" t="b">
        <v>1</v>
      </c>
      <c r="AQ28" s="141">
        <v>1.0000000000000001E-5</v>
      </c>
      <c r="AR28" s="126">
        <v>5</v>
      </c>
      <c r="AS28" s="126">
        <v>8</v>
      </c>
      <c r="AT28" s="126">
        <v>5</v>
      </c>
      <c r="AU28" s="128" t="b">
        <v>1</v>
      </c>
      <c r="AV28" s="124">
        <v>3</v>
      </c>
      <c r="AW28" s="146">
        <v>5</v>
      </c>
      <c r="AX28" s="124">
        <v>1</v>
      </c>
      <c r="AY28" s="128" t="b">
        <v>1</v>
      </c>
      <c r="AZ28" s="122" t="s">
        <v>1586</v>
      </c>
      <c r="BA28" s="122">
        <v>4</v>
      </c>
      <c r="BB28" s="126">
        <v>0.05</v>
      </c>
      <c r="BC28" s="126">
        <v>0.5</v>
      </c>
      <c r="BD28" s="129" t="b">
        <v>0</v>
      </c>
      <c r="BE28" s="122" t="s">
        <v>1873</v>
      </c>
      <c r="BF28" s="128" t="b">
        <v>1</v>
      </c>
      <c r="BG28" s="122" t="s">
        <v>1578</v>
      </c>
      <c r="BH28" s="133">
        <v>0.02</v>
      </c>
      <c r="BI28" s="156" t="s">
        <v>403</v>
      </c>
      <c r="BJ28" s="128" t="b">
        <v>1</v>
      </c>
      <c r="BK28" s="161">
        <v>1.5</v>
      </c>
      <c r="BL28" s="129" t="b">
        <v>0</v>
      </c>
      <c r="BM28" s="156" t="s">
        <v>412</v>
      </c>
      <c r="BN28" s="128" t="b">
        <v>1</v>
      </c>
      <c r="BO28" s="156" t="s">
        <v>1382</v>
      </c>
      <c r="BP28" s="157">
        <v>1</v>
      </c>
      <c r="BQ28" s="157">
        <v>0.5</v>
      </c>
      <c r="BR28" s="166" t="str">
        <f t="shared" si="34"/>
        <v>5/ 13/ 34/ 89</v>
      </c>
      <c r="BS28" s="166" t="str">
        <f>AR28&amp;" / "&amp;AS28&amp;" / "&amp;AT28</f>
        <v>5 / 8 / 5</v>
      </c>
      <c r="BT28" s="166" t="str">
        <f>BB28&amp;" / "&amp;BC28</f>
        <v>0.05 / 0.5</v>
      </c>
      <c r="BU28" s="66">
        <v>408</v>
      </c>
      <c r="BV28" s="66">
        <v>228</v>
      </c>
      <c r="BW28" s="66">
        <v>184</v>
      </c>
      <c r="BX28" s="99">
        <f>BV28-BW28</f>
        <v>44</v>
      </c>
      <c r="BY28" s="66">
        <v>49</v>
      </c>
      <c r="BZ28" s="92">
        <f>BU28-SUM(BW28:BY28)</f>
        <v>131</v>
      </c>
      <c r="CA28" s="204">
        <f t="shared" si="26"/>
        <v>0.55882352941176472</v>
      </c>
      <c r="CB28" s="205">
        <f t="shared" si="27"/>
        <v>0.12009803921568628</v>
      </c>
      <c r="CC28" s="87">
        <v>4.09</v>
      </c>
      <c r="CD28" s="87">
        <v>16.93</v>
      </c>
      <c r="CE28" s="87">
        <v>0.36</v>
      </c>
      <c r="CF28" s="170">
        <f>BK28</f>
        <v>1.5</v>
      </c>
      <c r="CG28" s="87">
        <v>0.64</v>
      </c>
      <c r="CH28" s="87">
        <v>0.44</v>
      </c>
      <c r="CI28" s="93">
        <v>3679.2</v>
      </c>
      <c r="CJ28" s="87">
        <v>16.14</v>
      </c>
      <c r="CK28" s="87">
        <v>13.28</v>
      </c>
      <c r="CL28" s="87">
        <v>-4.2</v>
      </c>
      <c r="CM28" s="165">
        <v>1000</v>
      </c>
      <c r="CN28" s="93">
        <v>6906.1</v>
      </c>
      <c r="CO28" s="108">
        <f>CM28+CN28</f>
        <v>7906.1</v>
      </c>
      <c r="CP28" s="108">
        <f>CN28/10</f>
        <v>690.61</v>
      </c>
      <c r="CR28" s="82">
        <f>CR$4</f>
        <v>12</v>
      </c>
      <c r="CS28" s="80">
        <f t="shared" si="28"/>
        <v>306.59999999999997</v>
      </c>
      <c r="CT28" s="80">
        <f t="shared" si="29"/>
        <v>575.50833333333333</v>
      </c>
      <c r="CU28" s="80">
        <f t="shared" si="30"/>
        <v>57.55083333333333</v>
      </c>
      <c r="CW28" s="80">
        <f t="shared" si="31"/>
        <v>3679.2</v>
      </c>
      <c r="CX28" s="80">
        <f t="shared" si="32"/>
        <v>6906.1</v>
      </c>
      <c r="CY28" s="80">
        <f t="shared" si="33"/>
        <v>690.61</v>
      </c>
    </row>
    <row r="29" spans="1:103" s="111" customFormat="1" x14ac:dyDescent="0.2">
      <c r="G29" s="189"/>
      <c r="H29" s="190"/>
      <c r="I29" s="190"/>
      <c r="J29" s="191"/>
      <c r="K29" s="191"/>
      <c r="L29" s="191"/>
      <c r="M29" s="147"/>
      <c r="N29" s="147"/>
      <c r="O29" s="147"/>
      <c r="P29" s="147"/>
      <c r="Q29" s="190"/>
      <c r="R29" s="190"/>
      <c r="S29" s="147"/>
      <c r="T29" s="147"/>
      <c r="U29" s="147"/>
      <c r="V29" s="147"/>
      <c r="W29" s="147"/>
      <c r="X29" s="147"/>
      <c r="Y29" s="147"/>
      <c r="Z29" s="190"/>
      <c r="AA29" s="190"/>
      <c r="AB29" s="190"/>
      <c r="AC29" s="192"/>
      <c r="AD29" s="192"/>
      <c r="AE29" s="147"/>
      <c r="AF29" s="147"/>
      <c r="AG29" s="147"/>
      <c r="AH29" s="147"/>
      <c r="AI29" s="147"/>
      <c r="AJ29" s="147"/>
      <c r="AK29" s="147"/>
      <c r="AL29" s="190"/>
      <c r="AM29" s="190"/>
      <c r="AN29" s="190"/>
      <c r="AO29" s="141"/>
      <c r="AP29" s="190"/>
      <c r="AQ29" s="193"/>
      <c r="AR29" s="190"/>
      <c r="AS29" s="194"/>
      <c r="AT29" s="195"/>
      <c r="AU29" s="190"/>
      <c r="AV29" s="147"/>
      <c r="AW29" s="147"/>
      <c r="AX29" s="147"/>
      <c r="AY29" s="190"/>
      <c r="AZ29" s="190"/>
      <c r="BA29" s="190"/>
      <c r="BB29" s="195"/>
      <c r="BC29" s="196"/>
      <c r="BD29" s="190"/>
      <c r="BE29" s="190"/>
      <c r="BF29" s="190"/>
      <c r="BG29" s="190"/>
      <c r="BH29" s="190"/>
      <c r="BI29" s="196"/>
      <c r="BJ29" s="190"/>
      <c r="BK29" s="197"/>
      <c r="BL29" s="190"/>
      <c r="BM29" s="196"/>
      <c r="BN29" s="190"/>
      <c r="BO29" s="196"/>
      <c r="BP29" s="198"/>
      <c r="BQ29" s="198"/>
      <c r="BR29" s="198"/>
      <c r="BS29" s="199"/>
      <c r="BT29" s="199"/>
      <c r="BU29" s="200"/>
      <c r="CB29" s="203"/>
      <c r="CF29" s="201"/>
    </row>
    <row r="30" spans="1:103" x14ac:dyDescent="0.2">
      <c r="A30" s="120">
        <v>250707</v>
      </c>
      <c r="B30" s="72" t="s">
        <v>1896</v>
      </c>
      <c r="C30" s="57" t="s">
        <v>1387</v>
      </c>
      <c r="D30" s="57" t="s">
        <v>1888</v>
      </c>
      <c r="E30" s="65" t="s">
        <v>1389</v>
      </c>
      <c r="F30" s="57" t="s">
        <v>1454</v>
      </c>
      <c r="G30" s="62" t="s">
        <v>1556</v>
      </c>
      <c r="H30" s="129" t="b">
        <v>0</v>
      </c>
      <c r="J30" s="123" t="s">
        <v>1866</v>
      </c>
      <c r="K30" s="123" t="s">
        <v>1866</v>
      </c>
      <c r="L30" s="123" t="s">
        <v>1866</v>
      </c>
      <c r="M30" s="137" t="b">
        <v>0</v>
      </c>
      <c r="Q30" s="128" t="b">
        <v>1</v>
      </c>
      <c r="R30" s="127" t="s">
        <v>1559</v>
      </c>
      <c r="S30" s="135" t="b">
        <v>1</v>
      </c>
      <c r="T30" s="126">
        <v>13</v>
      </c>
      <c r="U30" s="124">
        <v>1.4999999999999999E-2</v>
      </c>
      <c r="V30" s="126">
        <v>75</v>
      </c>
      <c r="W30" s="126">
        <v>-75</v>
      </c>
      <c r="X30" s="124">
        <v>50</v>
      </c>
      <c r="Y30" s="124">
        <v>5</v>
      </c>
      <c r="Z30" s="128" t="b">
        <v>1</v>
      </c>
      <c r="AA30" s="127" t="s">
        <v>1867</v>
      </c>
      <c r="AB30" s="133">
        <v>2</v>
      </c>
      <c r="AC30" s="137" t="b">
        <v>0</v>
      </c>
      <c r="AE30" s="137" t="b">
        <v>0</v>
      </c>
      <c r="AG30" s="135" t="b">
        <v>1</v>
      </c>
      <c r="AH30" s="125">
        <v>5</v>
      </c>
      <c r="AI30" s="125">
        <v>8</v>
      </c>
      <c r="AJ30" s="125">
        <v>11</v>
      </c>
      <c r="AK30" s="125">
        <v>13</v>
      </c>
      <c r="AL30" s="129" t="b">
        <v>0</v>
      </c>
      <c r="AM30" s="128" t="b">
        <v>1</v>
      </c>
      <c r="AN30" s="131" t="s">
        <v>1469</v>
      </c>
      <c r="AO30" s="141">
        <v>1.0000000000000001E-5</v>
      </c>
      <c r="AP30" s="128" t="b">
        <v>1</v>
      </c>
      <c r="AQ30" s="141">
        <v>1.0000000000000001E-5</v>
      </c>
      <c r="AR30" s="126">
        <v>5</v>
      </c>
      <c r="AS30" s="126">
        <v>8</v>
      </c>
      <c r="AT30" s="126">
        <v>5</v>
      </c>
      <c r="AU30" s="128" t="b">
        <v>1</v>
      </c>
      <c r="AV30" s="124">
        <v>3</v>
      </c>
      <c r="AW30" s="146">
        <v>5</v>
      </c>
      <c r="AX30" s="124">
        <v>1</v>
      </c>
      <c r="AY30" s="128" t="b">
        <v>1</v>
      </c>
      <c r="AZ30" s="122" t="s">
        <v>1586</v>
      </c>
      <c r="BA30" s="122">
        <v>4</v>
      </c>
      <c r="BB30" s="126">
        <v>0.05</v>
      </c>
      <c r="BC30" s="126">
        <v>0.5</v>
      </c>
      <c r="BD30" s="129" t="b">
        <v>0</v>
      </c>
      <c r="BE30" s="122" t="s">
        <v>1873</v>
      </c>
      <c r="BF30" s="128" t="b">
        <v>1</v>
      </c>
      <c r="BG30" s="122" t="s">
        <v>1578</v>
      </c>
      <c r="BH30" s="133">
        <v>0.02</v>
      </c>
      <c r="BI30" s="156" t="s">
        <v>403</v>
      </c>
      <c r="BJ30" s="128" t="b">
        <v>1</v>
      </c>
      <c r="BK30" s="161">
        <v>1.5</v>
      </c>
      <c r="BL30" s="129" t="b">
        <v>0</v>
      </c>
      <c r="BM30" s="156" t="s">
        <v>412</v>
      </c>
      <c r="BN30" s="128" t="b">
        <v>1</v>
      </c>
      <c r="BO30" s="156" t="s">
        <v>1382</v>
      </c>
      <c r="BP30" s="157">
        <v>1</v>
      </c>
      <c r="BQ30" s="157">
        <v>0.5</v>
      </c>
      <c r="BR30" s="166" t="str">
        <f t="shared" ref="BR30" si="35">AH30&amp;"/ "&amp;AI30&amp;"/ "&amp;AJ30&amp;"/ "&amp;AK30</f>
        <v>5/ 8/ 11/ 13</v>
      </c>
      <c r="BS30" s="166" t="str">
        <f t="shared" ref="BS30:BS37" si="36">AR30&amp;" / "&amp;AS30&amp;" / "&amp;AT30</f>
        <v>5 / 8 / 5</v>
      </c>
      <c r="BT30" s="166" t="str">
        <f t="shared" ref="BT30:BT37" si="37">BB30&amp;" / "&amp;BC30</f>
        <v>0.05 / 0.5</v>
      </c>
      <c r="BU30" s="66">
        <v>631</v>
      </c>
      <c r="BV30" s="66">
        <v>372</v>
      </c>
      <c r="BW30" s="66">
        <v>298</v>
      </c>
      <c r="BX30" s="99">
        <f t="shared" ref="BX30:BX37" si="38">BV30-BW30</f>
        <v>74</v>
      </c>
      <c r="BY30" s="66">
        <v>68</v>
      </c>
      <c r="BZ30" s="92">
        <f t="shared" ref="BZ30:BZ37" si="39">BU30-SUM(BW30:BY30)</f>
        <v>191</v>
      </c>
      <c r="CA30" s="204">
        <f>IF(BU30=0,0,BV30/BU30)</f>
        <v>0.58954041204437402</v>
      </c>
      <c r="CB30" s="205">
        <f>IF(BU30=0,0,BY30/BU30)</f>
        <v>0.10776545166402536</v>
      </c>
      <c r="CC30" s="87">
        <v>5.01</v>
      </c>
      <c r="CD30" s="87">
        <v>31.52</v>
      </c>
      <c r="CE30" s="87">
        <v>0.42</v>
      </c>
      <c r="CF30" s="170">
        <f t="shared" ref="CF30:CF37" si="40">BK30</f>
        <v>1.5</v>
      </c>
      <c r="CG30" s="87">
        <v>0.67</v>
      </c>
      <c r="CH30" s="87">
        <v>0.48</v>
      </c>
      <c r="CI30" s="93">
        <v>10224.6</v>
      </c>
      <c r="CJ30" s="87">
        <v>27.49</v>
      </c>
      <c r="CK30" s="87">
        <v>26.45</v>
      </c>
      <c r="CL30" s="87">
        <v>-3.96</v>
      </c>
      <c r="CM30" s="165">
        <v>1000</v>
      </c>
      <c r="CN30" s="93">
        <v>19888.18</v>
      </c>
      <c r="CO30" s="108">
        <f t="shared" ref="CO30:CO37" si="41">CM30+CN30</f>
        <v>20888.18</v>
      </c>
      <c r="CP30" s="108">
        <f t="shared" ref="CP30:CP37" si="42">CN30/10</f>
        <v>1988.818</v>
      </c>
      <c r="CR30" s="82">
        <f t="shared" ref="CR30:CR37" si="43">CR$4</f>
        <v>12</v>
      </c>
      <c r="CS30" s="80">
        <f t="shared" ref="CS30:CS37" si="44">CI30/CR30</f>
        <v>852.05000000000007</v>
      </c>
      <c r="CT30" s="80">
        <f t="shared" ref="CT30:CT37" si="45">CN30/CR30</f>
        <v>1657.3483333333334</v>
      </c>
      <c r="CU30" s="80">
        <f t="shared" ref="CU30:CU37" si="46">CT30/10</f>
        <v>165.73483333333334</v>
      </c>
      <c r="CW30" s="80">
        <f t="shared" ref="CW30:CW37" si="47">CI30</f>
        <v>10224.6</v>
      </c>
      <c r="CX30" s="80">
        <f t="shared" ref="CX30:CX37" si="48">CN30</f>
        <v>19888.18</v>
      </c>
      <c r="CY30" s="80">
        <f t="shared" ref="CY30:CY37" si="49">CP30</f>
        <v>1988.818</v>
      </c>
    </row>
    <row r="31" spans="1:103" outlineLevel="1" x14ac:dyDescent="0.2">
      <c r="A31" s="120"/>
      <c r="B31" s="72"/>
      <c r="C31" s="57" t="s">
        <v>1387</v>
      </c>
      <c r="D31" s="57" t="s">
        <v>1888</v>
      </c>
      <c r="E31" s="65" t="s">
        <v>1389</v>
      </c>
      <c r="F31" s="57" t="s">
        <v>1454</v>
      </c>
      <c r="G31" s="62" t="s">
        <v>1556</v>
      </c>
      <c r="H31" s="129" t="b">
        <v>0</v>
      </c>
      <c r="J31" s="123" t="s">
        <v>1866</v>
      </c>
      <c r="K31" s="123" t="s">
        <v>1866</v>
      </c>
      <c r="L31" s="123" t="s">
        <v>1866</v>
      </c>
      <c r="M31" s="137" t="b">
        <v>0</v>
      </c>
      <c r="Q31" s="128" t="b">
        <v>1</v>
      </c>
      <c r="R31" s="127" t="s">
        <v>1559</v>
      </c>
      <c r="S31" s="135" t="b">
        <v>1</v>
      </c>
      <c r="T31" s="126">
        <v>13</v>
      </c>
      <c r="U31" s="124">
        <v>1.4999999999999999E-2</v>
      </c>
      <c r="V31" s="126">
        <v>75</v>
      </c>
      <c r="W31" s="126">
        <v>-75</v>
      </c>
      <c r="X31" s="124">
        <v>50</v>
      </c>
      <c r="Y31" s="124">
        <v>5</v>
      </c>
      <c r="Z31" s="128" t="b">
        <v>1</v>
      </c>
      <c r="AA31" s="127" t="s">
        <v>1867</v>
      </c>
      <c r="AB31" s="133">
        <v>2</v>
      </c>
      <c r="AC31" s="137" t="b">
        <v>0</v>
      </c>
      <c r="AE31" s="137" t="b">
        <v>0</v>
      </c>
      <c r="AG31" s="135" t="b">
        <v>1</v>
      </c>
      <c r="AH31" s="125">
        <v>5</v>
      </c>
      <c r="AI31" s="125">
        <v>8</v>
      </c>
      <c r="AJ31" s="125">
        <v>11</v>
      </c>
      <c r="AK31" s="125">
        <v>13</v>
      </c>
      <c r="AL31" s="129" t="b">
        <v>0</v>
      </c>
      <c r="AM31" s="128" t="b">
        <v>1</v>
      </c>
      <c r="AN31" s="131" t="s">
        <v>1469</v>
      </c>
      <c r="AO31" s="141">
        <v>1.0000000000000001E-5</v>
      </c>
      <c r="AP31" s="128" t="b">
        <v>1</v>
      </c>
      <c r="AQ31" s="141">
        <v>1.0000000000000001E-5</v>
      </c>
      <c r="AR31" s="137">
        <v>5</v>
      </c>
      <c r="AS31" s="137">
        <v>13</v>
      </c>
      <c r="AT31" s="137">
        <v>5</v>
      </c>
      <c r="AU31" s="128" t="b">
        <v>1</v>
      </c>
      <c r="AV31" s="124">
        <v>3</v>
      </c>
      <c r="AW31" s="146">
        <v>5</v>
      </c>
      <c r="AX31" s="124">
        <v>1</v>
      </c>
      <c r="AY31" s="128" t="b">
        <v>1</v>
      </c>
      <c r="AZ31" s="122" t="s">
        <v>1586</v>
      </c>
      <c r="BA31" s="122">
        <v>4</v>
      </c>
      <c r="BB31" s="126">
        <v>0.05</v>
      </c>
      <c r="BC31" s="126">
        <v>0.5</v>
      </c>
      <c r="BD31" s="129" t="b">
        <v>0</v>
      </c>
      <c r="BE31" s="122" t="s">
        <v>1873</v>
      </c>
      <c r="BF31" s="128" t="b">
        <v>1</v>
      </c>
      <c r="BG31" s="122" t="s">
        <v>1578</v>
      </c>
      <c r="BH31" s="133">
        <v>0.02</v>
      </c>
      <c r="BI31" s="156" t="s">
        <v>403</v>
      </c>
      <c r="BJ31" s="128" t="b">
        <v>1</v>
      </c>
      <c r="BK31" s="161">
        <v>1.5</v>
      </c>
      <c r="BL31" s="129" t="b">
        <v>0</v>
      </c>
      <c r="BM31" s="156" t="s">
        <v>412</v>
      </c>
      <c r="BN31" s="128" t="b">
        <v>1</v>
      </c>
      <c r="BO31" s="156" t="s">
        <v>1382</v>
      </c>
      <c r="BP31" s="157">
        <v>1</v>
      </c>
      <c r="BQ31" s="157">
        <v>0.5</v>
      </c>
      <c r="BR31" s="166" t="str">
        <f>AH31&amp;"/ "&amp;AI31&amp;"/ "&amp;AJ31&amp;"/ "&amp;AK31</f>
        <v>5/ 8/ 11/ 13</v>
      </c>
      <c r="BS31" s="166" t="str">
        <f t="shared" si="36"/>
        <v>5 / 13 / 5</v>
      </c>
      <c r="BT31" s="166" t="str">
        <f t="shared" si="37"/>
        <v>0.05 / 0.5</v>
      </c>
      <c r="BU31" s="66">
        <v>618</v>
      </c>
      <c r="BV31" s="66">
        <v>364</v>
      </c>
      <c r="BW31" s="66">
        <v>292</v>
      </c>
      <c r="BX31" s="99">
        <f t="shared" si="38"/>
        <v>72</v>
      </c>
      <c r="BY31" s="66">
        <v>65</v>
      </c>
      <c r="BZ31" s="92">
        <f t="shared" si="39"/>
        <v>189</v>
      </c>
      <c r="CA31" s="204">
        <f t="shared" ref="CA31:CA37" si="50">IF(BU31=0,0,BV31/BU31)</f>
        <v>0.5889967637540453</v>
      </c>
      <c r="CB31" s="205">
        <f>IF(BU31=0,0,BY31/BU31)</f>
        <v>0.10517799352750809</v>
      </c>
      <c r="CC31" s="87">
        <v>5.31</v>
      </c>
      <c r="CD31" s="87">
        <v>31.75</v>
      </c>
      <c r="CE31" s="87">
        <v>0.43</v>
      </c>
      <c r="CF31" s="170">
        <f t="shared" si="40"/>
        <v>1.5</v>
      </c>
      <c r="CG31" s="87">
        <v>0.67</v>
      </c>
      <c r="CH31" s="87">
        <v>0.48</v>
      </c>
      <c r="CI31" s="93">
        <v>9896.1</v>
      </c>
      <c r="CJ31" s="87">
        <v>27.19</v>
      </c>
      <c r="CK31" s="87">
        <v>25.84</v>
      </c>
      <c r="CL31" s="87">
        <v>-3.96</v>
      </c>
      <c r="CM31" s="165">
        <v>1000</v>
      </c>
      <c r="CN31" s="93">
        <v>19622.09</v>
      </c>
      <c r="CO31" s="108">
        <f t="shared" si="41"/>
        <v>20622.09</v>
      </c>
      <c r="CP31" s="108">
        <f t="shared" si="42"/>
        <v>1962.2090000000001</v>
      </c>
      <c r="CR31" s="82">
        <f t="shared" si="43"/>
        <v>12</v>
      </c>
      <c r="CS31" s="80">
        <f t="shared" si="44"/>
        <v>824.67500000000007</v>
      </c>
      <c r="CT31" s="80">
        <f t="shared" si="45"/>
        <v>1635.1741666666667</v>
      </c>
      <c r="CU31" s="80">
        <f t="shared" si="46"/>
        <v>163.51741666666666</v>
      </c>
      <c r="CW31" s="80">
        <f t="shared" si="47"/>
        <v>9896.1</v>
      </c>
      <c r="CX31" s="80">
        <f t="shared" si="48"/>
        <v>19622.09</v>
      </c>
      <c r="CY31" s="80">
        <f t="shared" si="49"/>
        <v>1962.2090000000001</v>
      </c>
    </row>
    <row r="32" spans="1:103" outlineLevel="1" x14ac:dyDescent="0.2">
      <c r="A32" s="120"/>
      <c r="B32" s="72"/>
      <c r="C32" s="57" t="s">
        <v>1387</v>
      </c>
      <c r="D32" s="57" t="s">
        <v>1888</v>
      </c>
      <c r="E32" s="65" t="s">
        <v>1389</v>
      </c>
      <c r="F32" s="57" t="s">
        <v>1454</v>
      </c>
      <c r="G32" s="62" t="s">
        <v>1556</v>
      </c>
      <c r="H32" s="129" t="b">
        <v>0</v>
      </c>
      <c r="J32" s="123" t="s">
        <v>1866</v>
      </c>
      <c r="K32" s="123" t="s">
        <v>1866</v>
      </c>
      <c r="L32" s="123" t="s">
        <v>1866</v>
      </c>
      <c r="M32" s="137" t="b">
        <v>0</v>
      </c>
      <c r="Q32" s="128" t="b">
        <v>1</v>
      </c>
      <c r="R32" s="127" t="s">
        <v>1559</v>
      </c>
      <c r="S32" s="135" t="b">
        <v>1</v>
      </c>
      <c r="T32" s="126">
        <v>13</v>
      </c>
      <c r="U32" s="124">
        <v>1.4999999999999999E-2</v>
      </c>
      <c r="V32" s="126">
        <v>75</v>
      </c>
      <c r="W32" s="126">
        <v>-75</v>
      </c>
      <c r="X32" s="124">
        <v>50</v>
      </c>
      <c r="Y32" s="124">
        <v>5</v>
      </c>
      <c r="Z32" s="128" t="b">
        <v>1</v>
      </c>
      <c r="AA32" s="127" t="s">
        <v>1867</v>
      </c>
      <c r="AB32" s="133">
        <v>2</v>
      </c>
      <c r="AC32" s="137" t="b">
        <v>0</v>
      </c>
      <c r="AE32" s="137" t="b">
        <v>0</v>
      </c>
      <c r="AG32" s="135" t="b">
        <v>1</v>
      </c>
      <c r="AH32" s="125">
        <v>5</v>
      </c>
      <c r="AI32" s="125">
        <v>8</v>
      </c>
      <c r="AJ32" s="125">
        <v>11</v>
      </c>
      <c r="AK32" s="125">
        <v>13</v>
      </c>
      <c r="AL32" s="129" t="b">
        <v>0</v>
      </c>
      <c r="AM32" s="128" t="b">
        <v>1</v>
      </c>
      <c r="AN32" s="131" t="s">
        <v>1469</v>
      </c>
      <c r="AO32" s="141">
        <v>1.0000000000000001E-5</v>
      </c>
      <c r="AP32" s="128" t="b">
        <v>1</v>
      </c>
      <c r="AQ32" s="141">
        <v>1.0000000000000001E-5</v>
      </c>
      <c r="AR32" s="137">
        <v>5</v>
      </c>
      <c r="AS32" s="137">
        <v>13</v>
      </c>
      <c r="AT32" s="137">
        <v>8</v>
      </c>
      <c r="AU32" s="128" t="b">
        <v>1</v>
      </c>
      <c r="AV32" s="124">
        <v>3</v>
      </c>
      <c r="AW32" s="146">
        <v>5</v>
      </c>
      <c r="AX32" s="124">
        <v>1</v>
      </c>
      <c r="AY32" s="128" t="b">
        <v>1</v>
      </c>
      <c r="AZ32" s="122" t="s">
        <v>1586</v>
      </c>
      <c r="BA32" s="122">
        <v>4</v>
      </c>
      <c r="BB32" s="126">
        <v>0.05</v>
      </c>
      <c r="BC32" s="126">
        <v>0.5</v>
      </c>
      <c r="BD32" s="129" t="b">
        <v>0</v>
      </c>
      <c r="BE32" s="122" t="s">
        <v>1873</v>
      </c>
      <c r="BF32" s="128" t="b">
        <v>1</v>
      </c>
      <c r="BG32" s="122" t="s">
        <v>1578</v>
      </c>
      <c r="BH32" s="133">
        <v>0.02</v>
      </c>
      <c r="BI32" s="156" t="s">
        <v>403</v>
      </c>
      <c r="BJ32" s="128" t="b">
        <v>1</v>
      </c>
      <c r="BK32" s="161">
        <v>1.5</v>
      </c>
      <c r="BL32" s="129" t="b">
        <v>0</v>
      </c>
      <c r="BM32" s="156" t="s">
        <v>412</v>
      </c>
      <c r="BN32" s="128" t="b">
        <v>1</v>
      </c>
      <c r="BO32" s="156" t="s">
        <v>1382</v>
      </c>
      <c r="BP32" s="157">
        <v>1</v>
      </c>
      <c r="BQ32" s="157">
        <v>0.5</v>
      </c>
      <c r="BR32" s="166" t="str">
        <f>AH32&amp;"/ "&amp;AI32&amp;"/ "&amp;AJ32&amp;"/ "&amp;AK32</f>
        <v>5/ 8/ 11/ 13</v>
      </c>
      <c r="BS32" s="166" t="str">
        <f t="shared" si="36"/>
        <v>5 / 13 / 8</v>
      </c>
      <c r="BT32" s="166" t="str">
        <f t="shared" si="37"/>
        <v>0.05 / 0.5</v>
      </c>
      <c r="BU32" s="66">
        <v>651</v>
      </c>
      <c r="BV32" s="66">
        <v>379</v>
      </c>
      <c r="BW32" s="66">
        <v>303</v>
      </c>
      <c r="BX32" s="99">
        <f t="shared" si="38"/>
        <v>76</v>
      </c>
      <c r="BY32" s="66">
        <v>82</v>
      </c>
      <c r="BZ32" s="92">
        <f t="shared" si="39"/>
        <v>190</v>
      </c>
      <c r="CA32" s="204">
        <f t="shared" si="50"/>
        <v>0.5821812596006144</v>
      </c>
      <c r="CB32" s="205">
        <f>IF(BU32=0,0,BY32/BU32)</f>
        <v>0.1259600614439324</v>
      </c>
      <c r="CC32" s="87">
        <v>4.09</v>
      </c>
      <c r="CD32" s="87">
        <v>29.68</v>
      </c>
      <c r="CE32" s="87">
        <v>0.39</v>
      </c>
      <c r="CF32" s="170">
        <f t="shared" si="40"/>
        <v>1.5</v>
      </c>
      <c r="CG32" s="87">
        <v>0.67</v>
      </c>
      <c r="CH32" s="87">
        <v>0.49</v>
      </c>
      <c r="CI32" s="93">
        <v>10532.8</v>
      </c>
      <c r="CJ32" s="87">
        <v>27.79</v>
      </c>
      <c r="CK32" s="87">
        <v>26.86</v>
      </c>
      <c r="CL32" s="87">
        <v>-4.96</v>
      </c>
      <c r="CM32" s="165">
        <v>1000</v>
      </c>
      <c r="CN32" s="93">
        <v>19320.77</v>
      </c>
      <c r="CO32" s="108">
        <f t="shared" si="41"/>
        <v>20320.77</v>
      </c>
      <c r="CP32" s="108">
        <f t="shared" si="42"/>
        <v>1932.077</v>
      </c>
      <c r="CR32" s="82">
        <f t="shared" si="43"/>
        <v>12</v>
      </c>
      <c r="CS32" s="80">
        <f t="shared" si="44"/>
        <v>877.73333333333323</v>
      </c>
      <c r="CT32" s="80">
        <f t="shared" si="45"/>
        <v>1610.0641666666668</v>
      </c>
      <c r="CU32" s="80">
        <f t="shared" si="46"/>
        <v>161.00641666666667</v>
      </c>
      <c r="CW32" s="80">
        <f t="shared" si="47"/>
        <v>10532.8</v>
      </c>
      <c r="CX32" s="80">
        <f t="shared" si="48"/>
        <v>19320.77</v>
      </c>
      <c r="CY32" s="80">
        <f t="shared" si="49"/>
        <v>1932.077</v>
      </c>
    </row>
    <row r="33" spans="1:103" outlineLevel="1" x14ac:dyDescent="0.2">
      <c r="A33" s="120"/>
      <c r="B33" s="72"/>
      <c r="C33" s="57" t="s">
        <v>1387</v>
      </c>
      <c r="D33" s="57" t="s">
        <v>1888</v>
      </c>
      <c r="E33" s="65" t="s">
        <v>1389</v>
      </c>
      <c r="F33" s="57" t="s">
        <v>1454</v>
      </c>
      <c r="G33" s="62" t="s">
        <v>1556</v>
      </c>
      <c r="H33" s="129" t="b">
        <v>0</v>
      </c>
      <c r="J33" s="123" t="s">
        <v>1866</v>
      </c>
      <c r="K33" s="123" t="s">
        <v>1866</v>
      </c>
      <c r="L33" s="123" t="s">
        <v>1866</v>
      </c>
      <c r="M33" s="137" t="b">
        <v>0</v>
      </c>
      <c r="Q33" s="128" t="b">
        <v>1</v>
      </c>
      <c r="R33" s="127" t="s">
        <v>1559</v>
      </c>
      <c r="S33" s="135" t="b">
        <v>1</v>
      </c>
      <c r="T33" s="126">
        <v>13</v>
      </c>
      <c r="U33" s="124">
        <v>1.4999999999999999E-2</v>
      </c>
      <c r="V33" s="126">
        <v>75</v>
      </c>
      <c r="W33" s="126">
        <v>-75</v>
      </c>
      <c r="X33" s="124">
        <v>50</v>
      </c>
      <c r="Y33" s="124">
        <v>5</v>
      </c>
      <c r="Z33" s="128" t="b">
        <v>1</v>
      </c>
      <c r="AA33" s="127" t="s">
        <v>1867</v>
      </c>
      <c r="AB33" s="133">
        <v>2</v>
      </c>
      <c r="AC33" s="137" t="b">
        <v>0</v>
      </c>
      <c r="AE33" s="137" t="b">
        <v>0</v>
      </c>
      <c r="AG33" s="135" t="b">
        <v>1</v>
      </c>
      <c r="AH33" s="125">
        <v>5</v>
      </c>
      <c r="AI33" s="125">
        <v>8</v>
      </c>
      <c r="AJ33" s="125">
        <v>11</v>
      </c>
      <c r="AK33" s="125">
        <v>13</v>
      </c>
      <c r="AL33" s="129" t="b">
        <v>0</v>
      </c>
      <c r="AM33" s="128" t="b">
        <v>1</v>
      </c>
      <c r="AN33" s="131" t="s">
        <v>1469</v>
      </c>
      <c r="AO33" s="141">
        <v>1.0000000000000001E-5</v>
      </c>
      <c r="AP33" s="128" t="b">
        <v>1</v>
      </c>
      <c r="AQ33" s="141">
        <v>1.0000000000000001E-5</v>
      </c>
      <c r="AR33" s="149">
        <v>8</v>
      </c>
      <c r="AS33" s="149">
        <v>13</v>
      </c>
      <c r="AT33" s="149">
        <v>8</v>
      </c>
      <c r="AU33" s="128" t="b">
        <v>1</v>
      </c>
      <c r="AV33" s="124">
        <v>3</v>
      </c>
      <c r="AW33" s="146">
        <v>5</v>
      </c>
      <c r="AX33" s="124">
        <v>1</v>
      </c>
      <c r="AY33" s="128" t="b">
        <v>1</v>
      </c>
      <c r="AZ33" s="122" t="s">
        <v>1586</v>
      </c>
      <c r="BA33" s="122">
        <v>4</v>
      </c>
      <c r="BB33" s="126">
        <v>0.05</v>
      </c>
      <c r="BC33" s="126">
        <v>0.5</v>
      </c>
      <c r="BD33" s="129" t="b">
        <v>0</v>
      </c>
      <c r="BE33" s="122" t="s">
        <v>1873</v>
      </c>
      <c r="BF33" s="128" t="b">
        <v>1</v>
      </c>
      <c r="BG33" s="122" t="s">
        <v>1578</v>
      </c>
      <c r="BH33" s="133">
        <v>0.02</v>
      </c>
      <c r="BI33" s="156" t="s">
        <v>403</v>
      </c>
      <c r="BJ33" s="128" t="b">
        <v>1</v>
      </c>
      <c r="BK33" s="161">
        <v>1.5</v>
      </c>
      <c r="BL33" s="129" t="b">
        <v>0</v>
      </c>
      <c r="BM33" s="156" t="s">
        <v>412</v>
      </c>
      <c r="BN33" s="128" t="b">
        <v>1</v>
      </c>
      <c r="BO33" s="156" t="s">
        <v>1382</v>
      </c>
      <c r="BP33" s="157">
        <v>1</v>
      </c>
      <c r="BQ33" s="157">
        <v>0.5</v>
      </c>
      <c r="BR33" s="166" t="str">
        <f t="shared" ref="BR33:BR37" si="51">AH33&amp;"/ "&amp;AI33&amp;"/ "&amp;AJ33&amp;"/ "&amp;AK33</f>
        <v>5/ 8/ 11/ 13</v>
      </c>
      <c r="BS33" s="166" t="str">
        <f t="shared" si="36"/>
        <v>8 / 13 / 8</v>
      </c>
      <c r="BT33" s="166" t="str">
        <f t="shared" si="37"/>
        <v>0.05 / 0.5</v>
      </c>
      <c r="BU33" s="66">
        <v>642</v>
      </c>
      <c r="BV33" s="66">
        <v>375</v>
      </c>
      <c r="BW33" s="66">
        <v>300</v>
      </c>
      <c r="BX33" s="99">
        <f t="shared" si="38"/>
        <v>75</v>
      </c>
      <c r="BY33" s="66">
        <v>80</v>
      </c>
      <c r="BZ33" s="92">
        <f t="shared" si="39"/>
        <v>187</v>
      </c>
      <c r="CA33" s="204">
        <f t="shared" si="50"/>
        <v>0.58411214953271029</v>
      </c>
      <c r="CB33" s="205">
        <f t="shared" ref="CB33:CB37" si="52">IF(BU33=0,0,BY33/BU33)</f>
        <v>0.12461059190031153</v>
      </c>
      <c r="CC33" s="87">
        <v>4.18</v>
      </c>
      <c r="CD33" s="87">
        <v>30.25</v>
      </c>
      <c r="CE33" s="87">
        <v>0.39</v>
      </c>
      <c r="CF33" s="170">
        <f t="shared" si="40"/>
        <v>1.5</v>
      </c>
      <c r="CG33" s="87">
        <v>0.68</v>
      </c>
      <c r="CH33" s="87">
        <v>0.5</v>
      </c>
      <c r="CI33" s="93">
        <v>10438.1</v>
      </c>
      <c r="CJ33" s="87">
        <v>27.83</v>
      </c>
      <c r="CK33" s="87">
        <v>26.58</v>
      </c>
      <c r="CL33" s="87">
        <v>-4.96</v>
      </c>
      <c r="CM33" s="165">
        <v>1000</v>
      </c>
      <c r="CN33" s="93">
        <v>19417.2</v>
      </c>
      <c r="CO33" s="108">
        <f t="shared" si="41"/>
        <v>20417.2</v>
      </c>
      <c r="CP33" s="108">
        <f t="shared" si="42"/>
        <v>1941.72</v>
      </c>
      <c r="CR33" s="82">
        <f t="shared" si="43"/>
        <v>12</v>
      </c>
      <c r="CS33" s="80">
        <f t="shared" si="44"/>
        <v>869.8416666666667</v>
      </c>
      <c r="CT33" s="80">
        <f t="shared" si="45"/>
        <v>1618.1000000000001</v>
      </c>
      <c r="CU33" s="80">
        <f t="shared" si="46"/>
        <v>161.81</v>
      </c>
      <c r="CW33" s="80">
        <f t="shared" si="47"/>
        <v>10438.1</v>
      </c>
      <c r="CX33" s="80">
        <f t="shared" si="48"/>
        <v>19417.2</v>
      </c>
      <c r="CY33" s="80">
        <f t="shared" si="49"/>
        <v>1941.72</v>
      </c>
    </row>
    <row r="34" spans="1:103" outlineLevel="1" x14ac:dyDescent="0.2">
      <c r="A34" s="120"/>
      <c r="B34" s="72"/>
      <c r="C34" s="57" t="s">
        <v>1387</v>
      </c>
      <c r="D34" s="57" t="s">
        <v>1888</v>
      </c>
      <c r="E34" s="65" t="s">
        <v>1389</v>
      </c>
      <c r="F34" s="57" t="s">
        <v>1454</v>
      </c>
      <c r="G34" s="62" t="s">
        <v>1556</v>
      </c>
      <c r="H34" s="129" t="b">
        <v>0</v>
      </c>
      <c r="J34" s="123" t="s">
        <v>1866</v>
      </c>
      <c r="K34" s="123" t="s">
        <v>1866</v>
      </c>
      <c r="L34" s="123" t="s">
        <v>1866</v>
      </c>
      <c r="M34" s="137" t="b">
        <v>0</v>
      </c>
      <c r="Q34" s="128" t="b">
        <v>1</v>
      </c>
      <c r="R34" s="127" t="s">
        <v>1559</v>
      </c>
      <c r="S34" s="135" t="b">
        <v>1</v>
      </c>
      <c r="T34" s="126">
        <v>13</v>
      </c>
      <c r="U34" s="124">
        <v>1.4999999999999999E-2</v>
      </c>
      <c r="V34" s="126">
        <v>75</v>
      </c>
      <c r="W34" s="126">
        <v>-75</v>
      </c>
      <c r="X34" s="124">
        <v>50</v>
      </c>
      <c r="Y34" s="124">
        <v>5</v>
      </c>
      <c r="Z34" s="128" t="b">
        <v>1</v>
      </c>
      <c r="AA34" s="127" t="s">
        <v>1867</v>
      </c>
      <c r="AB34" s="133">
        <v>2</v>
      </c>
      <c r="AC34" s="137" t="b">
        <v>0</v>
      </c>
      <c r="AE34" s="137" t="b">
        <v>0</v>
      </c>
      <c r="AG34" s="135" t="b">
        <v>1</v>
      </c>
      <c r="AH34" s="125">
        <v>5</v>
      </c>
      <c r="AI34" s="125">
        <v>8</v>
      </c>
      <c r="AJ34" s="125">
        <v>11</v>
      </c>
      <c r="AK34" s="125">
        <v>13</v>
      </c>
      <c r="AL34" s="129" t="b">
        <v>0</v>
      </c>
      <c r="AM34" s="128" t="b">
        <v>1</v>
      </c>
      <c r="AN34" s="131" t="s">
        <v>1469</v>
      </c>
      <c r="AO34" s="141">
        <v>1.0000000000000001E-5</v>
      </c>
      <c r="AP34" s="128" t="b">
        <v>1</v>
      </c>
      <c r="AQ34" s="141">
        <v>1.0000000000000001E-5</v>
      </c>
      <c r="AR34" s="149">
        <v>8</v>
      </c>
      <c r="AS34" s="149">
        <v>13</v>
      </c>
      <c r="AT34" s="149">
        <v>11</v>
      </c>
      <c r="AU34" s="128" t="b">
        <v>1</v>
      </c>
      <c r="AV34" s="124">
        <v>3</v>
      </c>
      <c r="AW34" s="146">
        <v>5</v>
      </c>
      <c r="AX34" s="124">
        <v>1</v>
      </c>
      <c r="AY34" s="128" t="b">
        <v>1</v>
      </c>
      <c r="AZ34" s="122" t="s">
        <v>1586</v>
      </c>
      <c r="BA34" s="122">
        <v>4</v>
      </c>
      <c r="BB34" s="126">
        <v>0.05</v>
      </c>
      <c r="BC34" s="126">
        <v>0.5</v>
      </c>
      <c r="BD34" s="129" t="b">
        <v>0</v>
      </c>
      <c r="BE34" s="122" t="s">
        <v>1873</v>
      </c>
      <c r="BF34" s="128" t="b">
        <v>1</v>
      </c>
      <c r="BG34" s="122" t="s">
        <v>1578</v>
      </c>
      <c r="BH34" s="133">
        <v>0.02</v>
      </c>
      <c r="BI34" s="156" t="s">
        <v>403</v>
      </c>
      <c r="BJ34" s="128" t="b">
        <v>1</v>
      </c>
      <c r="BK34" s="161">
        <v>1.5</v>
      </c>
      <c r="BL34" s="129" t="b">
        <v>0</v>
      </c>
      <c r="BM34" s="156" t="s">
        <v>412</v>
      </c>
      <c r="BN34" s="128" t="b">
        <v>1</v>
      </c>
      <c r="BO34" s="156" t="s">
        <v>1382</v>
      </c>
      <c r="BP34" s="157">
        <v>1</v>
      </c>
      <c r="BQ34" s="157">
        <v>0.5</v>
      </c>
      <c r="BR34" s="166" t="str">
        <f t="shared" si="51"/>
        <v>5/ 8/ 11/ 13</v>
      </c>
      <c r="BS34" s="166" t="str">
        <f t="shared" si="36"/>
        <v>8 / 13 / 11</v>
      </c>
      <c r="BT34" s="166" t="str">
        <f t="shared" si="37"/>
        <v>0.05 / 0.5</v>
      </c>
      <c r="BU34" s="66">
        <v>639</v>
      </c>
      <c r="BV34" s="66">
        <v>374</v>
      </c>
      <c r="BW34" s="66">
        <v>300</v>
      </c>
      <c r="BX34" s="99">
        <f t="shared" si="38"/>
        <v>74</v>
      </c>
      <c r="BY34" s="66">
        <v>80</v>
      </c>
      <c r="BZ34" s="92">
        <f t="shared" si="39"/>
        <v>185</v>
      </c>
      <c r="CA34" s="204">
        <f t="shared" si="50"/>
        <v>0.58528951486697967</v>
      </c>
      <c r="CB34" s="205">
        <f t="shared" si="52"/>
        <v>0.12519561815336464</v>
      </c>
      <c r="CC34" s="87">
        <v>4.17</v>
      </c>
      <c r="CD34" s="87">
        <v>30.49</v>
      </c>
      <c r="CE34" s="87">
        <v>0.4</v>
      </c>
      <c r="CF34" s="170">
        <f t="shared" si="40"/>
        <v>1.5</v>
      </c>
      <c r="CG34" s="87">
        <v>0.68</v>
      </c>
      <c r="CH34" s="87">
        <v>0.5</v>
      </c>
      <c r="CI34" s="93">
        <v>10399.799999999999</v>
      </c>
      <c r="CJ34" s="87">
        <v>27.81</v>
      </c>
      <c r="CK34" s="87">
        <v>26.61</v>
      </c>
      <c r="CL34" s="87">
        <v>-4.96</v>
      </c>
      <c r="CM34" s="165">
        <v>1000</v>
      </c>
      <c r="CN34" s="93">
        <v>19484.25</v>
      </c>
      <c r="CO34" s="108">
        <f t="shared" si="41"/>
        <v>20484.25</v>
      </c>
      <c r="CP34" s="108">
        <f t="shared" si="42"/>
        <v>1948.425</v>
      </c>
      <c r="CR34" s="82">
        <f t="shared" si="43"/>
        <v>12</v>
      </c>
      <c r="CS34" s="80">
        <f t="shared" si="44"/>
        <v>866.65</v>
      </c>
      <c r="CT34" s="80">
        <f t="shared" si="45"/>
        <v>1623.6875</v>
      </c>
      <c r="CU34" s="80">
        <f t="shared" si="46"/>
        <v>162.36875000000001</v>
      </c>
      <c r="CW34" s="80">
        <f t="shared" si="47"/>
        <v>10399.799999999999</v>
      </c>
      <c r="CX34" s="80">
        <f t="shared" si="48"/>
        <v>19484.25</v>
      </c>
      <c r="CY34" s="80">
        <f t="shared" si="49"/>
        <v>1948.425</v>
      </c>
    </row>
    <row r="35" spans="1:103" outlineLevel="1" x14ac:dyDescent="0.2">
      <c r="A35" s="120"/>
      <c r="B35" s="72"/>
      <c r="C35" s="57" t="s">
        <v>1387</v>
      </c>
      <c r="D35" s="57" t="s">
        <v>1888</v>
      </c>
      <c r="E35" s="65" t="s">
        <v>1389</v>
      </c>
      <c r="F35" s="57" t="s">
        <v>1454</v>
      </c>
      <c r="G35" s="62" t="s">
        <v>1556</v>
      </c>
      <c r="H35" s="129" t="b">
        <v>0</v>
      </c>
      <c r="J35" s="123" t="s">
        <v>1866</v>
      </c>
      <c r="K35" s="123" t="s">
        <v>1866</v>
      </c>
      <c r="L35" s="123" t="s">
        <v>1866</v>
      </c>
      <c r="M35" s="137" t="b">
        <v>0</v>
      </c>
      <c r="Q35" s="128" t="b">
        <v>1</v>
      </c>
      <c r="R35" s="127" t="s">
        <v>1559</v>
      </c>
      <c r="S35" s="135" t="b">
        <v>1</v>
      </c>
      <c r="T35" s="126">
        <v>13</v>
      </c>
      <c r="U35" s="124">
        <v>1.4999999999999999E-2</v>
      </c>
      <c r="V35" s="126">
        <v>75</v>
      </c>
      <c r="W35" s="126">
        <v>-75</v>
      </c>
      <c r="X35" s="124">
        <v>50</v>
      </c>
      <c r="Y35" s="124">
        <v>5</v>
      </c>
      <c r="Z35" s="128" t="b">
        <v>1</v>
      </c>
      <c r="AA35" s="127" t="s">
        <v>1867</v>
      </c>
      <c r="AB35" s="133">
        <v>2</v>
      </c>
      <c r="AC35" s="137" t="b">
        <v>0</v>
      </c>
      <c r="AE35" s="137" t="b">
        <v>0</v>
      </c>
      <c r="AG35" s="135" t="b">
        <v>1</v>
      </c>
      <c r="AH35" s="125">
        <v>5</v>
      </c>
      <c r="AI35" s="125">
        <v>8</v>
      </c>
      <c r="AJ35" s="125">
        <v>11</v>
      </c>
      <c r="AK35" s="125">
        <v>13</v>
      </c>
      <c r="AL35" s="129" t="b">
        <v>0</v>
      </c>
      <c r="AM35" s="128" t="b">
        <v>1</v>
      </c>
      <c r="AN35" s="131" t="s">
        <v>1469</v>
      </c>
      <c r="AO35" s="141">
        <v>1.0000000000000001E-5</v>
      </c>
      <c r="AP35" s="128" t="b">
        <v>1</v>
      </c>
      <c r="AQ35" s="141">
        <v>1.0000000000000001E-5</v>
      </c>
      <c r="AR35" s="150">
        <v>8</v>
      </c>
      <c r="AS35" s="150">
        <v>17</v>
      </c>
      <c r="AT35" s="150">
        <v>9</v>
      </c>
      <c r="AU35" s="128" t="b">
        <v>1</v>
      </c>
      <c r="AV35" s="124">
        <v>3</v>
      </c>
      <c r="AW35" s="146">
        <v>5</v>
      </c>
      <c r="AX35" s="124">
        <v>1</v>
      </c>
      <c r="AY35" s="128" t="b">
        <v>1</v>
      </c>
      <c r="AZ35" s="122" t="s">
        <v>1586</v>
      </c>
      <c r="BA35" s="122">
        <v>4</v>
      </c>
      <c r="BB35" s="126">
        <v>0.05</v>
      </c>
      <c r="BC35" s="126">
        <v>0.5</v>
      </c>
      <c r="BD35" s="129" t="b">
        <v>0</v>
      </c>
      <c r="BE35" s="122" t="s">
        <v>1873</v>
      </c>
      <c r="BF35" s="128" t="b">
        <v>1</v>
      </c>
      <c r="BG35" s="122" t="s">
        <v>1578</v>
      </c>
      <c r="BH35" s="133">
        <v>0.02</v>
      </c>
      <c r="BI35" s="156" t="s">
        <v>403</v>
      </c>
      <c r="BJ35" s="128" t="b">
        <v>1</v>
      </c>
      <c r="BK35" s="161">
        <v>1.5</v>
      </c>
      <c r="BL35" s="129" t="b">
        <v>0</v>
      </c>
      <c r="BM35" s="156" t="s">
        <v>412</v>
      </c>
      <c r="BN35" s="128" t="b">
        <v>1</v>
      </c>
      <c r="BO35" s="156" t="s">
        <v>1382</v>
      </c>
      <c r="BP35" s="157">
        <v>1</v>
      </c>
      <c r="BQ35" s="157">
        <v>0.5</v>
      </c>
      <c r="BR35" s="166" t="str">
        <f t="shared" si="51"/>
        <v>5/ 8/ 11/ 13</v>
      </c>
      <c r="BS35" s="166" t="str">
        <f t="shared" si="36"/>
        <v>8 / 17 / 9</v>
      </c>
      <c r="BT35" s="166" t="str">
        <f t="shared" si="37"/>
        <v>0.05 / 0.5</v>
      </c>
      <c r="BU35" s="66">
        <v>639</v>
      </c>
      <c r="BV35" s="66">
        <v>376</v>
      </c>
      <c r="BW35" s="66">
        <v>303</v>
      </c>
      <c r="BX35" s="99">
        <f t="shared" si="38"/>
        <v>73</v>
      </c>
      <c r="BY35" s="66">
        <v>79</v>
      </c>
      <c r="BZ35" s="92">
        <f t="shared" si="39"/>
        <v>184</v>
      </c>
      <c r="CA35" s="204">
        <f t="shared" si="50"/>
        <v>0.58841940532081383</v>
      </c>
      <c r="CB35" s="205">
        <f t="shared" si="52"/>
        <v>0.12363067292644757</v>
      </c>
      <c r="CC35" s="87">
        <v>4.2699999999999996</v>
      </c>
      <c r="CD35" s="87">
        <v>30.84</v>
      </c>
      <c r="CE35" s="87">
        <v>0.4</v>
      </c>
      <c r="CF35" s="170">
        <f t="shared" si="40"/>
        <v>1.5</v>
      </c>
      <c r="CG35" s="87">
        <v>0.68</v>
      </c>
      <c r="CH35" s="87">
        <v>0.5</v>
      </c>
      <c r="CI35" s="93">
        <v>10400.299999999999</v>
      </c>
      <c r="CJ35" s="87">
        <v>27.66</v>
      </c>
      <c r="CK35" s="87">
        <v>26.49</v>
      </c>
      <c r="CL35" s="87">
        <v>-4.96</v>
      </c>
      <c r="CM35" s="165">
        <v>1000</v>
      </c>
      <c r="CN35" s="93">
        <v>19704.47</v>
      </c>
      <c r="CO35" s="108">
        <f t="shared" si="41"/>
        <v>20704.47</v>
      </c>
      <c r="CP35" s="108">
        <f t="shared" si="42"/>
        <v>1970.4470000000001</v>
      </c>
      <c r="CR35" s="82">
        <f t="shared" si="43"/>
        <v>12</v>
      </c>
      <c r="CS35" s="80">
        <f t="shared" si="44"/>
        <v>866.69166666666661</v>
      </c>
      <c r="CT35" s="80">
        <f t="shared" si="45"/>
        <v>1642.0391666666667</v>
      </c>
      <c r="CU35" s="80">
        <f t="shared" si="46"/>
        <v>164.20391666666666</v>
      </c>
      <c r="CW35" s="80">
        <f t="shared" si="47"/>
        <v>10400.299999999999</v>
      </c>
      <c r="CX35" s="80">
        <f t="shared" si="48"/>
        <v>19704.47</v>
      </c>
      <c r="CY35" s="80">
        <f t="shared" si="49"/>
        <v>1970.4470000000001</v>
      </c>
    </row>
    <row r="36" spans="1:103" outlineLevel="1" x14ac:dyDescent="0.2">
      <c r="A36" s="120"/>
      <c r="B36" s="72"/>
      <c r="C36" s="57" t="s">
        <v>1387</v>
      </c>
      <c r="D36" s="57" t="s">
        <v>1888</v>
      </c>
      <c r="E36" s="65" t="s">
        <v>1389</v>
      </c>
      <c r="F36" s="57" t="s">
        <v>1454</v>
      </c>
      <c r="G36" s="62" t="s">
        <v>1556</v>
      </c>
      <c r="H36" s="129" t="b">
        <v>0</v>
      </c>
      <c r="J36" s="123" t="s">
        <v>1866</v>
      </c>
      <c r="K36" s="123" t="s">
        <v>1866</v>
      </c>
      <c r="L36" s="123" t="s">
        <v>1866</v>
      </c>
      <c r="M36" s="137" t="b">
        <v>0</v>
      </c>
      <c r="Q36" s="128" t="b">
        <v>1</v>
      </c>
      <c r="R36" s="127" t="s">
        <v>1559</v>
      </c>
      <c r="S36" s="135" t="b">
        <v>1</v>
      </c>
      <c r="T36" s="126">
        <v>13</v>
      </c>
      <c r="U36" s="124">
        <v>1.4999999999999999E-2</v>
      </c>
      <c r="V36" s="126">
        <v>75</v>
      </c>
      <c r="W36" s="126">
        <v>-75</v>
      </c>
      <c r="X36" s="124">
        <v>50</v>
      </c>
      <c r="Y36" s="124">
        <v>5</v>
      </c>
      <c r="Z36" s="128" t="b">
        <v>1</v>
      </c>
      <c r="AA36" s="127" t="s">
        <v>1867</v>
      </c>
      <c r="AB36" s="133">
        <v>2</v>
      </c>
      <c r="AC36" s="137" t="b">
        <v>0</v>
      </c>
      <c r="AE36" s="137" t="b">
        <v>0</v>
      </c>
      <c r="AG36" s="135" t="b">
        <v>1</v>
      </c>
      <c r="AH36" s="125">
        <v>5</v>
      </c>
      <c r="AI36" s="125">
        <v>8</v>
      </c>
      <c r="AJ36" s="125">
        <v>11</v>
      </c>
      <c r="AK36" s="125">
        <v>13</v>
      </c>
      <c r="AL36" s="129" t="b">
        <v>0</v>
      </c>
      <c r="AM36" s="128" t="b">
        <v>1</v>
      </c>
      <c r="AN36" s="131" t="s">
        <v>1469</v>
      </c>
      <c r="AO36" s="141">
        <v>1.0000000000000001E-5</v>
      </c>
      <c r="AP36" s="128" t="b">
        <v>1</v>
      </c>
      <c r="AQ36" s="141">
        <v>1.0000000000000001E-5</v>
      </c>
      <c r="AR36" s="152">
        <v>12</v>
      </c>
      <c r="AS36" s="152">
        <v>26</v>
      </c>
      <c r="AT36" s="152">
        <v>9</v>
      </c>
      <c r="AU36" s="128" t="b">
        <v>1</v>
      </c>
      <c r="AV36" s="124">
        <v>3</v>
      </c>
      <c r="AW36" s="146">
        <v>5</v>
      </c>
      <c r="AX36" s="124">
        <v>1</v>
      </c>
      <c r="AY36" s="128" t="b">
        <v>1</v>
      </c>
      <c r="AZ36" s="122" t="s">
        <v>1586</v>
      </c>
      <c r="BA36" s="122">
        <v>4</v>
      </c>
      <c r="BB36" s="126">
        <v>0.05</v>
      </c>
      <c r="BC36" s="126">
        <v>0.5</v>
      </c>
      <c r="BD36" s="129" t="b">
        <v>0</v>
      </c>
      <c r="BE36" s="122" t="s">
        <v>1873</v>
      </c>
      <c r="BF36" s="128" t="b">
        <v>1</v>
      </c>
      <c r="BG36" s="122" t="s">
        <v>1578</v>
      </c>
      <c r="BH36" s="133">
        <v>0.02</v>
      </c>
      <c r="BI36" s="156" t="s">
        <v>403</v>
      </c>
      <c r="BJ36" s="128" t="b">
        <v>1</v>
      </c>
      <c r="BK36" s="161">
        <v>1.5</v>
      </c>
      <c r="BL36" s="129" t="b">
        <v>0</v>
      </c>
      <c r="BM36" s="156" t="s">
        <v>412</v>
      </c>
      <c r="BN36" s="128" t="b">
        <v>1</v>
      </c>
      <c r="BO36" s="156" t="s">
        <v>1382</v>
      </c>
      <c r="BP36" s="157">
        <v>1</v>
      </c>
      <c r="BQ36" s="157">
        <v>0.5</v>
      </c>
      <c r="BR36" s="166" t="str">
        <f t="shared" si="51"/>
        <v>5/ 8/ 11/ 13</v>
      </c>
      <c r="BS36" s="166" t="str">
        <f t="shared" si="36"/>
        <v>12 / 26 / 9</v>
      </c>
      <c r="BT36" s="166" t="str">
        <f t="shared" si="37"/>
        <v>0.05 / 0.5</v>
      </c>
      <c r="BU36" s="66">
        <v>652</v>
      </c>
      <c r="BV36" s="66">
        <v>377</v>
      </c>
      <c r="BW36" s="66">
        <v>299</v>
      </c>
      <c r="BX36" s="99">
        <f t="shared" si="38"/>
        <v>78</v>
      </c>
      <c r="BY36" s="66">
        <v>82</v>
      </c>
      <c r="BZ36" s="92">
        <f t="shared" si="39"/>
        <v>193</v>
      </c>
      <c r="CA36" s="204">
        <f t="shared" si="50"/>
        <v>0.57822085889570551</v>
      </c>
      <c r="CB36" s="205">
        <f t="shared" si="52"/>
        <v>0.12576687116564417</v>
      </c>
      <c r="CC36" s="87">
        <v>4.17</v>
      </c>
      <c r="CD36" s="87">
        <v>31.98</v>
      </c>
      <c r="CE36" s="87">
        <v>0.4</v>
      </c>
      <c r="CF36" s="170">
        <f t="shared" si="40"/>
        <v>1.5</v>
      </c>
      <c r="CG36" s="87">
        <v>0.7</v>
      </c>
      <c r="CH36" s="87">
        <v>0.51</v>
      </c>
      <c r="CI36" s="93">
        <v>10474.6</v>
      </c>
      <c r="CJ36" s="87">
        <v>27.78</v>
      </c>
      <c r="CK36" s="87">
        <v>26.23</v>
      </c>
      <c r="CL36" s="87">
        <v>-5.42</v>
      </c>
      <c r="CM36" s="165">
        <v>1000</v>
      </c>
      <c r="CN36" s="103">
        <v>20847.5</v>
      </c>
      <c r="CO36" s="112">
        <f t="shared" si="41"/>
        <v>21847.5</v>
      </c>
      <c r="CP36" s="112">
        <f t="shared" si="42"/>
        <v>2084.75</v>
      </c>
      <c r="CR36" s="82">
        <f t="shared" si="43"/>
        <v>12</v>
      </c>
      <c r="CS36" s="80">
        <f t="shared" si="44"/>
        <v>872.88333333333333</v>
      </c>
      <c r="CT36" s="80">
        <f t="shared" si="45"/>
        <v>1737.2916666666667</v>
      </c>
      <c r="CU36" s="80">
        <f t="shared" si="46"/>
        <v>173.72916666666669</v>
      </c>
      <c r="CW36" s="80">
        <f t="shared" si="47"/>
        <v>10474.6</v>
      </c>
      <c r="CX36" s="80">
        <f t="shared" si="48"/>
        <v>20847.5</v>
      </c>
      <c r="CY36" s="80">
        <f t="shared" si="49"/>
        <v>2084.75</v>
      </c>
    </row>
    <row r="37" spans="1:103" outlineLevel="1" x14ac:dyDescent="0.2">
      <c r="A37" s="120"/>
      <c r="B37" s="72"/>
      <c r="C37" s="57" t="s">
        <v>1387</v>
      </c>
      <c r="D37" s="57" t="s">
        <v>1888</v>
      </c>
      <c r="E37" s="65" t="s">
        <v>1389</v>
      </c>
      <c r="F37" s="57" t="s">
        <v>1454</v>
      </c>
      <c r="G37" s="62" t="s">
        <v>1556</v>
      </c>
      <c r="H37" s="129" t="b">
        <v>0</v>
      </c>
      <c r="J37" s="123" t="s">
        <v>1866</v>
      </c>
      <c r="K37" s="123" t="s">
        <v>1866</v>
      </c>
      <c r="L37" s="123" t="s">
        <v>1866</v>
      </c>
      <c r="M37" s="137" t="b">
        <v>0</v>
      </c>
      <c r="Q37" s="128" t="b">
        <v>1</v>
      </c>
      <c r="R37" s="127" t="s">
        <v>1559</v>
      </c>
      <c r="S37" s="135" t="b">
        <v>1</v>
      </c>
      <c r="T37" s="126">
        <v>13</v>
      </c>
      <c r="U37" s="124">
        <v>1.4999999999999999E-2</v>
      </c>
      <c r="V37" s="126">
        <v>75</v>
      </c>
      <c r="W37" s="126">
        <v>-75</v>
      </c>
      <c r="X37" s="124">
        <v>50</v>
      </c>
      <c r="Y37" s="124">
        <v>5</v>
      </c>
      <c r="Z37" s="128" t="b">
        <v>1</v>
      </c>
      <c r="AA37" s="127" t="s">
        <v>1867</v>
      </c>
      <c r="AB37" s="133">
        <v>2</v>
      </c>
      <c r="AC37" s="137" t="b">
        <v>0</v>
      </c>
      <c r="AE37" s="137" t="b">
        <v>0</v>
      </c>
      <c r="AG37" s="135" t="b">
        <v>1</v>
      </c>
      <c r="AH37" s="125">
        <v>5</v>
      </c>
      <c r="AI37" s="125">
        <v>8</v>
      </c>
      <c r="AJ37" s="125">
        <v>11</v>
      </c>
      <c r="AK37" s="125">
        <v>13</v>
      </c>
      <c r="AL37" s="129" t="b">
        <v>0</v>
      </c>
      <c r="AM37" s="128" t="b">
        <v>1</v>
      </c>
      <c r="AN37" s="131" t="s">
        <v>1469</v>
      </c>
      <c r="AO37" s="141">
        <v>1.0000000000000001E-5</v>
      </c>
      <c r="AP37" s="128" t="b">
        <v>1</v>
      </c>
      <c r="AQ37" s="141">
        <v>1.0000000000000001E-5</v>
      </c>
      <c r="AR37" s="137">
        <v>21</v>
      </c>
      <c r="AS37" s="137">
        <v>34</v>
      </c>
      <c r="AT37" s="137">
        <v>9</v>
      </c>
      <c r="AU37" s="128" t="b">
        <v>1</v>
      </c>
      <c r="AV37" s="124">
        <v>3</v>
      </c>
      <c r="AW37" s="146">
        <v>5</v>
      </c>
      <c r="AX37" s="124">
        <v>1</v>
      </c>
      <c r="AY37" s="128" t="b">
        <v>1</v>
      </c>
      <c r="AZ37" s="122" t="s">
        <v>1586</v>
      </c>
      <c r="BA37" s="122">
        <v>4</v>
      </c>
      <c r="BB37" s="126">
        <v>0.05</v>
      </c>
      <c r="BC37" s="126">
        <v>0.5</v>
      </c>
      <c r="BD37" s="129" t="b">
        <v>0</v>
      </c>
      <c r="BE37" s="122" t="s">
        <v>1873</v>
      </c>
      <c r="BF37" s="128" t="b">
        <v>1</v>
      </c>
      <c r="BG37" s="122" t="s">
        <v>1578</v>
      </c>
      <c r="BH37" s="133">
        <v>0.02</v>
      </c>
      <c r="BI37" s="156" t="s">
        <v>403</v>
      </c>
      <c r="BJ37" s="128" t="b">
        <v>1</v>
      </c>
      <c r="BK37" s="161">
        <v>1.5</v>
      </c>
      <c r="BL37" s="129" t="b">
        <v>0</v>
      </c>
      <c r="BM37" s="156" t="s">
        <v>412</v>
      </c>
      <c r="BN37" s="128" t="b">
        <v>1</v>
      </c>
      <c r="BO37" s="156" t="s">
        <v>1382</v>
      </c>
      <c r="BP37" s="157">
        <v>1</v>
      </c>
      <c r="BQ37" s="157">
        <v>0.5</v>
      </c>
      <c r="BR37" s="166" t="str">
        <f t="shared" si="51"/>
        <v>5/ 8/ 11/ 13</v>
      </c>
      <c r="BS37" s="166" t="str">
        <f t="shared" si="36"/>
        <v>21 / 34 / 9</v>
      </c>
      <c r="BT37" s="166" t="str">
        <f t="shared" si="37"/>
        <v>0.05 / 0.5</v>
      </c>
      <c r="BU37" s="66">
        <v>648</v>
      </c>
      <c r="BV37" s="66">
        <v>369</v>
      </c>
      <c r="BW37" s="66">
        <v>293</v>
      </c>
      <c r="BX37" s="99">
        <f t="shared" si="38"/>
        <v>76</v>
      </c>
      <c r="BY37" s="66">
        <v>84</v>
      </c>
      <c r="BZ37" s="92">
        <f t="shared" si="39"/>
        <v>195</v>
      </c>
      <c r="CA37" s="204">
        <f t="shared" si="50"/>
        <v>0.56944444444444442</v>
      </c>
      <c r="CB37" s="205">
        <f t="shared" si="52"/>
        <v>0.12962962962962962</v>
      </c>
      <c r="CC37" s="87">
        <v>3.94</v>
      </c>
      <c r="CD37" s="87">
        <v>30.82</v>
      </c>
      <c r="CE37" s="87">
        <v>0.39</v>
      </c>
      <c r="CF37" s="170">
        <f t="shared" si="40"/>
        <v>1.5</v>
      </c>
      <c r="CG37" s="87">
        <v>0.7</v>
      </c>
      <c r="CH37" s="87">
        <v>0.52</v>
      </c>
      <c r="CI37" s="93">
        <v>10318.1</v>
      </c>
      <c r="CJ37" s="87">
        <v>27.96</v>
      </c>
      <c r="CK37" s="87">
        <v>26.62</v>
      </c>
      <c r="CL37" s="87">
        <v>-5.42</v>
      </c>
      <c r="CM37" s="165">
        <v>1000</v>
      </c>
      <c r="CN37" s="102">
        <v>19970.57</v>
      </c>
      <c r="CO37" s="110">
        <f t="shared" si="41"/>
        <v>20970.57</v>
      </c>
      <c r="CP37" s="110">
        <f t="shared" si="42"/>
        <v>1997.057</v>
      </c>
      <c r="CR37" s="82">
        <f t="shared" si="43"/>
        <v>12</v>
      </c>
      <c r="CS37" s="80">
        <f t="shared" si="44"/>
        <v>859.8416666666667</v>
      </c>
      <c r="CT37" s="80">
        <f t="shared" si="45"/>
        <v>1664.2141666666666</v>
      </c>
      <c r="CU37" s="80">
        <f t="shared" si="46"/>
        <v>166.42141666666666</v>
      </c>
      <c r="CW37" s="80">
        <f t="shared" si="47"/>
        <v>10318.1</v>
      </c>
      <c r="CX37" s="80">
        <f t="shared" si="48"/>
        <v>19970.57</v>
      </c>
      <c r="CY37" s="80">
        <f t="shared" si="49"/>
        <v>1997.057</v>
      </c>
    </row>
    <row r="38" spans="1:103" outlineLevel="1" x14ac:dyDescent="0.2">
      <c r="G38" s="113"/>
      <c r="AE38" s="124"/>
      <c r="AO38" s="127"/>
      <c r="AQ38" s="138"/>
      <c r="BR38" s="162"/>
    </row>
    <row r="39" spans="1:103" x14ac:dyDescent="0.2">
      <c r="A39" s="120"/>
      <c r="B39" s="72" t="s">
        <v>1897</v>
      </c>
      <c r="C39" s="57" t="s">
        <v>1387</v>
      </c>
      <c r="D39" s="57" t="s">
        <v>1888</v>
      </c>
      <c r="E39" s="65" t="s">
        <v>1389</v>
      </c>
      <c r="F39" s="57" t="s">
        <v>1454</v>
      </c>
      <c r="G39" s="62" t="s">
        <v>1556</v>
      </c>
      <c r="H39" s="129" t="b">
        <v>0</v>
      </c>
      <c r="J39" s="123" t="s">
        <v>1866</v>
      </c>
      <c r="K39" s="123" t="s">
        <v>1866</v>
      </c>
      <c r="L39" s="123" t="s">
        <v>1866</v>
      </c>
      <c r="M39" s="137" t="b">
        <v>0</v>
      </c>
      <c r="Q39" s="128" t="b">
        <v>1</v>
      </c>
      <c r="R39" s="127" t="s">
        <v>1559</v>
      </c>
      <c r="S39" s="135" t="b">
        <v>1</v>
      </c>
      <c r="T39" s="126">
        <v>13</v>
      </c>
      <c r="U39" s="124">
        <v>1.4999999999999999E-2</v>
      </c>
      <c r="V39" s="126">
        <v>75</v>
      </c>
      <c r="W39" s="126">
        <v>-75</v>
      </c>
      <c r="X39" s="124">
        <v>50</v>
      </c>
      <c r="Y39" s="124">
        <v>5</v>
      </c>
      <c r="Z39" s="128" t="b">
        <v>1</v>
      </c>
      <c r="AA39" s="127" t="s">
        <v>1867</v>
      </c>
      <c r="AB39" s="133">
        <v>2</v>
      </c>
      <c r="AC39" s="137" t="b">
        <v>0</v>
      </c>
      <c r="AE39" s="137" t="b">
        <v>0</v>
      </c>
      <c r="AG39" s="135" t="b">
        <v>1</v>
      </c>
      <c r="AH39" s="125">
        <v>5</v>
      </c>
      <c r="AI39" s="125">
        <v>8</v>
      </c>
      <c r="AJ39" s="125">
        <v>13</v>
      </c>
      <c r="AK39" s="125">
        <v>21</v>
      </c>
      <c r="AL39" s="129" t="b">
        <v>0</v>
      </c>
      <c r="AM39" s="128" t="b">
        <v>1</v>
      </c>
      <c r="AN39" s="131" t="s">
        <v>1469</v>
      </c>
      <c r="AO39" s="141">
        <v>1.0000000000000001E-5</v>
      </c>
      <c r="AP39" s="128" t="b">
        <v>1</v>
      </c>
      <c r="AQ39" s="141">
        <v>1.0000000000000001E-5</v>
      </c>
      <c r="AR39" s="126">
        <v>5</v>
      </c>
      <c r="AS39" s="126">
        <v>8</v>
      </c>
      <c r="AT39" s="126">
        <v>5</v>
      </c>
      <c r="AU39" s="128" t="b">
        <v>1</v>
      </c>
      <c r="AV39" s="124">
        <v>3</v>
      </c>
      <c r="AW39" s="146">
        <v>5</v>
      </c>
      <c r="AX39" s="124">
        <v>1</v>
      </c>
      <c r="AY39" s="128" t="b">
        <v>1</v>
      </c>
      <c r="AZ39" s="122" t="s">
        <v>1586</v>
      </c>
      <c r="BA39" s="122">
        <v>4</v>
      </c>
      <c r="BB39" s="126">
        <v>0.05</v>
      </c>
      <c r="BC39" s="126">
        <v>0.5</v>
      </c>
      <c r="BD39" s="129" t="b">
        <v>0</v>
      </c>
      <c r="BE39" s="122" t="s">
        <v>1873</v>
      </c>
      <c r="BF39" s="128" t="b">
        <v>1</v>
      </c>
      <c r="BG39" s="122" t="s">
        <v>1578</v>
      </c>
      <c r="BH39" s="133">
        <v>0.02</v>
      </c>
      <c r="BI39" s="156" t="s">
        <v>403</v>
      </c>
      <c r="BJ39" s="128" t="b">
        <v>1</v>
      </c>
      <c r="BK39" s="161">
        <v>1.5</v>
      </c>
      <c r="BL39" s="129" t="b">
        <v>0</v>
      </c>
      <c r="BM39" s="156" t="s">
        <v>412</v>
      </c>
      <c r="BN39" s="128" t="b">
        <v>1</v>
      </c>
      <c r="BO39" s="156" t="s">
        <v>1382</v>
      </c>
      <c r="BP39" s="157">
        <v>1</v>
      </c>
      <c r="BQ39" s="157">
        <v>0.5</v>
      </c>
      <c r="BR39" s="166" t="str">
        <f t="shared" ref="BR39" si="53">AH39&amp;"/ "&amp;AI39&amp;"/ "&amp;AJ39&amp;"/ "&amp;AK39</f>
        <v>5/ 8/ 13/ 21</v>
      </c>
      <c r="BS39" s="166" t="str">
        <f t="shared" ref="BS39:BS46" si="54">AR39&amp;" / "&amp;AS39&amp;" / "&amp;AT39</f>
        <v>5 / 8 / 5</v>
      </c>
      <c r="BT39" s="166" t="str">
        <f t="shared" ref="BT39:BT46" si="55">BB39&amp;" / "&amp;BC39</f>
        <v>0.05 / 0.5</v>
      </c>
      <c r="BU39" s="66">
        <v>576</v>
      </c>
      <c r="BV39" s="66">
        <v>343</v>
      </c>
      <c r="BW39" s="66">
        <v>281</v>
      </c>
      <c r="BX39" s="99">
        <f t="shared" ref="BX39:BX46" si="56">BV39-BW39</f>
        <v>62</v>
      </c>
      <c r="BY39" s="66">
        <v>55</v>
      </c>
      <c r="BZ39" s="92">
        <f t="shared" ref="BZ39:BZ46" si="57">BU39-SUM(BW39:BY39)</f>
        <v>178</v>
      </c>
      <c r="CA39" s="204">
        <f>IF(BU39=0,0,BV39/BU39)</f>
        <v>0.59548611111111116</v>
      </c>
      <c r="CB39" s="205">
        <f>IF(BU39=0,0,BY39/BU39)</f>
        <v>9.5486111111111105E-2</v>
      </c>
      <c r="CC39" s="87">
        <v>6.16</v>
      </c>
      <c r="CD39" s="87">
        <v>31.03</v>
      </c>
      <c r="CE39" s="87">
        <v>0.45</v>
      </c>
      <c r="CF39" s="170">
        <f t="shared" ref="CF39:CF46" si="58">BK39</f>
        <v>1.5</v>
      </c>
      <c r="CG39" s="87">
        <v>0.65</v>
      </c>
      <c r="CH39" s="87">
        <v>0.47</v>
      </c>
      <c r="CI39" s="93">
        <v>9463</v>
      </c>
      <c r="CJ39" s="87">
        <v>27.59</v>
      </c>
      <c r="CK39" s="87">
        <v>26.1</v>
      </c>
      <c r="CL39" s="87">
        <v>-4</v>
      </c>
      <c r="CM39" s="165">
        <v>1000</v>
      </c>
      <c r="CN39" s="206">
        <v>17837.740000000002</v>
      </c>
      <c r="CO39" s="207">
        <f t="shared" ref="CO39:CO46" si="59">CM39+CN39</f>
        <v>18837.740000000002</v>
      </c>
      <c r="CP39" s="207">
        <f t="shared" ref="CP39:CP46" si="60">CN39/10</f>
        <v>1783.7740000000001</v>
      </c>
      <c r="CR39" s="82">
        <f t="shared" ref="CR39:CR46" si="61">CR$4</f>
        <v>12</v>
      </c>
      <c r="CS39" s="80">
        <f t="shared" ref="CS39:CS46" si="62">CI39/CR39</f>
        <v>788.58333333333337</v>
      </c>
      <c r="CT39" s="80">
        <f t="shared" ref="CT39:CT46" si="63">CN39/CR39</f>
        <v>1486.4783333333335</v>
      </c>
      <c r="CU39" s="80">
        <f t="shared" ref="CU39:CU46" si="64">CT39/10</f>
        <v>148.64783333333335</v>
      </c>
      <c r="CW39" s="80">
        <f t="shared" ref="CW39:CW46" si="65">CI39</f>
        <v>9463</v>
      </c>
      <c r="CX39" s="80">
        <f t="shared" ref="CX39:CX46" si="66">CN39</f>
        <v>17837.740000000002</v>
      </c>
      <c r="CY39" s="80">
        <f t="shared" ref="CY39:CY46" si="67">CP39</f>
        <v>1783.7740000000001</v>
      </c>
    </row>
    <row r="40" spans="1:103" outlineLevel="1" x14ac:dyDescent="0.2">
      <c r="A40" s="120"/>
      <c r="B40" s="72"/>
      <c r="C40" s="57" t="s">
        <v>1387</v>
      </c>
      <c r="D40" s="57" t="s">
        <v>1888</v>
      </c>
      <c r="E40" s="65" t="s">
        <v>1389</v>
      </c>
      <c r="F40" s="57" t="s">
        <v>1454</v>
      </c>
      <c r="G40" s="62" t="s">
        <v>1556</v>
      </c>
      <c r="H40" s="129" t="b">
        <v>0</v>
      </c>
      <c r="J40" s="123" t="s">
        <v>1866</v>
      </c>
      <c r="K40" s="123" t="s">
        <v>1866</v>
      </c>
      <c r="L40" s="123" t="s">
        <v>1866</v>
      </c>
      <c r="M40" s="137" t="b">
        <v>0</v>
      </c>
      <c r="Q40" s="128" t="b">
        <v>1</v>
      </c>
      <c r="R40" s="127" t="s">
        <v>1559</v>
      </c>
      <c r="S40" s="135" t="b">
        <v>1</v>
      </c>
      <c r="T40" s="126">
        <v>13</v>
      </c>
      <c r="U40" s="124">
        <v>1.4999999999999999E-2</v>
      </c>
      <c r="V40" s="126">
        <v>75</v>
      </c>
      <c r="W40" s="126">
        <v>-75</v>
      </c>
      <c r="X40" s="124">
        <v>50</v>
      </c>
      <c r="Y40" s="124">
        <v>5</v>
      </c>
      <c r="Z40" s="128" t="b">
        <v>1</v>
      </c>
      <c r="AA40" s="127" t="s">
        <v>1867</v>
      </c>
      <c r="AB40" s="133">
        <v>2</v>
      </c>
      <c r="AC40" s="137" t="b">
        <v>0</v>
      </c>
      <c r="AE40" s="137" t="b">
        <v>0</v>
      </c>
      <c r="AG40" s="135" t="b">
        <v>1</v>
      </c>
      <c r="AH40" s="125">
        <v>5</v>
      </c>
      <c r="AI40" s="125">
        <v>8</v>
      </c>
      <c r="AJ40" s="125">
        <v>13</v>
      </c>
      <c r="AK40" s="125">
        <v>21</v>
      </c>
      <c r="AL40" s="129" t="b">
        <v>0</v>
      </c>
      <c r="AM40" s="128" t="b">
        <v>1</v>
      </c>
      <c r="AN40" s="131" t="s">
        <v>1469</v>
      </c>
      <c r="AO40" s="141">
        <v>1.0000000000000001E-5</v>
      </c>
      <c r="AP40" s="128" t="b">
        <v>1</v>
      </c>
      <c r="AQ40" s="141">
        <v>1.0000000000000001E-5</v>
      </c>
      <c r="AR40" s="137">
        <v>5</v>
      </c>
      <c r="AS40" s="137">
        <v>13</v>
      </c>
      <c r="AT40" s="137">
        <v>5</v>
      </c>
      <c r="AU40" s="128" t="b">
        <v>1</v>
      </c>
      <c r="AV40" s="124">
        <v>3</v>
      </c>
      <c r="AW40" s="146">
        <v>5</v>
      </c>
      <c r="AX40" s="124">
        <v>1</v>
      </c>
      <c r="AY40" s="128" t="b">
        <v>1</v>
      </c>
      <c r="AZ40" s="122" t="s">
        <v>1586</v>
      </c>
      <c r="BA40" s="122">
        <v>4</v>
      </c>
      <c r="BB40" s="126">
        <v>0.05</v>
      </c>
      <c r="BC40" s="126">
        <v>0.5</v>
      </c>
      <c r="BD40" s="129" t="b">
        <v>0</v>
      </c>
      <c r="BE40" s="122" t="s">
        <v>1873</v>
      </c>
      <c r="BF40" s="128" t="b">
        <v>1</v>
      </c>
      <c r="BG40" s="122" t="s">
        <v>1578</v>
      </c>
      <c r="BH40" s="133">
        <v>0.02</v>
      </c>
      <c r="BI40" s="156" t="s">
        <v>403</v>
      </c>
      <c r="BJ40" s="128" t="b">
        <v>1</v>
      </c>
      <c r="BK40" s="161">
        <v>1.5</v>
      </c>
      <c r="BL40" s="129" t="b">
        <v>0</v>
      </c>
      <c r="BM40" s="156" t="s">
        <v>412</v>
      </c>
      <c r="BN40" s="128" t="b">
        <v>1</v>
      </c>
      <c r="BO40" s="156" t="s">
        <v>1382</v>
      </c>
      <c r="BP40" s="157">
        <v>1</v>
      </c>
      <c r="BQ40" s="157">
        <v>0.5</v>
      </c>
      <c r="BR40" s="166" t="str">
        <f t="shared" ref="BR40:BR41" si="68">AH40&amp;"/ "&amp;AI40&amp;"/ "&amp;AJ40&amp;"/ "&amp;AK40</f>
        <v>5/ 8/ 13/ 21</v>
      </c>
      <c r="BS40" s="166" t="str">
        <f t="shared" si="54"/>
        <v>5 / 13 / 5</v>
      </c>
      <c r="BT40" s="166" t="str">
        <f t="shared" si="55"/>
        <v>0.05 / 0.5</v>
      </c>
      <c r="BU40" s="66">
        <v>597</v>
      </c>
      <c r="BV40" s="66">
        <v>348</v>
      </c>
      <c r="BW40" s="66">
        <v>286</v>
      </c>
      <c r="BX40" s="99">
        <f t="shared" si="56"/>
        <v>62</v>
      </c>
      <c r="BY40" s="66">
        <v>68</v>
      </c>
      <c r="BZ40" s="92">
        <f t="shared" si="57"/>
        <v>181</v>
      </c>
      <c r="CA40" s="204">
        <f t="shared" ref="CA40:CA46" si="69">IF(BU40=0,0,BV40/BU40)</f>
        <v>0.58291457286432158</v>
      </c>
      <c r="CB40" s="205">
        <f t="shared" ref="CB40:CB46" si="70">IF(BU40=0,0,BY40/BU40)</f>
        <v>0.11390284757118928</v>
      </c>
      <c r="CC40" s="87">
        <v>4.8099999999999996</v>
      </c>
      <c r="CD40" s="87">
        <v>28.31</v>
      </c>
      <c r="CE40" s="87">
        <v>0.41</v>
      </c>
      <c r="CF40" s="170">
        <f t="shared" si="58"/>
        <v>1.5</v>
      </c>
      <c r="CG40" s="87">
        <v>0.65</v>
      </c>
      <c r="CH40" s="87">
        <v>0.48</v>
      </c>
      <c r="CI40" s="93">
        <v>9613.7999999999993</v>
      </c>
      <c r="CJ40" s="87">
        <v>27.63</v>
      </c>
      <c r="CK40" s="87">
        <v>25.97</v>
      </c>
      <c r="CL40" s="87">
        <v>-4</v>
      </c>
      <c r="CM40" s="165">
        <v>1000</v>
      </c>
      <c r="CN40" s="93">
        <v>16902</v>
      </c>
      <c r="CO40" s="108">
        <f t="shared" si="59"/>
        <v>17902</v>
      </c>
      <c r="CP40" s="108">
        <f t="shared" si="60"/>
        <v>1690.2</v>
      </c>
      <c r="CR40" s="82">
        <f t="shared" si="61"/>
        <v>12</v>
      </c>
      <c r="CS40" s="80">
        <f t="shared" si="62"/>
        <v>801.15</v>
      </c>
      <c r="CT40" s="80">
        <f t="shared" si="63"/>
        <v>1408.5</v>
      </c>
      <c r="CU40" s="80">
        <f t="shared" si="64"/>
        <v>140.85</v>
      </c>
      <c r="CW40" s="80">
        <f t="shared" si="65"/>
        <v>9613.7999999999993</v>
      </c>
      <c r="CX40" s="80">
        <f t="shared" si="66"/>
        <v>16902</v>
      </c>
      <c r="CY40" s="80">
        <f t="shared" si="67"/>
        <v>1690.2</v>
      </c>
    </row>
    <row r="41" spans="1:103" outlineLevel="1" x14ac:dyDescent="0.2">
      <c r="A41" s="120"/>
      <c r="B41" s="72"/>
      <c r="C41" s="57" t="s">
        <v>1387</v>
      </c>
      <c r="D41" s="57" t="s">
        <v>1888</v>
      </c>
      <c r="E41" s="65" t="s">
        <v>1389</v>
      </c>
      <c r="F41" s="57" t="s">
        <v>1454</v>
      </c>
      <c r="G41" s="62" t="s">
        <v>1556</v>
      </c>
      <c r="H41" s="129" t="b">
        <v>0</v>
      </c>
      <c r="J41" s="123" t="s">
        <v>1866</v>
      </c>
      <c r="K41" s="123" t="s">
        <v>1866</v>
      </c>
      <c r="L41" s="123" t="s">
        <v>1866</v>
      </c>
      <c r="M41" s="137" t="b">
        <v>0</v>
      </c>
      <c r="Q41" s="128" t="b">
        <v>1</v>
      </c>
      <c r="R41" s="127" t="s">
        <v>1559</v>
      </c>
      <c r="S41" s="135" t="b">
        <v>1</v>
      </c>
      <c r="T41" s="126">
        <v>13</v>
      </c>
      <c r="U41" s="124">
        <v>1.4999999999999999E-2</v>
      </c>
      <c r="V41" s="126">
        <v>75</v>
      </c>
      <c r="W41" s="126">
        <v>-75</v>
      </c>
      <c r="X41" s="124">
        <v>50</v>
      </c>
      <c r="Y41" s="124">
        <v>5</v>
      </c>
      <c r="Z41" s="128" t="b">
        <v>1</v>
      </c>
      <c r="AA41" s="127" t="s">
        <v>1867</v>
      </c>
      <c r="AB41" s="133">
        <v>2</v>
      </c>
      <c r="AC41" s="137" t="b">
        <v>0</v>
      </c>
      <c r="AE41" s="137" t="b">
        <v>0</v>
      </c>
      <c r="AG41" s="135" t="b">
        <v>1</v>
      </c>
      <c r="AH41" s="125">
        <v>5</v>
      </c>
      <c r="AI41" s="125">
        <v>8</v>
      </c>
      <c r="AJ41" s="125">
        <v>13</v>
      </c>
      <c r="AK41" s="125">
        <v>21</v>
      </c>
      <c r="AL41" s="129" t="b">
        <v>0</v>
      </c>
      <c r="AM41" s="128" t="b">
        <v>1</v>
      </c>
      <c r="AN41" s="131" t="s">
        <v>1469</v>
      </c>
      <c r="AO41" s="141">
        <v>1.0000000000000001E-5</v>
      </c>
      <c r="AP41" s="128" t="b">
        <v>1</v>
      </c>
      <c r="AQ41" s="141">
        <v>1.0000000000000001E-5</v>
      </c>
      <c r="AR41" s="137">
        <v>5</v>
      </c>
      <c r="AS41" s="137">
        <v>13</v>
      </c>
      <c r="AT41" s="137">
        <v>8</v>
      </c>
      <c r="AU41" s="128" t="b">
        <v>1</v>
      </c>
      <c r="AV41" s="124">
        <v>3</v>
      </c>
      <c r="AW41" s="146">
        <v>5</v>
      </c>
      <c r="AX41" s="124">
        <v>1</v>
      </c>
      <c r="AY41" s="128" t="b">
        <v>1</v>
      </c>
      <c r="AZ41" s="122" t="s">
        <v>1586</v>
      </c>
      <c r="BA41" s="122">
        <v>4</v>
      </c>
      <c r="BB41" s="126">
        <v>0.05</v>
      </c>
      <c r="BC41" s="126">
        <v>0.5</v>
      </c>
      <c r="BD41" s="129" t="b">
        <v>0</v>
      </c>
      <c r="BE41" s="122" t="s">
        <v>1873</v>
      </c>
      <c r="BF41" s="128" t="b">
        <v>1</v>
      </c>
      <c r="BG41" s="122" t="s">
        <v>1578</v>
      </c>
      <c r="BH41" s="133">
        <v>0.02</v>
      </c>
      <c r="BI41" s="156" t="s">
        <v>403</v>
      </c>
      <c r="BJ41" s="128" t="b">
        <v>1</v>
      </c>
      <c r="BK41" s="161">
        <v>1.5</v>
      </c>
      <c r="BL41" s="129" t="b">
        <v>0</v>
      </c>
      <c r="BM41" s="156" t="s">
        <v>412</v>
      </c>
      <c r="BN41" s="128" t="b">
        <v>1</v>
      </c>
      <c r="BO41" s="156" t="s">
        <v>1382</v>
      </c>
      <c r="BP41" s="157">
        <v>1</v>
      </c>
      <c r="BQ41" s="157">
        <v>0.5</v>
      </c>
      <c r="BR41" s="166" t="str">
        <f t="shared" si="68"/>
        <v>5/ 8/ 13/ 21</v>
      </c>
      <c r="BS41" s="166" t="str">
        <f t="shared" si="54"/>
        <v>5 / 13 / 8</v>
      </c>
      <c r="BT41" s="166" t="str">
        <f t="shared" si="55"/>
        <v>0.05 / 0.5</v>
      </c>
      <c r="BU41" s="66">
        <v>596</v>
      </c>
      <c r="BV41" s="66">
        <v>350</v>
      </c>
      <c r="BW41" s="66">
        <v>286</v>
      </c>
      <c r="BX41" s="99">
        <f t="shared" si="56"/>
        <v>64</v>
      </c>
      <c r="BY41" s="66">
        <v>69</v>
      </c>
      <c r="BZ41" s="92">
        <f t="shared" si="57"/>
        <v>177</v>
      </c>
      <c r="CA41" s="204">
        <f t="shared" si="69"/>
        <v>0.58724832214765099</v>
      </c>
      <c r="CB41" s="205">
        <f t="shared" si="70"/>
        <v>0.11577181208053691</v>
      </c>
      <c r="CC41" s="87">
        <v>4.75</v>
      </c>
      <c r="CD41" s="87">
        <v>28.68</v>
      </c>
      <c r="CE41" s="87">
        <v>0.41</v>
      </c>
      <c r="CF41" s="170">
        <f t="shared" si="58"/>
        <v>1.5</v>
      </c>
      <c r="CG41" s="87">
        <v>0.65</v>
      </c>
      <c r="CH41" s="87">
        <v>0.47</v>
      </c>
      <c r="CI41" s="93">
        <v>9723.2999999999993</v>
      </c>
      <c r="CJ41" s="87">
        <v>27.78</v>
      </c>
      <c r="CK41" s="87">
        <v>26.39</v>
      </c>
      <c r="CL41" s="87">
        <v>-5.48</v>
      </c>
      <c r="CM41" s="165">
        <v>1000</v>
      </c>
      <c r="CN41" s="93">
        <v>17092.189999999999</v>
      </c>
      <c r="CO41" s="108">
        <f t="shared" si="59"/>
        <v>18092.189999999999</v>
      </c>
      <c r="CP41" s="108">
        <f t="shared" si="60"/>
        <v>1709.2189999999998</v>
      </c>
      <c r="CR41" s="82">
        <f t="shared" si="61"/>
        <v>12</v>
      </c>
      <c r="CS41" s="80">
        <f t="shared" si="62"/>
        <v>810.27499999999998</v>
      </c>
      <c r="CT41" s="80">
        <f t="shared" si="63"/>
        <v>1424.3491666666666</v>
      </c>
      <c r="CU41" s="80">
        <f t="shared" si="64"/>
        <v>142.43491666666665</v>
      </c>
      <c r="CW41" s="80">
        <f t="shared" si="65"/>
        <v>9723.2999999999993</v>
      </c>
      <c r="CX41" s="80">
        <f t="shared" si="66"/>
        <v>17092.189999999999</v>
      </c>
      <c r="CY41" s="80">
        <f t="shared" si="67"/>
        <v>1709.2189999999998</v>
      </c>
    </row>
    <row r="42" spans="1:103" outlineLevel="1" x14ac:dyDescent="0.2">
      <c r="A42" s="120"/>
      <c r="B42" s="72"/>
      <c r="C42" s="57" t="s">
        <v>1387</v>
      </c>
      <c r="D42" s="57" t="s">
        <v>1888</v>
      </c>
      <c r="E42" s="65" t="s">
        <v>1389</v>
      </c>
      <c r="F42" s="57" t="s">
        <v>1454</v>
      </c>
      <c r="G42" s="62" t="s">
        <v>1556</v>
      </c>
      <c r="H42" s="129" t="b">
        <v>0</v>
      </c>
      <c r="J42" s="123" t="s">
        <v>1866</v>
      </c>
      <c r="K42" s="123" t="s">
        <v>1866</v>
      </c>
      <c r="L42" s="123" t="s">
        <v>1866</v>
      </c>
      <c r="M42" s="137" t="b">
        <v>0</v>
      </c>
      <c r="Q42" s="128" t="b">
        <v>1</v>
      </c>
      <c r="R42" s="127" t="s">
        <v>1559</v>
      </c>
      <c r="S42" s="135" t="b">
        <v>1</v>
      </c>
      <c r="T42" s="126">
        <v>13</v>
      </c>
      <c r="U42" s="124">
        <v>1.4999999999999999E-2</v>
      </c>
      <c r="V42" s="126">
        <v>75</v>
      </c>
      <c r="W42" s="126">
        <v>-75</v>
      </c>
      <c r="X42" s="124">
        <v>50</v>
      </c>
      <c r="Y42" s="124">
        <v>5</v>
      </c>
      <c r="Z42" s="128" t="b">
        <v>1</v>
      </c>
      <c r="AA42" s="127" t="s">
        <v>1867</v>
      </c>
      <c r="AB42" s="133">
        <v>2</v>
      </c>
      <c r="AC42" s="137" t="b">
        <v>0</v>
      </c>
      <c r="AE42" s="137" t="b">
        <v>0</v>
      </c>
      <c r="AG42" s="135" t="b">
        <v>1</v>
      </c>
      <c r="AH42" s="125">
        <v>5</v>
      </c>
      <c r="AI42" s="125">
        <v>8</v>
      </c>
      <c r="AJ42" s="125">
        <v>13</v>
      </c>
      <c r="AK42" s="125">
        <v>21</v>
      </c>
      <c r="AL42" s="129" t="b">
        <v>0</v>
      </c>
      <c r="AM42" s="128" t="b">
        <v>1</v>
      </c>
      <c r="AN42" s="131" t="s">
        <v>1469</v>
      </c>
      <c r="AO42" s="141">
        <v>1.0000000000000001E-5</v>
      </c>
      <c r="AP42" s="128" t="b">
        <v>1</v>
      </c>
      <c r="AQ42" s="141">
        <v>1.0000000000000001E-5</v>
      </c>
      <c r="AR42" s="149">
        <v>8</v>
      </c>
      <c r="AS42" s="149">
        <v>13</v>
      </c>
      <c r="AT42" s="149">
        <v>8</v>
      </c>
      <c r="AU42" s="128" t="b">
        <v>1</v>
      </c>
      <c r="AV42" s="124">
        <v>3</v>
      </c>
      <c r="AW42" s="146">
        <v>5</v>
      </c>
      <c r="AX42" s="124">
        <v>1</v>
      </c>
      <c r="AY42" s="128" t="b">
        <v>1</v>
      </c>
      <c r="AZ42" s="122" t="s">
        <v>1586</v>
      </c>
      <c r="BA42" s="122">
        <v>4</v>
      </c>
      <c r="BB42" s="126">
        <v>0.05</v>
      </c>
      <c r="BC42" s="126">
        <v>0.5</v>
      </c>
      <c r="BD42" s="129" t="b">
        <v>0</v>
      </c>
      <c r="BE42" s="122" t="s">
        <v>1873</v>
      </c>
      <c r="BF42" s="128" t="b">
        <v>1</v>
      </c>
      <c r="BG42" s="122" t="s">
        <v>1578</v>
      </c>
      <c r="BH42" s="133">
        <v>0.02</v>
      </c>
      <c r="BI42" s="156" t="s">
        <v>403</v>
      </c>
      <c r="BJ42" s="128" t="b">
        <v>1</v>
      </c>
      <c r="BK42" s="161">
        <v>1.5</v>
      </c>
      <c r="BL42" s="129" t="b">
        <v>0</v>
      </c>
      <c r="BM42" s="156" t="s">
        <v>412</v>
      </c>
      <c r="BN42" s="128" t="b">
        <v>1</v>
      </c>
      <c r="BO42" s="156" t="s">
        <v>1382</v>
      </c>
      <c r="BP42" s="157">
        <v>1</v>
      </c>
      <c r="BQ42" s="157">
        <v>0.5</v>
      </c>
      <c r="BR42" s="166" t="str">
        <f t="shared" ref="BR42:BR46" si="71">AH42&amp;"/ "&amp;AI42&amp;"/ "&amp;AJ42&amp;"/ "&amp;AK42</f>
        <v>5/ 8/ 13/ 21</v>
      </c>
      <c r="BS42" s="166" t="str">
        <f t="shared" si="54"/>
        <v>8 / 13 / 8</v>
      </c>
      <c r="BT42" s="166" t="str">
        <f t="shared" si="55"/>
        <v>0.05 / 0.5</v>
      </c>
      <c r="BU42" s="66">
        <v>596</v>
      </c>
      <c r="BV42" s="66">
        <v>350</v>
      </c>
      <c r="BW42" s="66">
        <v>286</v>
      </c>
      <c r="BX42" s="99">
        <f t="shared" si="56"/>
        <v>64</v>
      </c>
      <c r="BY42" s="66">
        <v>69</v>
      </c>
      <c r="BZ42" s="92">
        <f t="shared" si="57"/>
        <v>177</v>
      </c>
      <c r="CA42" s="204">
        <f t="shared" si="69"/>
        <v>0.58724832214765099</v>
      </c>
      <c r="CB42" s="205">
        <f t="shared" si="70"/>
        <v>0.11577181208053691</v>
      </c>
      <c r="CC42" s="87">
        <v>4.75</v>
      </c>
      <c r="CD42" s="87">
        <v>28.68</v>
      </c>
      <c r="CE42" s="87">
        <v>0.41</v>
      </c>
      <c r="CF42" s="170">
        <f t="shared" si="58"/>
        <v>1.5</v>
      </c>
      <c r="CG42" s="87">
        <v>0.65</v>
      </c>
      <c r="CH42" s="87">
        <v>0.47</v>
      </c>
      <c r="CI42" s="93">
        <v>9723.2999999999993</v>
      </c>
      <c r="CJ42" s="87">
        <v>27.78</v>
      </c>
      <c r="CK42" s="87">
        <v>26.39</v>
      </c>
      <c r="CL42" s="87">
        <v>-5.48</v>
      </c>
      <c r="CM42" s="165">
        <v>1000</v>
      </c>
      <c r="CN42" s="93">
        <v>17092.189999999999</v>
      </c>
      <c r="CO42" s="108">
        <f t="shared" si="59"/>
        <v>18092.189999999999</v>
      </c>
      <c r="CP42" s="108">
        <f t="shared" si="60"/>
        <v>1709.2189999999998</v>
      </c>
      <c r="CR42" s="82">
        <f t="shared" si="61"/>
        <v>12</v>
      </c>
      <c r="CS42" s="80">
        <f t="shared" si="62"/>
        <v>810.27499999999998</v>
      </c>
      <c r="CT42" s="80">
        <f t="shared" si="63"/>
        <v>1424.3491666666666</v>
      </c>
      <c r="CU42" s="80">
        <f t="shared" si="64"/>
        <v>142.43491666666665</v>
      </c>
      <c r="CW42" s="80">
        <f t="shared" si="65"/>
        <v>9723.2999999999993</v>
      </c>
      <c r="CX42" s="80">
        <f t="shared" si="66"/>
        <v>17092.189999999999</v>
      </c>
      <c r="CY42" s="80">
        <f t="shared" si="67"/>
        <v>1709.2189999999998</v>
      </c>
    </row>
    <row r="43" spans="1:103" outlineLevel="1" x14ac:dyDescent="0.2">
      <c r="A43" s="120"/>
      <c r="B43" s="72"/>
      <c r="C43" s="57" t="s">
        <v>1387</v>
      </c>
      <c r="D43" s="57" t="s">
        <v>1888</v>
      </c>
      <c r="E43" s="65" t="s">
        <v>1389</v>
      </c>
      <c r="F43" s="57" t="s">
        <v>1454</v>
      </c>
      <c r="G43" s="62" t="s">
        <v>1556</v>
      </c>
      <c r="H43" s="129" t="b">
        <v>0</v>
      </c>
      <c r="J43" s="123" t="s">
        <v>1866</v>
      </c>
      <c r="K43" s="123" t="s">
        <v>1866</v>
      </c>
      <c r="L43" s="123" t="s">
        <v>1866</v>
      </c>
      <c r="M43" s="137" t="b">
        <v>0</v>
      </c>
      <c r="Q43" s="128" t="b">
        <v>1</v>
      </c>
      <c r="R43" s="127" t="s">
        <v>1559</v>
      </c>
      <c r="S43" s="135" t="b">
        <v>1</v>
      </c>
      <c r="T43" s="126">
        <v>13</v>
      </c>
      <c r="U43" s="124">
        <v>1.4999999999999999E-2</v>
      </c>
      <c r="V43" s="126">
        <v>75</v>
      </c>
      <c r="W43" s="126">
        <v>-75</v>
      </c>
      <c r="X43" s="124">
        <v>50</v>
      </c>
      <c r="Y43" s="124">
        <v>5</v>
      </c>
      <c r="Z43" s="128" t="b">
        <v>1</v>
      </c>
      <c r="AA43" s="127" t="s">
        <v>1867</v>
      </c>
      <c r="AB43" s="133">
        <v>2</v>
      </c>
      <c r="AC43" s="137" t="b">
        <v>0</v>
      </c>
      <c r="AE43" s="137" t="b">
        <v>0</v>
      </c>
      <c r="AG43" s="135" t="b">
        <v>1</v>
      </c>
      <c r="AH43" s="125">
        <v>5</v>
      </c>
      <c r="AI43" s="125">
        <v>8</v>
      </c>
      <c r="AJ43" s="125">
        <v>13</v>
      </c>
      <c r="AK43" s="125">
        <v>21</v>
      </c>
      <c r="AL43" s="129" t="b">
        <v>0</v>
      </c>
      <c r="AM43" s="128" t="b">
        <v>1</v>
      </c>
      <c r="AN43" s="131" t="s">
        <v>1469</v>
      </c>
      <c r="AO43" s="141">
        <v>1.0000000000000001E-5</v>
      </c>
      <c r="AP43" s="128" t="b">
        <v>1</v>
      </c>
      <c r="AQ43" s="141">
        <v>1.0000000000000001E-5</v>
      </c>
      <c r="AR43" s="149">
        <v>8</v>
      </c>
      <c r="AS43" s="149">
        <v>13</v>
      </c>
      <c r="AT43" s="149">
        <v>11</v>
      </c>
      <c r="AU43" s="128" t="b">
        <v>1</v>
      </c>
      <c r="AV43" s="124">
        <v>3</v>
      </c>
      <c r="AW43" s="146">
        <v>5</v>
      </c>
      <c r="AX43" s="124">
        <v>1</v>
      </c>
      <c r="AY43" s="128" t="b">
        <v>1</v>
      </c>
      <c r="AZ43" s="122" t="s">
        <v>1586</v>
      </c>
      <c r="BA43" s="122">
        <v>4</v>
      </c>
      <c r="BB43" s="126">
        <v>0.05</v>
      </c>
      <c r="BC43" s="126">
        <v>0.5</v>
      </c>
      <c r="BD43" s="129" t="b">
        <v>0</v>
      </c>
      <c r="BE43" s="122" t="s">
        <v>1873</v>
      </c>
      <c r="BF43" s="128" t="b">
        <v>1</v>
      </c>
      <c r="BG43" s="122" t="s">
        <v>1578</v>
      </c>
      <c r="BH43" s="133">
        <v>0.02</v>
      </c>
      <c r="BI43" s="156" t="s">
        <v>403</v>
      </c>
      <c r="BJ43" s="128" t="b">
        <v>1</v>
      </c>
      <c r="BK43" s="161">
        <v>1.5</v>
      </c>
      <c r="BL43" s="129" t="b">
        <v>0</v>
      </c>
      <c r="BM43" s="156" t="s">
        <v>412</v>
      </c>
      <c r="BN43" s="128" t="b">
        <v>1</v>
      </c>
      <c r="BO43" s="156" t="s">
        <v>1382</v>
      </c>
      <c r="BP43" s="157">
        <v>1</v>
      </c>
      <c r="BQ43" s="157">
        <v>0.5</v>
      </c>
      <c r="BR43" s="166" t="str">
        <f t="shared" si="71"/>
        <v>5/ 8/ 13/ 21</v>
      </c>
      <c r="BS43" s="166" t="str">
        <f t="shared" si="54"/>
        <v>8 / 13 / 11</v>
      </c>
      <c r="BT43" s="166" t="str">
        <f t="shared" si="55"/>
        <v>0.05 / 0.5</v>
      </c>
      <c r="BU43" s="66">
        <v>590</v>
      </c>
      <c r="BV43" s="66">
        <v>348</v>
      </c>
      <c r="BW43" s="66">
        <v>285</v>
      </c>
      <c r="BX43" s="99">
        <f t="shared" si="56"/>
        <v>63</v>
      </c>
      <c r="BY43" s="66">
        <v>67</v>
      </c>
      <c r="BZ43" s="92">
        <f t="shared" si="57"/>
        <v>175</v>
      </c>
      <c r="CA43" s="204">
        <f t="shared" si="69"/>
        <v>0.5898305084745763</v>
      </c>
      <c r="CB43" s="205">
        <f t="shared" si="70"/>
        <v>0.11355932203389831</v>
      </c>
      <c r="CC43" s="87">
        <v>4.88</v>
      </c>
      <c r="CD43" s="87">
        <v>29.13</v>
      </c>
      <c r="CE43" s="87">
        <v>0.41</v>
      </c>
      <c r="CF43" s="170">
        <f t="shared" si="58"/>
        <v>1.5</v>
      </c>
      <c r="CG43" s="87">
        <v>0.65</v>
      </c>
      <c r="CH43" s="87">
        <v>0.48</v>
      </c>
      <c r="CI43" s="93">
        <v>9646.9</v>
      </c>
      <c r="CJ43" s="87">
        <v>27.72</v>
      </c>
      <c r="CK43" s="87">
        <v>26.08</v>
      </c>
      <c r="CL43" s="87">
        <v>-5.48</v>
      </c>
      <c r="CM43" s="165">
        <v>1000</v>
      </c>
      <c r="CN43" s="93">
        <v>17188.259999999998</v>
      </c>
      <c r="CO43" s="108">
        <f t="shared" si="59"/>
        <v>18188.259999999998</v>
      </c>
      <c r="CP43" s="108">
        <f t="shared" si="60"/>
        <v>1718.8259999999998</v>
      </c>
      <c r="CR43" s="82">
        <f t="shared" si="61"/>
        <v>12</v>
      </c>
      <c r="CS43" s="80">
        <f t="shared" si="62"/>
        <v>803.9083333333333</v>
      </c>
      <c r="CT43" s="80">
        <f t="shared" si="63"/>
        <v>1432.3549999999998</v>
      </c>
      <c r="CU43" s="80">
        <f t="shared" si="64"/>
        <v>143.23549999999997</v>
      </c>
      <c r="CW43" s="80">
        <f t="shared" si="65"/>
        <v>9646.9</v>
      </c>
      <c r="CX43" s="80">
        <f t="shared" si="66"/>
        <v>17188.259999999998</v>
      </c>
      <c r="CY43" s="80">
        <f t="shared" si="67"/>
        <v>1718.8259999999998</v>
      </c>
    </row>
    <row r="44" spans="1:103" outlineLevel="1" x14ac:dyDescent="0.2">
      <c r="A44" s="120"/>
      <c r="B44" s="72"/>
      <c r="C44" s="57" t="s">
        <v>1387</v>
      </c>
      <c r="D44" s="57" t="s">
        <v>1888</v>
      </c>
      <c r="E44" s="65" t="s">
        <v>1389</v>
      </c>
      <c r="F44" s="57" t="s">
        <v>1454</v>
      </c>
      <c r="G44" s="62" t="s">
        <v>1556</v>
      </c>
      <c r="H44" s="129" t="b">
        <v>0</v>
      </c>
      <c r="J44" s="123" t="s">
        <v>1866</v>
      </c>
      <c r="K44" s="123" t="s">
        <v>1866</v>
      </c>
      <c r="L44" s="123" t="s">
        <v>1866</v>
      </c>
      <c r="M44" s="137" t="b">
        <v>0</v>
      </c>
      <c r="Q44" s="128" t="b">
        <v>1</v>
      </c>
      <c r="R44" s="127" t="s">
        <v>1559</v>
      </c>
      <c r="S44" s="135" t="b">
        <v>1</v>
      </c>
      <c r="T44" s="126">
        <v>13</v>
      </c>
      <c r="U44" s="124">
        <v>1.4999999999999999E-2</v>
      </c>
      <c r="V44" s="126">
        <v>75</v>
      </c>
      <c r="W44" s="126">
        <v>-75</v>
      </c>
      <c r="X44" s="124">
        <v>50</v>
      </c>
      <c r="Y44" s="124">
        <v>5</v>
      </c>
      <c r="Z44" s="128" t="b">
        <v>1</v>
      </c>
      <c r="AA44" s="127" t="s">
        <v>1867</v>
      </c>
      <c r="AB44" s="133">
        <v>2</v>
      </c>
      <c r="AC44" s="137" t="b">
        <v>0</v>
      </c>
      <c r="AE44" s="137" t="b">
        <v>0</v>
      </c>
      <c r="AG44" s="135" t="b">
        <v>1</v>
      </c>
      <c r="AH44" s="125">
        <v>5</v>
      </c>
      <c r="AI44" s="125">
        <v>8</v>
      </c>
      <c r="AJ44" s="125">
        <v>13</v>
      </c>
      <c r="AK44" s="125">
        <v>21</v>
      </c>
      <c r="AL44" s="129" t="b">
        <v>0</v>
      </c>
      <c r="AM44" s="128" t="b">
        <v>1</v>
      </c>
      <c r="AN44" s="131" t="s">
        <v>1469</v>
      </c>
      <c r="AO44" s="141">
        <v>1.0000000000000001E-5</v>
      </c>
      <c r="AP44" s="128" t="b">
        <v>1</v>
      </c>
      <c r="AQ44" s="141">
        <v>1.0000000000000001E-5</v>
      </c>
      <c r="AR44" s="150">
        <v>8</v>
      </c>
      <c r="AS44" s="150">
        <v>17</v>
      </c>
      <c r="AT44" s="150">
        <v>9</v>
      </c>
      <c r="AU44" s="128" t="b">
        <v>1</v>
      </c>
      <c r="AV44" s="124">
        <v>3</v>
      </c>
      <c r="AW44" s="146">
        <v>5</v>
      </c>
      <c r="AX44" s="124">
        <v>1</v>
      </c>
      <c r="AY44" s="128" t="b">
        <v>1</v>
      </c>
      <c r="AZ44" s="122" t="s">
        <v>1586</v>
      </c>
      <c r="BA44" s="122">
        <v>4</v>
      </c>
      <c r="BB44" s="126">
        <v>0.05</v>
      </c>
      <c r="BC44" s="126">
        <v>0.5</v>
      </c>
      <c r="BD44" s="129" t="b">
        <v>0</v>
      </c>
      <c r="BE44" s="122" t="s">
        <v>1873</v>
      </c>
      <c r="BF44" s="128" t="b">
        <v>1</v>
      </c>
      <c r="BG44" s="122" t="s">
        <v>1578</v>
      </c>
      <c r="BH44" s="133">
        <v>0.02</v>
      </c>
      <c r="BI44" s="156" t="s">
        <v>403</v>
      </c>
      <c r="BJ44" s="128" t="b">
        <v>1</v>
      </c>
      <c r="BK44" s="161">
        <v>1.5</v>
      </c>
      <c r="BL44" s="129" t="b">
        <v>0</v>
      </c>
      <c r="BM44" s="156" t="s">
        <v>412</v>
      </c>
      <c r="BN44" s="128" t="b">
        <v>1</v>
      </c>
      <c r="BO44" s="156" t="s">
        <v>1382</v>
      </c>
      <c r="BP44" s="157">
        <v>1</v>
      </c>
      <c r="BQ44" s="157">
        <v>0.5</v>
      </c>
      <c r="BR44" s="166" t="str">
        <f t="shared" si="71"/>
        <v>5/ 8/ 13/ 21</v>
      </c>
      <c r="BS44" s="166" t="str">
        <f t="shared" si="54"/>
        <v>8 / 17 / 9</v>
      </c>
      <c r="BT44" s="166" t="str">
        <f t="shared" si="55"/>
        <v>0.05 / 0.5</v>
      </c>
      <c r="BU44" s="66">
        <v>582</v>
      </c>
      <c r="BV44" s="66">
        <v>346</v>
      </c>
      <c r="BW44" s="66">
        <v>285</v>
      </c>
      <c r="BX44" s="99">
        <f t="shared" si="56"/>
        <v>61</v>
      </c>
      <c r="BY44" s="66">
        <v>67</v>
      </c>
      <c r="BZ44" s="92">
        <f t="shared" si="57"/>
        <v>169</v>
      </c>
      <c r="CA44" s="204">
        <f t="shared" si="69"/>
        <v>0.59450171821305842</v>
      </c>
      <c r="CB44" s="205">
        <f t="shared" si="70"/>
        <v>0.11512027491408934</v>
      </c>
      <c r="CC44" s="87">
        <v>4.8899999999999997</v>
      </c>
      <c r="CD44" s="87">
        <v>29.27</v>
      </c>
      <c r="CE44" s="87">
        <v>0.42</v>
      </c>
      <c r="CF44" s="170">
        <f t="shared" si="58"/>
        <v>1.5</v>
      </c>
      <c r="CG44" s="87">
        <v>0.65</v>
      </c>
      <c r="CH44" s="87">
        <v>0.48</v>
      </c>
      <c r="CI44" s="93">
        <v>9527.6</v>
      </c>
      <c r="CJ44" s="87">
        <v>27.54</v>
      </c>
      <c r="CK44" s="87">
        <v>26.02</v>
      </c>
      <c r="CL44" s="87">
        <v>-5.48</v>
      </c>
      <c r="CM44" s="165">
        <v>1000</v>
      </c>
      <c r="CN44" s="93">
        <v>17032.53</v>
      </c>
      <c r="CO44" s="108">
        <f t="shared" si="59"/>
        <v>18032.53</v>
      </c>
      <c r="CP44" s="108">
        <f t="shared" si="60"/>
        <v>1703.2529999999999</v>
      </c>
      <c r="CR44" s="82">
        <f t="shared" si="61"/>
        <v>12</v>
      </c>
      <c r="CS44" s="80">
        <f t="shared" si="62"/>
        <v>793.9666666666667</v>
      </c>
      <c r="CT44" s="80">
        <f t="shared" si="63"/>
        <v>1419.3774999999998</v>
      </c>
      <c r="CU44" s="80">
        <f t="shared" si="64"/>
        <v>141.93774999999999</v>
      </c>
      <c r="CW44" s="80">
        <f t="shared" si="65"/>
        <v>9527.6</v>
      </c>
      <c r="CX44" s="80">
        <f t="shared" si="66"/>
        <v>17032.53</v>
      </c>
      <c r="CY44" s="80">
        <f t="shared" si="67"/>
        <v>1703.2529999999999</v>
      </c>
    </row>
    <row r="45" spans="1:103" outlineLevel="1" x14ac:dyDescent="0.2">
      <c r="A45" s="120"/>
      <c r="B45" s="72"/>
      <c r="C45" s="57" t="s">
        <v>1387</v>
      </c>
      <c r="D45" s="57" t="s">
        <v>1888</v>
      </c>
      <c r="E45" s="65" t="s">
        <v>1389</v>
      </c>
      <c r="F45" s="57" t="s">
        <v>1454</v>
      </c>
      <c r="G45" s="62" t="s">
        <v>1556</v>
      </c>
      <c r="H45" s="129" t="b">
        <v>0</v>
      </c>
      <c r="J45" s="123" t="s">
        <v>1866</v>
      </c>
      <c r="K45" s="123" t="s">
        <v>1866</v>
      </c>
      <c r="L45" s="123" t="s">
        <v>1866</v>
      </c>
      <c r="M45" s="137" t="b">
        <v>0</v>
      </c>
      <c r="Q45" s="128" t="b">
        <v>1</v>
      </c>
      <c r="R45" s="127" t="s">
        <v>1559</v>
      </c>
      <c r="S45" s="135" t="b">
        <v>1</v>
      </c>
      <c r="T45" s="126">
        <v>13</v>
      </c>
      <c r="U45" s="124">
        <v>1.4999999999999999E-2</v>
      </c>
      <c r="V45" s="126">
        <v>75</v>
      </c>
      <c r="W45" s="126">
        <v>-75</v>
      </c>
      <c r="X45" s="124">
        <v>50</v>
      </c>
      <c r="Y45" s="124">
        <v>5</v>
      </c>
      <c r="Z45" s="128" t="b">
        <v>1</v>
      </c>
      <c r="AA45" s="127" t="s">
        <v>1867</v>
      </c>
      <c r="AB45" s="133">
        <v>2</v>
      </c>
      <c r="AC45" s="137" t="b">
        <v>0</v>
      </c>
      <c r="AE45" s="137" t="b">
        <v>0</v>
      </c>
      <c r="AG45" s="135" t="b">
        <v>1</v>
      </c>
      <c r="AH45" s="125">
        <v>5</v>
      </c>
      <c r="AI45" s="125">
        <v>8</v>
      </c>
      <c r="AJ45" s="125">
        <v>13</v>
      </c>
      <c r="AK45" s="125">
        <v>21</v>
      </c>
      <c r="AL45" s="129" t="b">
        <v>0</v>
      </c>
      <c r="AM45" s="128" t="b">
        <v>1</v>
      </c>
      <c r="AN45" s="131" t="s">
        <v>1469</v>
      </c>
      <c r="AO45" s="141">
        <v>1.0000000000000001E-5</v>
      </c>
      <c r="AP45" s="128" t="b">
        <v>1</v>
      </c>
      <c r="AQ45" s="141">
        <v>1.0000000000000001E-5</v>
      </c>
      <c r="AR45" s="152">
        <v>12</v>
      </c>
      <c r="AS45" s="152">
        <v>26</v>
      </c>
      <c r="AT45" s="152">
        <v>9</v>
      </c>
      <c r="AU45" s="128" t="b">
        <v>1</v>
      </c>
      <c r="AV45" s="124">
        <v>3</v>
      </c>
      <c r="AW45" s="146">
        <v>5</v>
      </c>
      <c r="AX45" s="124">
        <v>1</v>
      </c>
      <c r="AY45" s="128" t="b">
        <v>1</v>
      </c>
      <c r="AZ45" s="122" t="s">
        <v>1586</v>
      </c>
      <c r="BA45" s="122">
        <v>4</v>
      </c>
      <c r="BB45" s="126">
        <v>0.05</v>
      </c>
      <c r="BC45" s="126">
        <v>0.5</v>
      </c>
      <c r="BD45" s="129" t="b">
        <v>0</v>
      </c>
      <c r="BE45" s="122" t="s">
        <v>1873</v>
      </c>
      <c r="BF45" s="128" t="b">
        <v>1</v>
      </c>
      <c r="BG45" s="122" t="s">
        <v>1578</v>
      </c>
      <c r="BH45" s="133">
        <v>0.02</v>
      </c>
      <c r="BI45" s="156" t="s">
        <v>403</v>
      </c>
      <c r="BJ45" s="128" t="b">
        <v>1</v>
      </c>
      <c r="BK45" s="161">
        <v>1.5</v>
      </c>
      <c r="BL45" s="129" t="b">
        <v>0</v>
      </c>
      <c r="BM45" s="156" t="s">
        <v>412</v>
      </c>
      <c r="BN45" s="128" t="b">
        <v>1</v>
      </c>
      <c r="BO45" s="156" t="s">
        <v>1382</v>
      </c>
      <c r="BP45" s="157">
        <v>1</v>
      </c>
      <c r="BQ45" s="157">
        <v>0.5</v>
      </c>
      <c r="BR45" s="166" t="str">
        <f t="shared" si="71"/>
        <v>5/ 8/ 13/ 21</v>
      </c>
      <c r="BS45" s="166" t="str">
        <f t="shared" si="54"/>
        <v>12 / 26 / 9</v>
      </c>
      <c r="BT45" s="166" t="str">
        <f t="shared" si="55"/>
        <v>0.05 / 0.5</v>
      </c>
      <c r="BU45" s="66">
        <v>596</v>
      </c>
      <c r="BV45" s="66">
        <v>346</v>
      </c>
      <c r="BW45" s="66">
        <v>280</v>
      </c>
      <c r="BX45" s="99">
        <f t="shared" si="56"/>
        <v>66</v>
      </c>
      <c r="BY45" s="66">
        <v>71</v>
      </c>
      <c r="BZ45" s="92">
        <f t="shared" si="57"/>
        <v>179</v>
      </c>
      <c r="CA45" s="204">
        <f t="shared" si="69"/>
        <v>0.58053691275167785</v>
      </c>
      <c r="CB45" s="205">
        <f t="shared" si="70"/>
        <v>0.11912751677852348</v>
      </c>
      <c r="CC45" s="87">
        <v>4.6399999999999997</v>
      </c>
      <c r="CD45" s="87">
        <v>30.01</v>
      </c>
      <c r="CE45" s="87">
        <v>0.41</v>
      </c>
      <c r="CF45" s="170">
        <f t="shared" si="58"/>
        <v>1.5</v>
      </c>
      <c r="CG45" s="87">
        <v>0.67</v>
      </c>
      <c r="CH45" s="87">
        <v>0.48</v>
      </c>
      <c r="CI45" s="93">
        <v>9545.6</v>
      </c>
      <c r="CJ45" s="87">
        <v>27.59</v>
      </c>
      <c r="CK45" s="87">
        <v>25.76</v>
      </c>
      <c r="CL45" s="87">
        <v>-5.03</v>
      </c>
      <c r="CM45" s="165">
        <v>1000</v>
      </c>
      <c r="CN45" s="208">
        <v>17884.72</v>
      </c>
      <c r="CO45" s="209">
        <f t="shared" si="59"/>
        <v>18884.72</v>
      </c>
      <c r="CP45" s="209">
        <f t="shared" si="60"/>
        <v>1788.4720000000002</v>
      </c>
      <c r="CR45" s="82">
        <f t="shared" si="61"/>
        <v>12</v>
      </c>
      <c r="CS45" s="80">
        <f t="shared" si="62"/>
        <v>795.4666666666667</v>
      </c>
      <c r="CT45" s="80">
        <f t="shared" si="63"/>
        <v>1490.3933333333334</v>
      </c>
      <c r="CU45" s="80">
        <f t="shared" si="64"/>
        <v>149.03933333333333</v>
      </c>
      <c r="CW45" s="80">
        <f t="shared" si="65"/>
        <v>9545.6</v>
      </c>
      <c r="CX45" s="80">
        <f t="shared" si="66"/>
        <v>17884.72</v>
      </c>
      <c r="CY45" s="80">
        <f t="shared" si="67"/>
        <v>1788.4720000000002</v>
      </c>
    </row>
    <row r="46" spans="1:103" outlineLevel="1" x14ac:dyDescent="0.2">
      <c r="A46" s="120"/>
      <c r="B46" s="72"/>
      <c r="C46" s="57" t="s">
        <v>1387</v>
      </c>
      <c r="D46" s="57" t="s">
        <v>1888</v>
      </c>
      <c r="E46" s="65" t="s">
        <v>1389</v>
      </c>
      <c r="F46" s="57" t="s">
        <v>1454</v>
      </c>
      <c r="G46" s="62" t="s">
        <v>1556</v>
      </c>
      <c r="H46" s="129" t="b">
        <v>0</v>
      </c>
      <c r="J46" s="123" t="s">
        <v>1866</v>
      </c>
      <c r="K46" s="123" t="s">
        <v>1866</v>
      </c>
      <c r="L46" s="123" t="s">
        <v>1866</v>
      </c>
      <c r="M46" s="137" t="b">
        <v>0</v>
      </c>
      <c r="Q46" s="128" t="b">
        <v>1</v>
      </c>
      <c r="R46" s="127" t="s">
        <v>1559</v>
      </c>
      <c r="S46" s="135" t="b">
        <v>1</v>
      </c>
      <c r="T46" s="126">
        <v>13</v>
      </c>
      <c r="U46" s="124">
        <v>1.4999999999999999E-2</v>
      </c>
      <c r="V46" s="126">
        <v>75</v>
      </c>
      <c r="W46" s="126">
        <v>-75</v>
      </c>
      <c r="X46" s="124">
        <v>50</v>
      </c>
      <c r="Y46" s="124">
        <v>5</v>
      </c>
      <c r="Z46" s="128" t="b">
        <v>1</v>
      </c>
      <c r="AA46" s="127" t="s">
        <v>1867</v>
      </c>
      <c r="AB46" s="133">
        <v>2</v>
      </c>
      <c r="AC46" s="137" t="b">
        <v>0</v>
      </c>
      <c r="AE46" s="137" t="b">
        <v>0</v>
      </c>
      <c r="AG46" s="135" t="b">
        <v>1</v>
      </c>
      <c r="AH46" s="125">
        <v>5</v>
      </c>
      <c r="AI46" s="125">
        <v>8</v>
      </c>
      <c r="AJ46" s="125">
        <v>13</v>
      </c>
      <c r="AK46" s="125">
        <v>21</v>
      </c>
      <c r="AL46" s="129" t="b">
        <v>0</v>
      </c>
      <c r="AM46" s="128" t="b">
        <v>1</v>
      </c>
      <c r="AN46" s="131" t="s">
        <v>1469</v>
      </c>
      <c r="AO46" s="141">
        <v>1.0000000000000001E-5</v>
      </c>
      <c r="AP46" s="128" t="b">
        <v>1</v>
      </c>
      <c r="AQ46" s="141">
        <v>1.0000000000000001E-5</v>
      </c>
      <c r="AR46" s="137">
        <v>21</v>
      </c>
      <c r="AS46" s="137">
        <v>34</v>
      </c>
      <c r="AT46" s="137">
        <v>9</v>
      </c>
      <c r="AU46" s="128" t="b">
        <v>1</v>
      </c>
      <c r="AV46" s="124">
        <v>3</v>
      </c>
      <c r="AW46" s="146">
        <v>5</v>
      </c>
      <c r="AX46" s="124">
        <v>1</v>
      </c>
      <c r="AY46" s="128" t="b">
        <v>1</v>
      </c>
      <c r="AZ46" s="122" t="s">
        <v>1586</v>
      </c>
      <c r="BA46" s="122">
        <v>4</v>
      </c>
      <c r="BB46" s="126">
        <v>0.05</v>
      </c>
      <c r="BC46" s="126">
        <v>0.5</v>
      </c>
      <c r="BD46" s="129" t="b">
        <v>0</v>
      </c>
      <c r="BE46" s="122" t="s">
        <v>1873</v>
      </c>
      <c r="BF46" s="128" t="b">
        <v>1</v>
      </c>
      <c r="BG46" s="122" t="s">
        <v>1578</v>
      </c>
      <c r="BH46" s="133">
        <v>0.02</v>
      </c>
      <c r="BI46" s="156" t="s">
        <v>403</v>
      </c>
      <c r="BJ46" s="128" t="b">
        <v>1</v>
      </c>
      <c r="BK46" s="161">
        <v>1.5</v>
      </c>
      <c r="BL46" s="129" t="b">
        <v>0</v>
      </c>
      <c r="BM46" s="156" t="s">
        <v>412</v>
      </c>
      <c r="BN46" s="128" t="b">
        <v>1</v>
      </c>
      <c r="BO46" s="156" t="s">
        <v>1382</v>
      </c>
      <c r="BP46" s="157">
        <v>1</v>
      </c>
      <c r="BQ46" s="157">
        <v>0.5</v>
      </c>
      <c r="BR46" s="166" t="str">
        <f t="shared" si="71"/>
        <v>5/ 8/ 13/ 21</v>
      </c>
      <c r="BS46" s="166" t="str">
        <f t="shared" si="54"/>
        <v>21 / 34 / 9</v>
      </c>
      <c r="BT46" s="166" t="str">
        <f t="shared" si="55"/>
        <v>0.05 / 0.5</v>
      </c>
      <c r="BU46" s="66">
        <v>598</v>
      </c>
      <c r="BV46" s="66">
        <v>339</v>
      </c>
      <c r="BW46" s="66">
        <v>275</v>
      </c>
      <c r="BX46" s="99">
        <f t="shared" si="56"/>
        <v>64</v>
      </c>
      <c r="BY46" s="66">
        <v>73</v>
      </c>
      <c r="BZ46" s="92">
        <f t="shared" si="57"/>
        <v>186</v>
      </c>
      <c r="CA46" s="204">
        <f t="shared" si="69"/>
        <v>0.56688963210702337</v>
      </c>
      <c r="CB46" s="205">
        <f t="shared" si="70"/>
        <v>0.12207357859531773</v>
      </c>
      <c r="CC46" s="87">
        <v>4.37</v>
      </c>
      <c r="CD46" s="87">
        <v>28.81</v>
      </c>
      <c r="CE46" s="87">
        <v>0.4</v>
      </c>
      <c r="CF46" s="170">
        <f t="shared" si="58"/>
        <v>1.5</v>
      </c>
      <c r="CG46" s="87">
        <v>0.67</v>
      </c>
      <c r="CH46" s="87">
        <v>0.51</v>
      </c>
      <c r="CI46" s="93">
        <v>9391.9</v>
      </c>
      <c r="CJ46" s="87">
        <v>27.7</v>
      </c>
      <c r="CK46" s="87">
        <v>26.15</v>
      </c>
      <c r="CL46" s="87">
        <v>-4.84</v>
      </c>
      <c r="CM46" s="165">
        <v>1000</v>
      </c>
      <c r="CN46" s="93">
        <v>17226.939999999999</v>
      </c>
      <c r="CO46" s="108">
        <f t="shared" si="59"/>
        <v>18226.939999999999</v>
      </c>
      <c r="CP46" s="108">
        <f t="shared" si="60"/>
        <v>1722.694</v>
      </c>
      <c r="CR46" s="82">
        <f t="shared" si="61"/>
        <v>12</v>
      </c>
      <c r="CS46" s="80">
        <f t="shared" si="62"/>
        <v>782.6583333333333</v>
      </c>
      <c r="CT46" s="80">
        <f t="shared" si="63"/>
        <v>1435.5783333333331</v>
      </c>
      <c r="CU46" s="80">
        <f t="shared" si="64"/>
        <v>143.55783333333332</v>
      </c>
      <c r="CW46" s="80">
        <f t="shared" si="65"/>
        <v>9391.9</v>
      </c>
      <c r="CX46" s="80">
        <f t="shared" si="66"/>
        <v>17226.939999999999</v>
      </c>
      <c r="CY46" s="80">
        <f t="shared" si="67"/>
        <v>1722.694</v>
      </c>
    </row>
    <row r="47" spans="1:103" outlineLevel="1" x14ac:dyDescent="0.2">
      <c r="B47" s="45"/>
    </row>
    <row r="48" spans="1:103" x14ac:dyDescent="0.2">
      <c r="A48" s="120"/>
      <c r="B48" s="72" t="s">
        <v>1898</v>
      </c>
      <c r="C48" s="57" t="s">
        <v>1387</v>
      </c>
      <c r="D48" s="57" t="s">
        <v>1888</v>
      </c>
      <c r="E48" s="65" t="s">
        <v>1389</v>
      </c>
      <c r="F48" s="57" t="s">
        <v>1454</v>
      </c>
      <c r="G48" s="62" t="s">
        <v>1556</v>
      </c>
      <c r="H48" s="129" t="b">
        <v>0</v>
      </c>
      <c r="J48" s="123" t="s">
        <v>1866</v>
      </c>
      <c r="K48" s="123" t="s">
        <v>1866</v>
      </c>
      <c r="L48" s="123" t="s">
        <v>1866</v>
      </c>
      <c r="M48" s="137" t="b">
        <v>0</v>
      </c>
      <c r="Q48" s="128" t="b">
        <v>1</v>
      </c>
      <c r="R48" s="127" t="s">
        <v>1559</v>
      </c>
      <c r="S48" s="135" t="b">
        <v>1</v>
      </c>
      <c r="T48" s="126">
        <v>13</v>
      </c>
      <c r="U48" s="124">
        <v>1.4999999999999999E-2</v>
      </c>
      <c r="V48" s="126">
        <v>75</v>
      </c>
      <c r="W48" s="126">
        <v>-75</v>
      </c>
      <c r="X48" s="124">
        <v>50</v>
      </c>
      <c r="Y48" s="124">
        <v>5</v>
      </c>
      <c r="Z48" s="128" t="b">
        <v>1</v>
      </c>
      <c r="AA48" s="127" t="s">
        <v>1867</v>
      </c>
      <c r="AB48" s="133">
        <v>2</v>
      </c>
      <c r="AC48" s="137" t="b">
        <v>0</v>
      </c>
      <c r="AE48" s="137" t="b">
        <v>0</v>
      </c>
      <c r="AG48" s="135" t="b">
        <v>1</v>
      </c>
      <c r="AH48" s="125">
        <v>5</v>
      </c>
      <c r="AI48" s="125">
        <v>8</v>
      </c>
      <c r="AJ48" s="125">
        <v>13</v>
      </c>
      <c r="AK48" s="125">
        <v>34</v>
      </c>
      <c r="AL48" s="129" t="b">
        <v>0</v>
      </c>
      <c r="AM48" s="128" t="b">
        <v>1</v>
      </c>
      <c r="AN48" s="131" t="s">
        <v>1469</v>
      </c>
      <c r="AO48" s="141">
        <v>1.0000000000000001E-5</v>
      </c>
      <c r="AP48" s="128" t="b">
        <v>1</v>
      </c>
      <c r="AQ48" s="141">
        <v>1.0000000000000001E-5</v>
      </c>
      <c r="AR48" s="126">
        <v>5</v>
      </c>
      <c r="AS48" s="126">
        <v>8</v>
      </c>
      <c r="AT48" s="126">
        <v>5</v>
      </c>
      <c r="AU48" s="128" t="b">
        <v>1</v>
      </c>
      <c r="AV48" s="124">
        <v>3</v>
      </c>
      <c r="AW48" s="146">
        <v>5</v>
      </c>
      <c r="AX48" s="124">
        <v>1</v>
      </c>
      <c r="AY48" s="128" t="b">
        <v>1</v>
      </c>
      <c r="AZ48" s="122" t="s">
        <v>1586</v>
      </c>
      <c r="BA48" s="122">
        <v>4</v>
      </c>
      <c r="BB48" s="126">
        <v>0.05</v>
      </c>
      <c r="BC48" s="126">
        <v>0.5</v>
      </c>
      <c r="BD48" s="129" t="b">
        <v>0</v>
      </c>
      <c r="BE48" s="122" t="s">
        <v>1873</v>
      </c>
      <c r="BF48" s="128" t="b">
        <v>1</v>
      </c>
      <c r="BG48" s="122" t="s">
        <v>1578</v>
      </c>
      <c r="BH48" s="133">
        <v>0.02</v>
      </c>
      <c r="BI48" s="156" t="s">
        <v>403</v>
      </c>
      <c r="BJ48" s="128" t="b">
        <v>1</v>
      </c>
      <c r="BK48" s="161">
        <v>1.5</v>
      </c>
      <c r="BL48" s="129" t="b">
        <v>0</v>
      </c>
      <c r="BM48" s="156" t="s">
        <v>412</v>
      </c>
      <c r="BN48" s="128" t="b">
        <v>1</v>
      </c>
      <c r="BO48" s="156" t="s">
        <v>1382</v>
      </c>
      <c r="BP48" s="157">
        <v>1</v>
      </c>
      <c r="BQ48" s="157">
        <v>0.5</v>
      </c>
      <c r="BR48" s="166" t="str">
        <f t="shared" ref="BR48:BR55" si="72">AH48&amp;"/ "&amp;AI48&amp;"/ "&amp;AJ48&amp;"/ "&amp;AK48</f>
        <v>5/ 8/ 13/ 34</v>
      </c>
      <c r="BS48" s="166" t="str">
        <f t="shared" ref="BS48:BS55" si="73">AR48&amp;" / "&amp;AS48&amp;" / "&amp;AT48</f>
        <v>5 / 8 / 5</v>
      </c>
      <c r="BT48" s="166" t="str">
        <f t="shared" ref="BT48:BT55" si="74">BB48&amp;" / "&amp;BC48</f>
        <v>0.05 / 0.5</v>
      </c>
      <c r="BU48" s="66">
        <v>541</v>
      </c>
      <c r="BV48" s="66">
        <v>319</v>
      </c>
      <c r="BW48" s="66">
        <v>257</v>
      </c>
      <c r="BX48" s="99">
        <f t="shared" ref="BX48:BX55" si="75">BV48-BW48</f>
        <v>62</v>
      </c>
      <c r="BY48" s="66">
        <v>61</v>
      </c>
      <c r="BZ48" s="92">
        <f t="shared" ref="BZ48:BZ55" si="76">BU48-SUM(BW48:BY48)</f>
        <v>161</v>
      </c>
      <c r="CA48" s="204">
        <f>IF(BU48=0,0,BV48/BU48)</f>
        <v>0.58964879852125696</v>
      </c>
      <c r="CB48" s="205">
        <f>IF(BU48=0,0,BY48/BU48)</f>
        <v>0.11275415896487985</v>
      </c>
      <c r="CC48" s="87">
        <v>5.38</v>
      </c>
      <c r="CD48" s="87">
        <v>27.33</v>
      </c>
      <c r="CE48" s="87">
        <v>0.41</v>
      </c>
      <c r="CF48" s="170">
        <f t="shared" ref="CF48:CF55" si="77">BK48</f>
        <v>1.5</v>
      </c>
      <c r="CG48" s="87">
        <v>0.65</v>
      </c>
      <c r="CH48" s="87">
        <v>0.48</v>
      </c>
      <c r="CI48" s="93">
        <v>8772.6</v>
      </c>
      <c r="CJ48" s="87">
        <v>27.5</v>
      </c>
      <c r="CK48" s="87">
        <v>26.47</v>
      </c>
      <c r="CL48" s="87">
        <v>-5.6</v>
      </c>
      <c r="CM48" s="165">
        <v>1000</v>
      </c>
      <c r="CN48" s="208">
        <v>14784.75</v>
      </c>
      <c r="CO48" s="209">
        <f t="shared" ref="CO48:CO55" si="78">CM48+CN48</f>
        <v>15784.75</v>
      </c>
      <c r="CP48" s="209">
        <f t="shared" ref="CP48:CP55" si="79">CN48/10</f>
        <v>1478.4749999999999</v>
      </c>
      <c r="CR48" s="82">
        <f t="shared" ref="CR48:CR55" si="80">CR$4</f>
        <v>12</v>
      </c>
      <c r="CS48" s="80">
        <f t="shared" ref="CS48:CS55" si="81">CI48/CR48</f>
        <v>731.05000000000007</v>
      </c>
      <c r="CT48" s="80">
        <f t="shared" ref="CT48:CT55" si="82">CN48/CR48</f>
        <v>1232.0625</v>
      </c>
      <c r="CU48" s="80">
        <f t="shared" ref="CU48:CU55" si="83">CT48/10</f>
        <v>123.20625</v>
      </c>
      <c r="CW48" s="80">
        <f t="shared" ref="CW48:CW55" si="84">CI48</f>
        <v>8772.6</v>
      </c>
      <c r="CX48" s="80">
        <f t="shared" ref="CX48:CX55" si="85">CN48</f>
        <v>14784.75</v>
      </c>
      <c r="CY48" s="80">
        <f t="shared" ref="CY48:CY55" si="86">CP48</f>
        <v>1478.4749999999999</v>
      </c>
    </row>
    <row r="49" spans="1:103" outlineLevel="1" x14ac:dyDescent="0.2">
      <c r="A49" s="120"/>
      <c r="B49" s="72"/>
      <c r="C49" s="57" t="s">
        <v>1387</v>
      </c>
      <c r="D49" s="57" t="s">
        <v>1888</v>
      </c>
      <c r="E49" s="65" t="s">
        <v>1389</v>
      </c>
      <c r="F49" s="57" t="s">
        <v>1454</v>
      </c>
      <c r="G49" s="62" t="s">
        <v>1556</v>
      </c>
      <c r="H49" s="129" t="b">
        <v>0</v>
      </c>
      <c r="J49" s="123" t="s">
        <v>1866</v>
      </c>
      <c r="K49" s="123" t="s">
        <v>1866</v>
      </c>
      <c r="L49" s="123" t="s">
        <v>1866</v>
      </c>
      <c r="M49" s="137" t="b">
        <v>0</v>
      </c>
      <c r="Q49" s="128" t="b">
        <v>1</v>
      </c>
      <c r="R49" s="127" t="s">
        <v>1559</v>
      </c>
      <c r="S49" s="135" t="b">
        <v>1</v>
      </c>
      <c r="T49" s="126">
        <v>13</v>
      </c>
      <c r="U49" s="124">
        <v>1.4999999999999999E-2</v>
      </c>
      <c r="V49" s="126">
        <v>75</v>
      </c>
      <c r="W49" s="126">
        <v>-75</v>
      </c>
      <c r="X49" s="124">
        <v>50</v>
      </c>
      <c r="Y49" s="124">
        <v>5</v>
      </c>
      <c r="Z49" s="128" t="b">
        <v>1</v>
      </c>
      <c r="AA49" s="127" t="s">
        <v>1867</v>
      </c>
      <c r="AB49" s="133">
        <v>2</v>
      </c>
      <c r="AC49" s="137" t="b">
        <v>0</v>
      </c>
      <c r="AE49" s="137" t="b">
        <v>0</v>
      </c>
      <c r="AG49" s="135" t="b">
        <v>1</v>
      </c>
      <c r="AH49" s="125">
        <v>5</v>
      </c>
      <c r="AI49" s="125">
        <v>8</v>
      </c>
      <c r="AJ49" s="125">
        <v>13</v>
      </c>
      <c r="AK49" s="125">
        <v>34</v>
      </c>
      <c r="AL49" s="129" t="b">
        <v>0</v>
      </c>
      <c r="AM49" s="128" t="b">
        <v>1</v>
      </c>
      <c r="AN49" s="131" t="s">
        <v>1469</v>
      </c>
      <c r="AO49" s="141">
        <v>1.0000000000000001E-5</v>
      </c>
      <c r="AP49" s="128" t="b">
        <v>1</v>
      </c>
      <c r="AQ49" s="141">
        <v>1.0000000000000001E-5</v>
      </c>
      <c r="AR49" s="137">
        <v>5</v>
      </c>
      <c r="AS49" s="137">
        <v>13</v>
      </c>
      <c r="AT49" s="137">
        <v>5</v>
      </c>
      <c r="AU49" s="128" t="b">
        <v>1</v>
      </c>
      <c r="AV49" s="124">
        <v>3</v>
      </c>
      <c r="AW49" s="146">
        <v>5</v>
      </c>
      <c r="AX49" s="124">
        <v>1</v>
      </c>
      <c r="AY49" s="128" t="b">
        <v>1</v>
      </c>
      <c r="AZ49" s="122" t="s">
        <v>1586</v>
      </c>
      <c r="BA49" s="122">
        <v>4</v>
      </c>
      <c r="BB49" s="126">
        <v>0.05</v>
      </c>
      <c r="BC49" s="126">
        <v>0.5</v>
      </c>
      <c r="BD49" s="129" t="b">
        <v>0</v>
      </c>
      <c r="BE49" s="122" t="s">
        <v>1873</v>
      </c>
      <c r="BF49" s="128" t="b">
        <v>1</v>
      </c>
      <c r="BG49" s="122" t="s">
        <v>1578</v>
      </c>
      <c r="BH49" s="133">
        <v>0.02</v>
      </c>
      <c r="BI49" s="156" t="s">
        <v>403</v>
      </c>
      <c r="BJ49" s="128" t="b">
        <v>1</v>
      </c>
      <c r="BK49" s="161">
        <v>1.5</v>
      </c>
      <c r="BL49" s="129" t="b">
        <v>0</v>
      </c>
      <c r="BM49" s="156" t="s">
        <v>412</v>
      </c>
      <c r="BN49" s="128" t="b">
        <v>1</v>
      </c>
      <c r="BO49" s="156" t="s">
        <v>1382</v>
      </c>
      <c r="BP49" s="157">
        <v>1</v>
      </c>
      <c r="BQ49" s="157">
        <v>0.5</v>
      </c>
      <c r="BR49" s="166" t="str">
        <f t="shared" si="72"/>
        <v>5/ 8/ 13/ 34</v>
      </c>
      <c r="BS49" s="166" t="str">
        <f t="shared" si="73"/>
        <v>5 / 13 / 5</v>
      </c>
      <c r="BT49" s="166" t="str">
        <f t="shared" si="74"/>
        <v>0.05 / 0.5</v>
      </c>
      <c r="BU49" s="66">
        <v>561</v>
      </c>
      <c r="BV49" s="66">
        <v>326</v>
      </c>
      <c r="BW49" s="66">
        <v>264</v>
      </c>
      <c r="BX49" s="99">
        <f t="shared" si="75"/>
        <v>62</v>
      </c>
      <c r="BY49" s="66">
        <v>72</v>
      </c>
      <c r="BZ49" s="92">
        <f t="shared" si="76"/>
        <v>163</v>
      </c>
      <c r="CA49" s="204">
        <f t="shared" ref="CA49:CA55" si="87">IF(BU49=0,0,BV49/BU49)</f>
        <v>0.58110516934046341</v>
      </c>
      <c r="CB49" s="205">
        <f t="shared" ref="CB49:CB55" si="88">IF(BU49=0,0,BY49/BU49)</f>
        <v>0.12834224598930483</v>
      </c>
      <c r="CC49" s="87">
        <v>4.3499999999999996</v>
      </c>
      <c r="CD49" s="87">
        <v>25.49</v>
      </c>
      <c r="CE49" s="87">
        <v>0.38</v>
      </c>
      <c r="CF49" s="170">
        <f t="shared" si="77"/>
        <v>1.5</v>
      </c>
      <c r="CG49" s="87">
        <v>0.65</v>
      </c>
      <c r="CH49" s="87">
        <v>0.49</v>
      </c>
      <c r="CI49" s="93">
        <v>8988</v>
      </c>
      <c r="CJ49" s="87">
        <v>27.57</v>
      </c>
      <c r="CK49" s="87">
        <v>26.28</v>
      </c>
      <c r="CL49" s="87">
        <v>-4.21</v>
      </c>
      <c r="CM49" s="165">
        <v>1000</v>
      </c>
      <c r="CN49" s="93">
        <v>14298.83</v>
      </c>
      <c r="CO49" s="108">
        <f t="shared" si="78"/>
        <v>15298.83</v>
      </c>
      <c r="CP49" s="108">
        <f t="shared" si="79"/>
        <v>1429.883</v>
      </c>
      <c r="CR49" s="82">
        <f t="shared" si="80"/>
        <v>12</v>
      </c>
      <c r="CS49" s="80">
        <f t="shared" si="81"/>
        <v>749</v>
      </c>
      <c r="CT49" s="80">
        <f t="shared" si="82"/>
        <v>1191.5691666666667</v>
      </c>
      <c r="CU49" s="80">
        <f t="shared" si="83"/>
        <v>119.15691666666666</v>
      </c>
      <c r="CW49" s="80">
        <f t="shared" si="84"/>
        <v>8988</v>
      </c>
      <c r="CX49" s="80">
        <f t="shared" si="85"/>
        <v>14298.83</v>
      </c>
      <c r="CY49" s="80">
        <f t="shared" si="86"/>
        <v>1429.883</v>
      </c>
    </row>
    <row r="50" spans="1:103" outlineLevel="1" x14ac:dyDescent="0.2">
      <c r="A50" s="120"/>
      <c r="B50" s="72"/>
      <c r="C50" s="57" t="s">
        <v>1387</v>
      </c>
      <c r="D50" s="57" t="s">
        <v>1888</v>
      </c>
      <c r="E50" s="65" t="s">
        <v>1389</v>
      </c>
      <c r="F50" s="57" t="s">
        <v>1454</v>
      </c>
      <c r="G50" s="62" t="s">
        <v>1556</v>
      </c>
      <c r="H50" s="129" t="b">
        <v>0</v>
      </c>
      <c r="J50" s="123" t="s">
        <v>1866</v>
      </c>
      <c r="K50" s="123" t="s">
        <v>1866</v>
      </c>
      <c r="L50" s="123" t="s">
        <v>1866</v>
      </c>
      <c r="M50" s="137" t="b">
        <v>0</v>
      </c>
      <c r="Q50" s="128" t="b">
        <v>1</v>
      </c>
      <c r="R50" s="127" t="s">
        <v>1559</v>
      </c>
      <c r="S50" s="135" t="b">
        <v>1</v>
      </c>
      <c r="T50" s="126">
        <v>13</v>
      </c>
      <c r="U50" s="124">
        <v>1.4999999999999999E-2</v>
      </c>
      <c r="V50" s="126">
        <v>75</v>
      </c>
      <c r="W50" s="126">
        <v>-75</v>
      </c>
      <c r="X50" s="124">
        <v>50</v>
      </c>
      <c r="Y50" s="124">
        <v>5</v>
      </c>
      <c r="Z50" s="128" t="b">
        <v>1</v>
      </c>
      <c r="AA50" s="127" t="s">
        <v>1867</v>
      </c>
      <c r="AB50" s="133">
        <v>2</v>
      </c>
      <c r="AC50" s="137" t="b">
        <v>0</v>
      </c>
      <c r="AE50" s="137" t="b">
        <v>0</v>
      </c>
      <c r="AG50" s="135" t="b">
        <v>1</v>
      </c>
      <c r="AH50" s="125">
        <v>5</v>
      </c>
      <c r="AI50" s="125">
        <v>8</v>
      </c>
      <c r="AJ50" s="125">
        <v>13</v>
      </c>
      <c r="AK50" s="125">
        <v>34</v>
      </c>
      <c r="AL50" s="129" t="b">
        <v>0</v>
      </c>
      <c r="AM50" s="128" t="b">
        <v>1</v>
      </c>
      <c r="AN50" s="131" t="s">
        <v>1469</v>
      </c>
      <c r="AO50" s="141">
        <v>1.0000000000000001E-5</v>
      </c>
      <c r="AP50" s="128" t="b">
        <v>1</v>
      </c>
      <c r="AQ50" s="141">
        <v>1.0000000000000001E-5</v>
      </c>
      <c r="AR50" s="137">
        <v>5</v>
      </c>
      <c r="AS50" s="137">
        <v>13</v>
      </c>
      <c r="AT50" s="137">
        <v>8</v>
      </c>
      <c r="AU50" s="128" t="b">
        <v>1</v>
      </c>
      <c r="AV50" s="124">
        <v>3</v>
      </c>
      <c r="AW50" s="146">
        <v>5</v>
      </c>
      <c r="AX50" s="124">
        <v>1</v>
      </c>
      <c r="AY50" s="128" t="b">
        <v>1</v>
      </c>
      <c r="AZ50" s="122" t="s">
        <v>1586</v>
      </c>
      <c r="BA50" s="122">
        <v>4</v>
      </c>
      <c r="BB50" s="126">
        <v>0.05</v>
      </c>
      <c r="BC50" s="126">
        <v>0.5</v>
      </c>
      <c r="BD50" s="129" t="b">
        <v>0</v>
      </c>
      <c r="BE50" s="122" t="s">
        <v>1873</v>
      </c>
      <c r="BF50" s="128" t="b">
        <v>1</v>
      </c>
      <c r="BG50" s="122" t="s">
        <v>1578</v>
      </c>
      <c r="BH50" s="133">
        <v>0.02</v>
      </c>
      <c r="BI50" s="156" t="s">
        <v>403</v>
      </c>
      <c r="BJ50" s="128" t="b">
        <v>1</v>
      </c>
      <c r="BK50" s="161">
        <v>1.5</v>
      </c>
      <c r="BL50" s="129" t="b">
        <v>0</v>
      </c>
      <c r="BM50" s="156" t="s">
        <v>412</v>
      </c>
      <c r="BN50" s="128" t="b">
        <v>1</v>
      </c>
      <c r="BO50" s="156" t="s">
        <v>1382</v>
      </c>
      <c r="BP50" s="157">
        <v>1</v>
      </c>
      <c r="BQ50" s="157">
        <v>0.5</v>
      </c>
      <c r="BR50" s="166" t="str">
        <f>AH50&amp;"/ "&amp;AI50&amp;"/ "&amp;AJ50&amp;"/ "&amp;AK50</f>
        <v>5/ 8/ 13/ 34</v>
      </c>
      <c r="BS50" s="166" t="str">
        <f t="shared" si="73"/>
        <v>5 / 13 / 8</v>
      </c>
      <c r="BT50" s="166" t="str">
        <f t="shared" si="74"/>
        <v>0.05 / 0.5</v>
      </c>
      <c r="BU50" s="66">
        <v>560</v>
      </c>
      <c r="BV50" s="66">
        <v>328</v>
      </c>
      <c r="BW50" s="66">
        <v>264</v>
      </c>
      <c r="BX50" s="99">
        <f t="shared" si="75"/>
        <v>64</v>
      </c>
      <c r="BY50" s="66">
        <v>73</v>
      </c>
      <c r="BZ50" s="92">
        <f t="shared" si="76"/>
        <v>159</v>
      </c>
      <c r="CA50" s="204">
        <f t="shared" si="87"/>
        <v>0.58571428571428574</v>
      </c>
      <c r="CB50" s="205">
        <f t="shared" si="88"/>
        <v>0.13035714285714287</v>
      </c>
      <c r="CC50" s="87">
        <v>4.32</v>
      </c>
      <c r="CD50" s="87">
        <v>25.87</v>
      </c>
      <c r="CE50" s="87">
        <v>0.38</v>
      </c>
      <c r="CF50" s="170">
        <f t="shared" si="77"/>
        <v>1.5</v>
      </c>
      <c r="CG50" s="87">
        <v>0.65</v>
      </c>
      <c r="CH50" s="87">
        <v>0.48</v>
      </c>
      <c r="CI50" s="93">
        <v>9097.5</v>
      </c>
      <c r="CJ50" s="87">
        <v>27.74</v>
      </c>
      <c r="CK50" s="87">
        <v>26.73</v>
      </c>
      <c r="CL50" s="87">
        <v>-5.48</v>
      </c>
      <c r="CM50" s="165">
        <v>1000</v>
      </c>
      <c r="CN50" s="93">
        <v>14488.82</v>
      </c>
      <c r="CO50" s="108">
        <f t="shared" si="78"/>
        <v>15488.82</v>
      </c>
      <c r="CP50" s="108">
        <f t="shared" si="79"/>
        <v>1448.8820000000001</v>
      </c>
      <c r="CR50" s="82">
        <f t="shared" si="80"/>
        <v>12</v>
      </c>
      <c r="CS50" s="80">
        <f t="shared" si="81"/>
        <v>758.125</v>
      </c>
      <c r="CT50" s="80">
        <f t="shared" si="82"/>
        <v>1207.4016666666666</v>
      </c>
      <c r="CU50" s="80">
        <f t="shared" si="83"/>
        <v>120.74016666666667</v>
      </c>
      <c r="CW50" s="80">
        <f t="shared" si="84"/>
        <v>9097.5</v>
      </c>
      <c r="CX50" s="80">
        <f t="shared" si="85"/>
        <v>14488.82</v>
      </c>
      <c r="CY50" s="80">
        <f t="shared" si="86"/>
        <v>1448.8820000000001</v>
      </c>
    </row>
    <row r="51" spans="1:103" outlineLevel="1" x14ac:dyDescent="0.2">
      <c r="A51" s="120"/>
      <c r="B51" s="72"/>
      <c r="C51" s="57" t="s">
        <v>1387</v>
      </c>
      <c r="D51" s="57" t="s">
        <v>1888</v>
      </c>
      <c r="E51" s="65" t="s">
        <v>1389</v>
      </c>
      <c r="F51" s="57" t="s">
        <v>1454</v>
      </c>
      <c r="G51" s="62" t="s">
        <v>1556</v>
      </c>
      <c r="H51" s="129" t="b">
        <v>0</v>
      </c>
      <c r="J51" s="123" t="s">
        <v>1866</v>
      </c>
      <c r="K51" s="123" t="s">
        <v>1866</v>
      </c>
      <c r="L51" s="123" t="s">
        <v>1866</v>
      </c>
      <c r="M51" s="137" t="b">
        <v>0</v>
      </c>
      <c r="Q51" s="128" t="b">
        <v>1</v>
      </c>
      <c r="R51" s="127" t="s">
        <v>1559</v>
      </c>
      <c r="S51" s="135" t="b">
        <v>1</v>
      </c>
      <c r="T51" s="126">
        <v>13</v>
      </c>
      <c r="U51" s="124">
        <v>1.4999999999999999E-2</v>
      </c>
      <c r="V51" s="126">
        <v>75</v>
      </c>
      <c r="W51" s="126">
        <v>-75</v>
      </c>
      <c r="X51" s="124">
        <v>50</v>
      </c>
      <c r="Y51" s="124">
        <v>5</v>
      </c>
      <c r="Z51" s="128" t="b">
        <v>1</v>
      </c>
      <c r="AA51" s="127" t="s">
        <v>1867</v>
      </c>
      <c r="AB51" s="133">
        <v>2</v>
      </c>
      <c r="AC51" s="137" t="b">
        <v>0</v>
      </c>
      <c r="AE51" s="137" t="b">
        <v>0</v>
      </c>
      <c r="AG51" s="135" t="b">
        <v>1</v>
      </c>
      <c r="AH51" s="125">
        <v>5</v>
      </c>
      <c r="AI51" s="125">
        <v>8</v>
      </c>
      <c r="AJ51" s="125">
        <v>13</v>
      </c>
      <c r="AK51" s="125">
        <v>34</v>
      </c>
      <c r="AL51" s="129" t="b">
        <v>0</v>
      </c>
      <c r="AM51" s="128" t="b">
        <v>1</v>
      </c>
      <c r="AN51" s="131" t="s">
        <v>1469</v>
      </c>
      <c r="AO51" s="141">
        <v>1.0000000000000001E-5</v>
      </c>
      <c r="AP51" s="128" t="b">
        <v>1</v>
      </c>
      <c r="AQ51" s="141">
        <v>1.0000000000000001E-5</v>
      </c>
      <c r="AR51" s="149">
        <v>8</v>
      </c>
      <c r="AS51" s="149">
        <v>13</v>
      </c>
      <c r="AT51" s="149">
        <v>8</v>
      </c>
      <c r="AU51" s="128" t="b">
        <v>1</v>
      </c>
      <c r="AV51" s="124">
        <v>3</v>
      </c>
      <c r="AW51" s="146">
        <v>5</v>
      </c>
      <c r="AX51" s="124">
        <v>1</v>
      </c>
      <c r="AY51" s="128" t="b">
        <v>1</v>
      </c>
      <c r="AZ51" s="122" t="s">
        <v>1586</v>
      </c>
      <c r="BA51" s="122">
        <v>4</v>
      </c>
      <c r="BB51" s="126">
        <v>0.05</v>
      </c>
      <c r="BC51" s="126">
        <v>0.5</v>
      </c>
      <c r="BD51" s="129" t="b">
        <v>0</v>
      </c>
      <c r="BE51" s="122" t="s">
        <v>1873</v>
      </c>
      <c r="BF51" s="128" t="b">
        <v>1</v>
      </c>
      <c r="BG51" s="122" t="s">
        <v>1578</v>
      </c>
      <c r="BH51" s="133">
        <v>0.02</v>
      </c>
      <c r="BI51" s="156" t="s">
        <v>403</v>
      </c>
      <c r="BJ51" s="128" t="b">
        <v>1</v>
      </c>
      <c r="BK51" s="161">
        <v>1.5</v>
      </c>
      <c r="BL51" s="129" t="b">
        <v>0</v>
      </c>
      <c r="BM51" s="156" t="s">
        <v>412</v>
      </c>
      <c r="BN51" s="128" t="b">
        <v>1</v>
      </c>
      <c r="BO51" s="156" t="s">
        <v>1382</v>
      </c>
      <c r="BP51" s="157">
        <v>1</v>
      </c>
      <c r="BQ51" s="157">
        <v>0.5</v>
      </c>
      <c r="BR51" s="166" t="str">
        <f t="shared" si="72"/>
        <v>5/ 8/ 13/ 34</v>
      </c>
      <c r="BS51" s="166" t="str">
        <f t="shared" si="73"/>
        <v>8 / 13 / 8</v>
      </c>
      <c r="BT51" s="166" t="str">
        <f t="shared" si="74"/>
        <v>0.05 / 0.5</v>
      </c>
      <c r="BU51" s="66">
        <v>550</v>
      </c>
      <c r="BV51" s="66">
        <v>323</v>
      </c>
      <c r="BW51" s="66">
        <v>260</v>
      </c>
      <c r="BX51" s="99">
        <f t="shared" si="75"/>
        <v>63</v>
      </c>
      <c r="BY51" s="66">
        <v>71</v>
      </c>
      <c r="BZ51" s="92">
        <f t="shared" si="76"/>
        <v>156</v>
      </c>
      <c r="CA51" s="204">
        <f t="shared" si="87"/>
        <v>0.58727272727272728</v>
      </c>
      <c r="CB51" s="205">
        <f t="shared" si="88"/>
        <v>0.12909090909090909</v>
      </c>
      <c r="CC51" s="87">
        <v>4.4400000000000004</v>
      </c>
      <c r="CD51" s="87">
        <v>26.43</v>
      </c>
      <c r="CE51" s="87">
        <v>0.39</v>
      </c>
      <c r="CF51" s="170">
        <f t="shared" si="77"/>
        <v>1.5</v>
      </c>
      <c r="CG51" s="87">
        <v>0.66</v>
      </c>
      <c r="CH51" s="87">
        <v>0.5</v>
      </c>
      <c r="CI51" s="93">
        <v>8992.6</v>
      </c>
      <c r="CJ51" s="87">
        <v>27.84</v>
      </c>
      <c r="CK51" s="87">
        <v>26.43</v>
      </c>
      <c r="CL51" s="87">
        <v>-5.48</v>
      </c>
      <c r="CM51" s="165">
        <v>1000</v>
      </c>
      <c r="CN51" s="93">
        <v>14535.96</v>
      </c>
      <c r="CO51" s="108">
        <f t="shared" si="78"/>
        <v>15535.96</v>
      </c>
      <c r="CP51" s="108">
        <f t="shared" si="79"/>
        <v>1453.596</v>
      </c>
      <c r="CR51" s="82">
        <f t="shared" si="80"/>
        <v>12</v>
      </c>
      <c r="CS51" s="80">
        <f t="shared" si="81"/>
        <v>749.38333333333333</v>
      </c>
      <c r="CT51" s="80">
        <f t="shared" si="82"/>
        <v>1211.33</v>
      </c>
      <c r="CU51" s="80">
        <f t="shared" si="83"/>
        <v>121.133</v>
      </c>
      <c r="CW51" s="80">
        <f t="shared" si="84"/>
        <v>8992.6</v>
      </c>
      <c r="CX51" s="80">
        <f t="shared" si="85"/>
        <v>14535.96</v>
      </c>
      <c r="CY51" s="80">
        <f t="shared" si="86"/>
        <v>1453.596</v>
      </c>
    </row>
    <row r="52" spans="1:103" outlineLevel="1" x14ac:dyDescent="0.2">
      <c r="A52" s="120"/>
      <c r="B52" s="72"/>
      <c r="C52" s="57" t="s">
        <v>1387</v>
      </c>
      <c r="D52" s="57" t="s">
        <v>1888</v>
      </c>
      <c r="E52" s="65" t="s">
        <v>1389</v>
      </c>
      <c r="F52" s="57" t="s">
        <v>1454</v>
      </c>
      <c r="G52" s="62" t="s">
        <v>1556</v>
      </c>
      <c r="H52" s="129" t="b">
        <v>0</v>
      </c>
      <c r="J52" s="123" t="s">
        <v>1866</v>
      </c>
      <c r="K52" s="123" t="s">
        <v>1866</v>
      </c>
      <c r="L52" s="123" t="s">
        <v>1866</v>
      </c>
      <c r="M52" s="137" t="b">
        <v>0</v>
      </c>
      <c r="Q52" s="128" t="b">
        <v>1</v>
      </c>
      <c r="R52" s="127" t="s">
        <v>1559</v>
      </c>
      <c r="S52" s="135" t="b">
        <v>1</v>
      </c>
      <c r="T52" s="126">
        <v>13</v>
      </c>
      <c r="U52" s="124">
        <v>1.4999999999999999E-2</v>
      </c>
      <c r="V52" s="126">
        <v>75</v>
      </c>
      <c r="W52" s="126">
        <v>-75</v>
      </c>
      <c r="X52" s="124">
        <v>50</v>
      </c>
      <c r="Y52" s="124">
        <v>5</v>
      </c>
      <c r="Z52" s="128" t="b">
        <v>1</v>
      </c>
      <c r="AA52" s="127" t="s">
        <v>1867</v>
      </c>
      <c r="AB52" s="133">
        <v>2</v>
      </c>
      <c r="AC52" s="137" t="b">
        <v>0</v>
      </c>
      <c r="AE52" s="137" t="b">
        <v>0</v>
      </c>
      <c r="AG52" s="135" t="b">
        <v>1</v>
      </c>
      <c r="AH52" s="125">
        <v>5</v>
      </c>
      <c r="AI52" s="125">
        <v>8</v>
      </c>
      <c r="AJ52" s="125">
        <v>13</v>
      </c>
      <c r="AK52" s="125">
        <v>34</v>
      </c>
      <c r="AL52" s="129" t="b">
        <v>0</v>
      </c>
      <c r="AM52" s="128" t="b">
        <v>1</v>
      </c>
      <c r="AN52" s="131" t="s">
        <v>1469</v>
      </c>
      <c r="AO52" s="141">
        <v>1.0000000000000001E-5</v>
      </c>
      <c r="AP52" s="128" t="b">
        <v>1</v>
      </c>
      <c r="AQ52" s="141">
        <v>1.0000000000000001E-5</v>
      </c>
      <c r="AR52" s="149">
        <v>8</v>
      </c>
      <c r="AS52" s="149">
        <v>13</v>
      </c>
      <c r="AT52" s="149">
        <v>11</v>
      </c>
      <c r="AU52" s="128" t="b">
        <v>1</v>
      </c>
      <c r="AV52" s="124">
        <v>3</v>
      </c>
      <c r="AW52" s="146">
        <v>5</v>
      </c>
      <c r="AX52" s="124">
        <v>1</v>
      </c>
      <c r="AY52" s="128" t="b">
        <v>1</v>
      </c>
      <c r="AZ52" s="122" t="s">
        <v>1586</v>
      </c>
      <c r="BA52" s="122">
        <v>4</v>
      </c>
      <c r="BB52" s="126">
        <v>0.05</v>
      </c>
      <c r="BC52" s="126">
        <v>0.5</v>
      </c>
      <c r="BD52" s="129" t="b">
        <v>0</v>
      </c>
      <c r="BE52" s="122" t="s">
        <v>1873</v>
      </c>
      <c r="BF52" s="128" t="b">
        <v>1</v>
      </c>
      <c r="BG52" s="122" t="s">
        <v>1578</v>
      </c>
      <c r="BH52" s="133">
        <v>0.02</v>
      </c>
      <c r="BI52" s="156" t="s">
        <v>403</v>
      </c>
      <c r="BJ52" s="128" t="b">
        <v>1</v>
      </c>
      <c r="BK52" s="161">
        <v>1.5</v>
      </c>
      <c r="BL52" s="129" t="b">
        <v>0</v>
      </c>
      <c r="BM52" s="156" t="s">
        <v>412</v>
      </c>
      <c r="BN52" s="128" t="b">
        <v>1</v>
      </c>
      <c r="BO52" s="156" t="s">
        <v>1382</v>
      </c>
      <c r="BP52" s="157">
        <v>1</v>
      </c>
      <c r="BQ52" s="157">
        <v>0.5</v>
      </c>
      <c r="BR52" s="166" t="str">
        <f t="shared" si="72"/>
        <v>5/ 8/ 13/ 34</v>
      </c>
      <c r="BS52" s="166" t="str">
        <f t="shared" si="73"/>
        <v>8 / 13 / 11</v>
      </c>
      <c r="BT52" s="166" t="str">
        <f t="shared" si="74"/>
        <v>0.05 / 0.5</v>
      </c>
      <c r="BU52" s="66">
        <v>545</v>
      </c>
      <c r="BV52" s="66">
        <v>321</v>
      </c>
      <c r="BW52" s="66">
        <v>260</v>
      </c>
      <c r="BX52" s="99">
        <f t="shared" si="75"/>
        <v>61</v>
      </c>
      <c r="BY52" s="66">
        <v>72</v>
      </c>
      <c r="BZ52" s="92">
        <f t="shared" si="76"/>
        <v>152</v>
      </c>
      <c r="CA52" s="204">
        <f t="shared" si="87"/>
        <v>0.58899082568807337</v>
      </c>
      <c r="CB52" s="205">
        <f t="shared" si="88"/>
        <v>0.13211009174311927</v>
      </c>
      <c r="CC52" s="87">
        <v>4.32</v>
      </c>
      <c r="CD52" s="87">
        <v>25.77</v>
      </c>
      <c r="CE52" s="87">
        <v>0.39</v>
      </c>
      <c r="CF52" s="170">
        <f t="shared" si="77"/>
        <v>1.5</v>
      </c>
      <c r="CG52" s="87">
        <v>0.65</v>
      </c>
      <c r="CH52" s="87">
        <v>0.49</v>
      </c>
      <c r="CI52" s="93">
        <v>8904.7000000000007</v>
      </c>
      <c r="CJ52" s="87">
        <v>27.74</v>
      </c>
      <c r="CK52" s="87">
        <v>26.54</v>
      </c>
      <c r="CL52" s="87">
        <v>-5.48</v>
      </c>
      <c r="CM52" s="165">
        <v>1000</v>
      </c>
      <c r="CN52" s="93">
        <v>14042.83</v>
      </c>
      <c r="CO52" s="108">
        <f t="shared" si="78"/>
        <v>15042.83</v>
      </c>
      <c r="CP52" s="108">
        <f t="shared" si="79"/>
        <v>1404.2829999999999</v>
      </c>
      <c r="CR52" s="82">
        <f t="shared" si="80"/>
        <v>12</v>
      </c>
      <c r="CS52" s="80">
        <f t="shared" si="81"/>
        <v>742.05833333333339</v>
      </c>
      <c r="CT52" s="80">
        <f t="shared" si="82"/>
        <v>1170.2358333333334</v>
      </c>
      <c r="CU52" s="80">
        <f t="shared" si="83"/>
        <v>117.02358333333333</v>
      </c>
      <c r="CW52" s="80">
        <f t="shared" si="84"/>
        <v>8904.7000000000007</v>
      </c>
      <c r="CX52" s="80">
        <f t="shared" si="85"/>
        <v>14042.83</v>
      </c>
      <c r="CY52" s="80">
        <f t="shared" si="86"/>
        <v>1404.2829999999999</v>
      </c>
    </row>
    <row r="53" spans="1:103" outlineLevel="1" x14ac:dyDescent="0.2">
      <c r="A53" s="120"/>
      <c r="B53" s="72"/>
      <c r="C53" s="57" t="s">
        <v>1387</v>
      </c>
      <c r="D53" s="57" t="s">
        <v>1888</v>
      </c>
      <c r="E53" s="65" t="s">
        <v>1389</v>
      </c>
      <c r="F53" s="57" t="s">
        <v>1454</v>
      </c>
      <c r="G53" s="62" t="s">
        <v>1556</v>
      </c>
      <c r="H53" s="129" t="b">
        <v>0</v>
      </c>
      <c r="J53" s="123" t="s">
        <v>1866</v>
      </c>
      <c r="K53" s="123" t="s">
        <v>1866</v>
      </c>
      <c r="L53" s="123" t="s">
        <v>1866</v>
      </c>
      <c r="M53" s="137" t="b">
        <v>0</v>
      </c>
      <c r="Q53" s="128" t="b">
        <v>1</v>
      </c>
      <c r="R53" s="127" t="s">
        <v>1559</v>
      </c>
      <c r="S53" s="135" t="b">
        <v>1</v>
      </c>
      <c r="T53" s="126">
        <v>13</v>
      </c>
      <c r="U53" s="124">
        <v>1.4999999999999999E-2</v>
      </c>
      <c r="V53" s="126">
        <v>75</v>
      </c>
      <c r="W53" s="126">
        <v>-75</v>
      </c>
      <c r="X53" s="124">
        <v>50</v>
      </c>
      <c r="Y53" s="124">
        <v>5</v>
      </c>
      <c r="Z53" s="128" t="b">
        <v>1</v>
      </c>
      <c r="AA53" s="127" t="s">
        <v>1867</v>
      </c>
      <c r="AB53" s="133">
        <v>2</v>
      </c>
      <c r="AC53" s="137" t="b">
        <v>0</v>
      </c>
      <c r="AE53" s="137" t="b">
        <v>0</v>
      </c>
      <c r="AG53" s="135" t="b">
        <v>1</v>
      </c>
      <c r="AH53" s="125">
        <v>5</v>
      </c>
      <c r="AI53" s="125">
        <v>8</v>
      </c>
      <c r="AJ53" s="125">
        <v>13</v>
      </c>
      <c r="AK53" s="125">
        <v>34</v>
      </c>
      <c r="AL53" s="129" t="b">
        <v>0</v>
      </c>
      <c r="AM53" s="128" t="b">
        <v>1</v>
      </c>
      <c r="AN53" s="131" t="s">
        <v>1469</v>
      </c>
      <c r="AO53" s="141">
        <v>1.0000000000000001E-5</v>
      </c>
      <c r="AP53" s="128" t="b">
        <v>1</v>
      </c>
      <c r="AQ53" s="141">
        <v>1.0000000000000001E-5</v>
      </c>
      <c r="AR53" s="150">
        <v>8</v>
      </c>
      <c r="AS53" s="150">
        <v>17</v>
      </c>
      <c r="AT53" s="150">
        <v>9</v>
      </c>
      <c r="AU53" s="128" t="b">
        <v>1</v>
      </c>
      <c r="AV53" s="124">
        <v>3</v>
      </c>
      <c r="AW53" s="146">
        <v>5</v>
      </c>
      <c r="AX53" s="124">
        <v>1</v>
      </c>
      <c r="AY53" s="128" t="b">
        <v>1</v>
      </c>
      <c r="AZ53" s="122" t="s">
        <v>1586</v>
      </c>
      <c r="BA53" s="122">
        <v>4</v>
      </c>
      <c r="BB53" s="126">
        <v>0.05</v>
      </c>
      <c r="BC53" s="126">
        <v>0.5</v>
      </c>
      <c r="BD53" s="129" t="b">
        <v>0</v>
      </c>
      <c r="BE53" s="122" t="s">
        <v>1873</v>
      </c>
      <c r="BF53" s="128" t="b">
        <v>1</v>
      </c>
      <c r="BG53" s="122" t="s">
        <v>1578</v>
      </c>
      <c r="BH53" s="133">
        <v>0.02</v>
      </c>
      <c r="BI53" s="156" t="s">
        <v>403</v>
      </c>
      <c r="BJ53" s="128" t="b">
        <v>1</v>
      </c>
      <c r="BK53" s="161">
        <v>1.5</v>
      </c>
      <c r="BL53" s="129" t="b">
        <v>0</v>
      </c>
      <c r="BM53" s="156" t="s">
        <v>412</v>
      </c>
      <c r="BN53" s="128" t="b">
        <v>1</v>
      </c>
      <c r="BO53" s="156" t="s">
        <v>1382</v>
      </c>
      <c r="BP53" s="157">
        <v>1</v>
      </c>
      <c r="BQ53" s="157">
        <v>0.5</v>
      </c>
      <c r="BR53" s="166" t="str">
        <f t="shared" si="72"/>
        <v>5/ 8/ 13/ 34</v>
      </c>
      <c r="BS53" s="166" t="str">
        <f t="shared" si="73"/>
        <v>8 / 17 / 9</v>
      </c>
      <c r="BT53" s="166" t="str">
        <f t="shared" si="74"/>
        <v>0.05 / 0.5</v>
      </c>
      <c r="BU53" s="66">
        <v>545</v>
      </c>
      <c r="BV53" s="66">
        <v>323</v>
      </c>
      <c r="BW53" s="66">
        <v>263</v>
      </c>
      <c r="BX53" s="99">
        <f t="shared" si="75"/>
        <v>60</v>
      </c>
      <c r="BY53" s="66">
        <v>71</v>
      </c>
      <c r="BZ53" s="92">
        <f t="shared" si="76"/>
        <v>151</v>
      </c>
      <c r="CA53" s="204">
        <f t="shared" si="87"/>
        <v>0.59266055045871557</v>
      </c>
      <c r="CB53" s="205">
        <f t="shared" si="88"/>
        <v>0.13027522935779817</v>
      </c>
      <c r="CC53" s="87">
        <v>4.45</v>
      </c>
      <c r="CD53" s="87">
        <v>26.11</v>
      </c>
      <c r="CE53" s="87">
        <v>0.39</v>
      </c>
      <c r="CF53" s="170">
        <f t="shared" si="77"/>
        <v>1.5</v>
      </c>
      <c r="CG53" s="87">
        <v>0.65</v>
      </c>
      <c r="CH53" s="87">
        <v>0.49</v>
      </c>
      <c r="CI53" s="93">
        <v>8885.9</v>
      </c>
      <c r="CJ53" s="87">
        <v>27.51</v>
      </c>
      <c r="CK53" s="87">
        <v>26.37</v>
      </c>
      <c r="CL53" s="87">
        <v>-5.48</v>
      </c>
      <c r="CM53" s="165">
        <v>1000</v>
      </c>
      <c r="CN53" s="93">
        <v>14227.13</v>
      </c>
      <c r="CO53" s="108">
        <f t="shared" si="78"/>
        <v>15227.13</v>
      </c>
      <c r="CP53" s="108">
        <f t="shared" si="79"/>
        <v>1422.713</v>
      </c>
      <c r="CR53" s="82">
        <f t="shared" si="80"/>
        <v>12</v>
      </c>
      <c r="CS53" s="80">
        <f t="shared" si="81"/>
        <v>740.49166666666667</v>
      </c>
      <c r="CT53" s="80">
        <f t="shared" si="82"/>
        <v>1185.5941666666665</v>
      </c>
      <c r="CU53" s="80">
        <f t="shared" si="83"/>
        <v>118.55941666666665</v>
      </c>
      <c r="CW53" s="80">
        <f t="shared" si="84"/>
        <v>8885.9</v>
      </c>
      <c r="CX53" s="80">
        <f t="shared" si="85"/>
        <v>14227.13</v>
      </c>
      <c r="CY53" s="80">
        <f t="shared" si="86"/>
        <v>1422.713</v>
      </c>
    </row>
    <row r="54" spans="1:103" outlineLevel="1" x14ac:dyDescent="0.2">
      <c r="A54" s="120"/>
      <c r="B54" s="72"/>
      <c r="C54" s="57" t="s">
        <v>1387</v>
      </c>
      <c r="D54" s="57" t="s">
        <v>1888</v>
      </c>
      <c r="E54" s="65" t="s">
        <v>1389</v>
      </c>
      <c r="F54" s="57" t="s">
        <v>1454</v>
      </c>
      <c r="G54" s="62" t="s">
        <v>1556</v>
      </c>
      <c r="H54" s="129" t="b">
        <v>0</v>
      </c>
      <c r="J54" s="123" t="s">
        <v>1866</v>
      </c>
      <c r="K54" s="123" t="s">
        <v>1866</v>
      </c>
      <c r="L54" s="123" t="s">
        <v>1866</v>
      </c>
      <c r="M54" s="137" t="b">
        <v>0</v>
      </c>
      <c r="Q54" s="128" t="b">
        <v>1</v>
      </c>
      <c r="R54" s="127" t="s">
        <v>1559</v>
      </c>
      <c r="S54" s="135" t="b">
        <v>1</v>
      </c>
      <c r="T54" s="126">
        <v>13</v>
      </c>
      <c r="U54" s="124">
        <v>1.4999999999999999E-2</v>
      </c>
      <c r="V54" s="126">
        <v>75</v>
      </c>
      <c r="W54" s="126">
        <v>-75</v>
      </c>
      <c r="X54" s="124">
        <v>50</v>
      </c>
      <c r="Y54" s="124">
        <v>5</v>
      </c>
      <c r="Z54" s="128" t="b">
        <v>1</v>
      </c>
      <c r="AA54" s="127" t="s">
        <v>1867</v>
      </c>
      <c r="AB54" s="133">
        <v>2</v>
      </c>
      <c r="AC54" s="137" t="b">
        <v>0</v>
      </c>
      <c r="AE54" s="137" t="b">
        <v>0</v>
      </c>
      <c r="AG54" s="135" t="b">
        <v>1</v>
      </c>
      <c r="AH54" s="125">
        <v>5</v>
      </c>
      <c r="AI54" s="125">
        <v>8</v>
      </c>
      <c r="AJ54" s="125">
        <v>13</v>
      </c>
      <c r="AK54" s="125">
        <v>34</v>
      </c>
      <c r="AL54" s="129" t="b">
        <v>0</v>
      </c>
      <c r="AM54" s="128" t="b">
        <v>1</v>
      </c>
      <c r="AN54" s="131" t="s">
        <v>1469</v>
      </c>
      <c r="AO54" s="141">
        <v>1.0000000000000001E-5</v>
      </c>
      <c r="AP54" s="128" t="b">
        <v>1</v>
      </c>
      <c r="AQ54" s="141">
        <v>1.0000000000000001E-5</v>
      </c>
      <c r="AR54" s="152">
        <v>12</v>
      </c>
      <c r="AS54" s="152">
        <v>26</v>
      </c>
      <c r="AT54" s="152">
        <v>9</v>
      </c>
      <c r="AU54" s="128" t="b">
        <v>1</v>
      </c>
      <c r="AV54" s="124">
        <v>3</v>
      </c>
      <c r="AW54" s="146">
        <v>5</v>
      </c>
      <c r="AX54" s="124">
        <v>1</v>
      </c>
      <c r="AY54" s="128" t="b">
        <v>1</v>
      </c>
      <c r="AZ54" s="122" t="s">
        <v>1586</v>
      </c>
      <c r="BA54" s="122">
        <v>4</v>
      </c>
      <c r="BB54" s="126">
        <v>0.05</v>
      </c>
      <c r="BC54" s="126">
        <v>0.5</v>
      </c>
      <c r="BD54" s="129" t="b">
        <v>0</v>
      </c>
      <c r="BE54" s="122" t="s">
        <v>1873</v>
      </c>
      <c r="BF54" s="128" t="b">
        <v>1</v>
      </c>
      <c r="BG54" s="122" t="s">
        <v>1578</v>
      </c>
      <c r="BH54" s="133">
        <v>0.02</v>
      </c>
      <c r="BI54" s="156" t="s">
        <v>403</v>
      </c>
      <c r="BJ54" s="128" t="b">
        <v>1</v>
      </c>
      <c r="BK54" s="161">
        <v>1.5</v>
      </c>
      <c r="BL54" s="129" t="b">
        <v>0</v>
      </c>
      <c r="BM54" s="156" t="s">
        <v>412</v>
      </c>
      <c r="BN54" s="128" t="b">
        <v>1</v>
      </c>
      <c r="BO54" s="156" t="s">
        <v>1382</v>
      </c>
      <c r="BP54" s="157">
        <v>1</v>
      </c>
      <c r="BQ54" s="157">
        <v>0.5</v>
      </c>
      <c r="BR54" s="166" t="str">
        <f t="shared" si="72"/>
        <v>5/ 8/ 13/ 34</v>
      </c>
      <c r="BS54" s="166" t="str">
        <f t="shared" si="73"/>
        <v>12 / 26 / 9</v>
      </c>
      <c r="BT54" s="166" t="str">
        <f t="shared" si="74"/>
        <v>0.05 / 0.5</v>
      </c>
      <c r="BU54" s="66">
        <v>557</v>
      </c>
      <c r="BV54" s="66">
        <v>322</v>
      </c>
      <c r="BW54" s="66">
        <v>258</v>
      </c>
      <c r="BX54" s="99">
        <f t="shared" si="75"/>
        <v>64</v>
      </c>
      <c r="BY54" s="66">
        <v>75</v>
      </c>
      <c r="BZ54" s="92">
        <f t="shared" si="76"/>
        <v>160</v>
      </c>
      <c r="CA54" s="204">
        <f t="shared" si="87"/>
        <v>0.57809694793536803</v>
      </c>
      <c r="CB54" s="205">
        <f t="shared" si="88"/>
        <v>0.13464991023339318</v>
      </c>
      <c r="CC54" s="87">
        <v>4.13</v>
      </c>
      <c r="CD54" s="87">
        <v>26.52</v>
      </c>
      <c r="CE54" s="87">
        <v>0.38</v>
      </c>
      <c r="CF54" s="170">
        <f t="shared" si="77"/>
        <v>1.5</v>
      </c>
      <c r="CG54" s="87">
        <v>0.67</v>
      </c>
      <c r="CH54" s="87">
        <v>0.49</v>
      </c>
      <c r="CI54" s="93">
        <v>8817.6</v>
      </c>
      <c r="CJ54" s="87">
        <v>27.38</v>
      </c>
      <c r="CK54" s="87">
        <v>25.94</v>
      </c>
      <c r="CL54" s="87">
        <v>-5.48</v>
      </c>
      <c r="CM54" s="165">
        <v>1000</v>
      </c>
      <c r="CN54" s="206">
        <v>14772.06</v>
      </c>
      <c r="CO54" s="207">
        <f t="shared" si="78"/>
        <v>15772.06</v>
      </c>
      <c r="CP54" s="207">
        <f t="shared" si="79"/>
        <v>1477.2059999999999</v>
      </c>
      <c r="CR54" s="82">
        <f t="shared" si="80"/>
        <v>12</v>
      </c>
      <c r="CS54" s="80">
        <f t="shared" si="81"/>
        <v>734.80000000000007</v>
      </c>
      <c r="CT54" s="80">
        <f t="shared" si="82"/>
        <v>1231.0049999999999</v>
      </c>
      <c r="CU54" s="80">
        <f t="shared" si="83"/>
        <v>123.10049999999998</v>
      </c>
      <c r="CW54" s="80">
        <f t="shared" si="84"/>
        <v>8817.6</v>
      </c>
      <c r="CX54" s="80">
        <f t="shared" si="85"/>
        <v>14772.06</v>
      </c>
      <c r="CY54" s="80">
        <f t="shared" si="86"/>
        <v>1477.2059999999999</v>
      </c>
    </row>
    <row r="55" spans="1:103" outlineLevel="1" x14ac:dyDescent="0.2">
      <c r="A55" s="120"/>
      <c r="B55" s="72"/>
      <c r="C55" s="57" t="s">
        <v>1387</v>
      </c>
      <c r="D55" s="57" t="s">
        <v>1888</v>
      </c>
      <c r="E55" s="65" t="s">
        <v>1389</v>
      </c>
      <c r="F55" s="57" t="s">
        <v>1454</v>
      </c>
      <c r="G55" s="62" t="s">
        <v>1556</v>
      </c>
      <c r="H55" s="129" t="b">
        <v>0</v>
      </c>
      <c r="J55" s="123" t="s">
        <v>1866</v>
      </c>
      <c r="K55" s="123" t="s">
        <v>1866</v>
      </c>
      <c r="L55" s="123" t="s">
        <v>1866</v>
      </c>
      <c r="M55" s="137" t="b">
        <v>0</v>
      </c>
      <c r="Q55" s="128" t="b">
        <v>1</v>
      </c>
      <c r="R55" s="127" t="s">
        <v>1559</v>
      </c>
      <c r="S55" s="135" t="b">
        <v>1</v>
      </c>
      <c r="T55" s="126">
        <v>13</v>
      </c>
      <c r="U55" s="124">
        <v>1.4999999999999999E-2</v>
      </c>
      <c r="V55" s="126">
        <v>75</v>
      </c>
      <c r="W55" s="126">
        <v>-75</v>
      </c>
      <c r="X55" s="124">
        <v>50</v>
      </c>
      <c r="Y55" s="124">
        <v>5</v>
      </c>
      <c r="Z55" s="128" t="b">
        <v>1</v>
      </c>
      <c r="AA55" s="127" t="s">
        <v>1867</v>
      </c>
      <c r="AB55" s="133">
        <v>2</v>
      </c>
      <c r="AC55" s="137" t="b">
        <v>0</v>
      </c>
      <c r="AE55" s="137" t="b">
        <v>0</v>
      </c>
      <c r="AG55" s="135" t="b">
        <v>1</v>
      </c>
      <c r="AH55" s="125">
        <v>5</v>
      </c>
      <c r="AI55" s="125">
        <v>8</v>
      </c>
      <c r="AJ55" s="125">
        <v>13</v>
      </c>
      <c r="AK55" s="125">
        <v>34</v>
      </c>
      <c r="AL55" s="129" t="b">
        <v>0</v>
      </c>
      <c r="AM55" s="128" t="b">
        <v>1</v>
      </c>
      <c r="AN55" s="131" t="s">
        <v>1469</v>
      </c>
      <c r="AO55" s="141">
        <v>1.0000000000000001E-5</v>
      </c>
      <c r="AP55" s="128" t="b">
        <v>1</v>
      </c>
      <c r="AQ55" s="141">
        <v>1.0000000000000001E-5</v>
      </c>
      <c r="AR55" s="137">
        <v>21</v>
      </c>
      <c r="AS55" s="137">
        <v>34</v>
      </c>
      <c r="AT55" s="137">
        <v>9</v>
      </c>
      <c r="AU55" s="128" t="b">
        <v>1</v>
      </c>
      <c r="AV55" s="124">
        <v>3</v>
      </c>
      <c r="AW55" s="146">
        <v>5</v>
      </c>
      <c r="AX55" s="124">
        <v>1</v>
      </c>
      <c r="AY55" s="128" t="b">
        <v>1</v>
      </c>
      <c r="AZ55" s="122" t="s">
        <v>1586</v>
      </c>
      <c r="BA55" s="122">
        <v>4</v>
      </c>
      <c r="BB55" s="126">
        <v>0.05</v>
      </c>
      <c r="BC55" s="126">
        <v>0.5</v>
      </c>
      <c r="BD55" s="129" t="b">
        <v>0</v>
      </c>
      <c r="BE55" s="122" t="s">
        <v>1873</v>
      </c>
      <c r="BF55" s="128" t="b">
        <v>1</v>
      </c>
      <c r="BG55" s="122" t="s">
        <v>1578</v>
      </c>
      <c r="BH55" s="133">
        <v>0.02</v>
      </c>
      <c r="BI55" s="156" t="s">
        <v>403</v>
      </c>
      <c r="BJ55" s="128" t="b">
        <v>1</v>
      </c>
      <c r="BK55" s="161">
        <v>1.5</v>
      </c>
      <c r="BL55" s="129" t="b">
        <v>0</v>
      </c>
      <c r="BM55" s="156" t="s">
        <v>412</v>
      </c>
      <c r="BN55" s="128" t="b">
        <v>1</v>
      </c>
      <c r="BO55" s="156" t="s">
        <v>1382</v>
      </c>
      <c r="BP55" s="157">
        <v>1</v>
      </c>
      <c r="BQ55" s="157">
        <v>0.5</v>
      </c>
      <c r="BR55" s="166" t="str">
        <f t="shared" si="72"/>
        <v>5/ 8/ 13/ 34</v>
      </c>
      <c r="BS55" s="166" t="str">
        <f t="shared" si="73"/>
        <v>21 / 34 / 9</v>
      </c>
      <c r="BT55" s="166" t="str">
        <f t="shared" si="74"/>
        <v>0.05 / 0.5</v>
      </c>
      <c r="BU55" s="66">
        <v>555</v>
      </c>
      <c r="BV55" s="66">
        <v>312</v>
      </c>
      <c r="BW55" s="66">
        <v>250</v>
      </c>
      <c r="BX55" s="99">
        <f t="shared" si="75"/>
        <v>62</v>
      </c>
      <c r="BY55" s="66">
        <v>77</v>
      </c>
      <c r="BZ55" s="92">
        <f t="shared" si="76"/>
        <v>166</v>
      </c>
      <c r="CA55" s="204">
        <f t="shared" si="87"/>
        <v>0.56216216216216219</v>
      </c>
      <c r="CB55" s="205">
        <f t="shared" si="88"/>
        <v>0.13873873873873874</v>
      </c>
      <c r="CC55" s="87">
        <v>3.78</v>
      </c>
      <c r="CD55" s="87">
        <v>24.83</v>
      </c>
      <c r="CE55" s="87">
        <v>0.36</v>
      </c>
      <c r="CF55" s="170">
        <f t="shared" si="77"/>
        <v>1.5</v>
      </c>
      <c r="CG55" s="87">
        <v>0.67</v>
      </c>
      <c r="CH55" s="87">
        <v>0.5</v>
      </c>
      <c r="CI55" s="93">
        <v>8602.2000000000007</v>
      </c>
      <c r="CJ55" s="87">
        <v>27.57</v>
      </c>
      <c r="CK55" s="87">
        <v>26.46</v>
      </c>
      <c r="CL55" s="87">
        <v>-5.48</v>
      </c>
      <c r="CM55" s="165">
        <v>1000</v>
      </c>
      <c r="CN55" s="93">
        <v>13781.44</v>
      </c>
      <c r="CO55" s="108">
        <f t="shared" si="78"/>
        <v>14781.44</v>
      </c>
      <c r="CP55" s="108">
        <f t="shared" si="79"/>
        <v>1378.144</v>
      </c>
      <c r="CR55" s="82">
        <f t="shared" si="80"/>
        <v>12</v>
      </c>
      <c r="CS55" s="80">
        <f t="shared" si="81"/>
        <v>716.85</v>
      </c>
      <c r="CT55" s="80">
        <f t="shared" si="82"/>
        <v>1148.4533333333334</v>
      </c>
      <c r="CU55" s="80">
        <f t="shared" si="83"/>
        <v>114.84533333333334</v>
      </c>
      <c r="CW55" s="80">
        <f t="shared" si="84"/>
        <v>8602.2000000000007</v>
      </c>
      <c r="CX55" s="80">
        <f t="shared" si="85"/>
        <v>13781.44</v>
      </c>
      <c r="CY55" s="80">
        <f t="shared" si="86"/>
        <v>1378.144</v>
      </c>
    </row>
    <row r="56" spans="1:103" outlineLevel="1" x14ac:dyDescent="0.2">
      <c r="B56" s="45"/>
    </row>
    <row r="57" spans="1:103" x14ac:dyDescent="0.2">
      <c r="A57" s="120"/>
      <c r="B57" s="72" t="s">
        <v>1899</v>
      </c>
      <c r="C57" s="57" t="s">
        <v>1387</v>
      </c>
      <c r="D57" s="57" t="s">
        <v>1888</v>
      </c>
      <c r="E57" s="65" t="s">
        <v>1389</v>
      </c>
      <c r="F57" s="57" t="s">
        <v>1454</v>
      </c>
      <c r="G57" s="62" t="s">
        <v>1556</v>
      </c>
      <c r="H57" s="129" t="b">
        <v>0</v>
      </c>
      <c r="J57" s="123" t="s">
        <v>1866</v>
      </c>
      <c r="K57" s="123" t="s">
        <v>1866</v>
      </c>
      <c r="L57" s="123" t="s">
        <v>1866</v>
      </c>
      <c r="M57" s="137" t="b">
        <v>0</v>
      </c>
      <c r="Q57" s="128" t="b">
        <v>1</v>
      </c>
      <c r="R57" s="127" t="s">
        <v>1559</v>
      </c>
      <c r="S57" s="135" t="b">
        <v>1</v>
      </c>
      <c r="T57" s="126">
        <v>13</v>
      </c>
      <c r="U57" s="124">
        <v>1.4999999999999999E-2</v>
      </c>
      <c r="V57" s="126">
        <v>75</v>
      </c>
      <c r="W57" s="126">
        <v>-75</v>
      </c>
      <c r="X57" s="124">
        <v>50</v>
      </c>
      <c r="Y57" s="124">
        <v>5</v>
      </c>
      <c r="Z57" s="128" t="b">
        <v>1</v>
      </c>
      <c r="AA57" s="127" t="s">
        <v>1867</v>
      </c>
      <c r="AB57" s="133">
        <v>2</v>
      </c>
      <c r="AC57" s="137" t="b">
        <v>0</v>
      </c>
      <c r="AE57" s="137" t="b">
        <v>0</v>
      </c>
      <c r="AG57" s="135" t="b">
        <v>1</v>
      </c>
      <c r="AH57" s="125">
        <v>8</v>
      </c>
      <c r="AI57" s="125">
        <v>13</v>
      </c>
      <c r="AJ57" s="125">
        <v>21</v>
      </c>
      <c r="AK57" s="125">
        <v>34</v>
      </c>
      <c r="AL57" s="129" t="b">
        <v>0</v>
      </c>
      <c r="AM57" s="128" t="b">
        <v>1</v>
      </c>
      <c r="AN57" s="131" t="s">
        <v>1469</v>
      </c>
      <c r="AO57" s="141">
        <v>1.0000000000000001E-5</v>
      </c>
      <c r="AP57" s="128" t="b">
        <v>1</v>
      </c>
      <c r="AQ57" s="141">
        <v>1.0000000000000001E-5</v>
      </c>
      <c r="AR57" s="126">
        <v>5</v>
      </c>
      <c r="AS57" s="126">
        <v>8</v>
      </c>
      <c r="AT57" s="126">
        <v>5</v>
      </c>
      <c r="AU57" s="128" t="b">
        <v>1</v>
      </c>
      <c r="AV57" s="124">
        <v>3</v>
      </c>
      <c r="AW57" s="146">
        <v>5</v>
      </c>
      <c r="AX57" s="124">
        <v>1</v>
      </c>
      <c r="AY57" s="128" t="b">
        <v>1</v>
      </c>
      <c r="AZ57" s="122" t="s">
        <v>1586</v>
      </c>
      <c r="BA57" s="122">
        <v>4</v>
      </c>
      <c r="BB57" s="126">
        <v>0.05</v>
      </c>
      <c r="BC57" s="126">
        <v>0.5</v>
      </c>
      <c r="BD57" s="129" t="b">
        <v>0</v>
      </c>
      <c r="BE57" s="122" t="s">
        <v>1873</v>
      </c>
      <c r="BF57" s="128" t="b">
        <v>1</v>
      </c>
      <c r="BG57" s="122" t="s">
        <v>1578</v>
      </c>
      <c r="BH57" s="133">
        <v>0.02</v>
      </c>
      <c r="BI57" s="156" t="s">
        <v>403</v>
      </c>
      <c r="BJ57" s="128" t="b">
        <v>1</v>
      </c>
      <c r="BK57" s="161">
        <v>1.5</v>
      </c>
      <c r="BL57" s="129" t="b">
        <v>0</v>
      </c>
      <c r="BM57" s="156" t="s">
        <v>412</v>
      </c>
      <c r="BN57" s="128" t="b">
        <v>1</v>
      </c>
      <c r="BO57" s="156" t="s">
        <v>1382</v>
      </c>
      <c r="BP57" s="157">
        <v>1</v>
      </c>
      <c r="BQ57" s="157">
        <v>0.5</v>
      </c>
      <c r="BR57" s="166" t="str">
        <f t="shared" ref="BR57:BR64" si="89">AH57&amp;"/ "&amp;AI57&amp;"/ "&amp;AJ57&amp;"/ "&amp;AK57</f>
        <v>8/ 13/ 21/ 34</v>
      </c>
      <c r="BS57" s="166" t="str">
        <f t="shared" ref="BS57:BS64" si="90">AR57&amp;" / "&amp;AS57&amp;" / "&amp;AT57</f>
        <v>5 / 8 / 5</v>
      </c>
      <c r="BT57" s="166" t="str">
        <f t="shared" ref="BT57:BT64" si="91">BB57&amp;" / "&amp;BC57</f>
        <v>0.05 / 0.5</v>
      </c>
      <c r="BU57" s="66">
        <v>493</v>
      </c>
      <c r="BV57" s="66">
        <v>290</v>
      </c>
      <c r="BW57" s="66">
        <v>232</v>
      </c>
      <c r="BX57" s="99">
        <f t="shared" ref="BX57:BX64" si="92">BV57-BW57</f>
        <v>58</v>
      </c>
      <c r="BY57" s="66">
        <v>54</v>
      </c>
      <c r="BZ57" s="92">
        <f t="shared" ref="BZ57:BZ64" si="93">BU57-SUM(BW57:BY57)</f>
        <v>149</v>
      </c>
      <c r="CA57" s="204">
        <f t="shared" ref="CA57" si="94">IF(BU57=0,0,BV57/BU57)</f>
        <v>0.58823529411764708</v>
      </c>
      <c r="CB57" s="205">
        <f t="shared" ref="CB57" si="95">IF(BU57=0,0,BY57/BU57)</f>
        <v>0.10953346855983773</v>
      </c>
      <c r="CC57" s="87">
        <v>4.9000000000000004</v>
      </c>
      <c r="CD57" s="87">
        <v>26.75</v>
      </c>
      <c r="CE57" s="87">
        <v>0.4</v>
      </c>
      <c r="CF57" s="170">
        <f t="shared" ref="CF57:CF64" si="96">BK57</f>
        <v>1.5</v>
      </c>
      <c r="CG57" s="87">
        <v>0.66</v>
      </c>
      <c r="CH57" s="87">
        <v>0.48</v>
      </c>
      <c r="CI57" s="93">
        <v>8223.7000000000007</v>
      </c>
      <c r="CJ57" s="87">
        <v>28.36</v>
      </c>
      <c r="CK57" s="87">
        <v>27.26</v>
      </c>
      <c r="CL57" s="87">
        <v>-4.0199999999999996</v>
      </c>
      <c r="CM57" s="165">
        <v>1000</v>
      </c>
      <c r="CN57" s="206">
        <v>13188.68</v>
      </c>
      <c r="CO57" s="207">
        <f t="shared" ref="CO57:CO64" si="97">CM57+CN57</f>
        <v>14188.68</v>
      </c>
      <c r="CP57" s="207">
        <f t="shared" ref="CP57:CP64" si="98">CN57/10</f>
        <v>1318.8679999999999</v>
      </c>
      <c r="CR57" s="82">
        <f t="shared" ref="CR57:CR64" si="99">CR$4</f>
        <v>12</v>
      </c>
      <c r="CS57" s="80">
        <f t="shared" ref="CS57:CS64" si="100">CI57/CR57</f>
        <v>685.30833333333339</v>
      </c>
      <c r="CT57" s="80">
        <f t="shared" ref="CT57:CT64" si="101">CN57/CR57</f>
        <v>1099.0566666666666</v>
      </c>
      <c r="CU57" s="80">
        <f t="shared" ref="CU57:CU64" si="102">CT57/10</f>
        <v>109.90566666666666</v>
      </c>
      <c r="CW57" s="80">
        <f t="shared" ref="CW57:CW64" si="103">CI57</f>
        <v>8223.7000000000007</v>
      </c>
      <c r="CX57" s="80">
        <f t="shared" ref="CX57:CX64" si="104">CN57</f>
        <v>13188.68</v>
      </c>
      <c r="CY57" s="80">
        <f t="shared" ref="CY57:CY64" si="105">CP57</f>
        <v>1318.8679999999999</v>
      </c>
    </row>
    <row r="58" spans="1:103" outlineLevel="1" x14ac:dyDescent="0.2">
      <c r="A58" s="120"/>
      <c r="B58" s="72"/>
      <c r="C58" s="57" t="s">
        <v>1387</v>
      </c>
      <c r="D58" s="57" t="s">
        <v>1888</v>
      </c>
      <c r="E58" s="65" t="s">
        <v>1389</v>
      </c>
      <c r="F58" s="57" t="s">
        <v>1454</v>
      </c>
      <c r="G58" s="62" t="s">
        <v>1556</v>
      </c>
      <c r="H58" s="129" t="b">
        <v>0</v>
      </c>
      <c r="J58" s="123" t="s">
        <v>1866</v>
      </c>
      <c r="K58" s="123" t="s">
        <v>1866</v>
      </c>
      <c r="L58" s="123" t="s">
        <v>1866</v>
      </c>
      <c r="M58" s="137" t="b">
        <v>0</v>
      </c>
      <c r="Q58" s="128" t="b">
        <v>1</v>
      </c>
      <c r="R58" s="127" t="s">
        <v>1559</v>
      </c>
      <c r="S58" s="135" t="b">
        <v>1</v>
      </c>
      <c r="T58" s="126">
        <v>13</v>
      </c>
      <c r="U58" s="124">
        <v>1.4999999999999999E-2</v>
      </c>
      <c r="V58" s="126">
        <v>75</v>
      </c>
      <c r="W58" s="126">
        <v>-75</v>
      </c>
      <c r="X58" s="124">
        <v>50</v>
      </c>
      <c r="Y58" s="124">
        <v>5</v>
      </c>
      <c r="Z58" s="128" t="b">
        <v>1</v>
      </c>
      <c r="AA58" s="127" t="s">
        <v>1867</v>
      </c>
      <c r="AB58" s="133">
        <v>2</v>
      </c>
      <c r="AC58" s="137" t="b">
        <v>0</v>
      </c>
      <c r="AE58" s="137" t="b">
        <v>0</v>
      </c>
      <c r="AG58" s="135" t="b">
        <v>1</v>
      </c>
      <c r="AH58" s="125">
        <v>8</v>
      </c>
      <c r="AI58" s="125">
        <v>13</v>
      </c>
      <c r="AJ58" s="125">
        <v>21</v>
      </c>
      <c r="AK58" s="125">
        <v>34</v>
      </c>
      <c r="AL58" s="129" t="b">
        <v>0</v>
      </c>
      <c r="AM58" s="128" t="b">
        <v>1</v>
      </c>
      <c r="AN58" s="131" t="s">
        <v>1469</v>
      </c>
      <c r="AO58" s="141">
        <v>1.0000000000000001E-5</v>
      </c>
      <c r="AP58" s="128" t="b">
        <v>1</v>
      </c>
      <c r="AQ58" s="141">
        <v>1.0000000000000001E-5</v>
      </c>
      <c r="AR58" s="137">
        <v>5</v>
      </c>
      <c r="AS58" s="137">
        <v>13</v>
      </c>
      <c r="AT58" s="137">
        <v>5</v>
      </c>
      <c r="AU58" s="128" t="b">
        <v>1</v>
      </c>
      <c r="AV58" s="124">
        <v>3</v>
      </c>
      <c r="AW58" s="146">
        <v>5</v>
      </c>
      <c r="AX58" s="124">
        <v>1</v>
      </c>
      <c r="AY58" s="128" t="b">
        <v>1</v>
      </c>
      <c r="AZ58" s="122" t="s">
        <v>1586</v>
      </c>
      <c r="BA58" s="122">
        <v>4</v>
      </c>
      <c r="BB58" s="126">
        <v>0.05</v>
      </c>
      <c r="BC58" s="126">
        <v>0.5</v>
      </c>
      <c r="BD58" s="129" t="b">
        <v>0</v>
      </c>
      <c r="BE58" s="122" t="s">
        <v>1873</v>
      </c>
      <c r="BF58" s="128" t="b">
        <v>1</v>
      </c>
      <c r="BG58" s="122" t="s">
        <v>1578</v>
      </c>
      <c r="BH58" s="133">
        <v>0.02</v>
      </c>
      <c r="BI58" s="156" t="s">
        <v>403</v>
      </c>
      <c r="BJ58" s="128" t="b">
        <v>1</v>
      </c>
      <c r="BK58" s="161">
        <v>1.5</v>
      </c>
      <c r="BL58" s="129" t="b">
        <v>0</v>
      </c>
      <c r="BM58" s="156" t="s">
        <v>412</v>
      </c>
      <c r="BN58" s="128" t="b">
        <v>1</v>
      </c>
      <c r="BO58" s="156" t="s">
        <v>1382</v>
      </c>
      <c r="BP58" s="157">
        <v>1</v>
      </c>
      <c r="BQ58" s="157">
        <v>0.5</v>
      </c>
      <c r="BR58" s="166" t="str">
        <f t="shared" si="89"/>
        <v>8/ 13/ 21/ 34</v>
      </c>
      <c r="BS58" s="166" t="str">
        <f t="shared" si="90"/>
        <v>5 / 13 / 5</v>
      </c>
      <c r="BT58" s="166" t="str">
        <f t="shared" si="91"/>
        <v>0.05 / 0.5</v>
      </c>
      <c r="BU58" s="66">
        <v>508</v>
      </c>
      <c r="BV58" s="66">
        <v>294</v>
      </c>
      <c r="BW58" s="66">
        <v>236</v>
      </c>
      <c r="BX58" s="99">
        <f t="shared" si="92"/>
        <v>58</v>
      </c>
      <c r="BY58" s="66">
        <v>64</v>
      </c>
      <c r="BZ58" s="92">
        <f t="shared" si="93"/>
        <v>150</v>
      </c>
      <c r="CA58" s="204">
        <f>IF(BU58=0,0,BV58/BU58)</f>
        <v>0.57874015748031493</v>
      </c>
      <c r="CB58" s="205">
        <f t="shared" ref="CB58:CB64" si="106">IF(BU58=0,0,BY58/BU58)</f>
        <v>0.12598425196850394</v>
      </c>
      <c r="CC58" s="87">
        <v>4.03</v>
      </c>
      <c r="CD58" s="87">
        <v>24.48</v>
      </c>
      <c r="CE58" s="87">
        <v>0.37</v>
      </c>
      <c r="CF58" s="170">
        <f t="shared" si="96"/>
        <v>1.5</v>
      </c>
      <c r="CG58" s="87">
        <v>0.66</v>
      </c>
      <c r="CH58" s="87">
        <v>0.48</v>
      </c>
      <c r="CI58" s="93">
        <v>8360.7999999999993</v>
      </c>
      <c r="CJ58" s="87">
        <v>28.44</v>
      </c>
      <c r="CK58" s="87">
        <v>27.02</v>
      </c>
      <c r="CL58" s="87">
        <v>-4.78</v>
      </c>
      <c r="CM58" s="165">
        <v>1000</v>
      </c>
      <c r="CN58" s="93">
        <v>12435.36</v>
      </c>
      <c r="CO58" s="108">
        <f t="shared" si="97"/>
        <v>13435.36</v>
      </c>
      <c r="CP58" s="108">
        <f t="shared" si="98"/>
        <v>1243.5360000000001</v>
      </c>
      <c r="CR58" s="82">
        <f t="shared" si="99"/>
        <v>12</v>
      </c>
      <c r="CS58" s="80">
        <f t="shared" si="100"/>
        <v>696.73333333333323</v>
      </c>
      <c r="CT58" s="80">
        <f t="shared" si="101"/>
        <v>1036.28</v>
      </c>
      <c r="CU58" s="80">
        <f t="shared" si="102"/>
        <v>103.628</v>
      </c>
      <c r="CW58" s="80">
        <f t="shared" si="103"/>
        <v>8360.7999999999993</v>
      </c>
      <c r="CX58" s="80">
        <f t="shared" si="104"/>
        <v>12435.36</v>
      </c>
      <c r="CY58" s="80">
        <f t="shared" si="105"/>
        <v>1243.5360000000001</v>
      </c>
    </row>
    <row r="59" spans="1:103" outlineLevel="1" x14ac:dyDescent="0.2">
      <c r="A59" s="120"/>
      <c r="B59" s="72"/>
      <c r="C59" s="57" t="s">
        <v>1387</v>
      </c>
      <c r="D59" s="57" t="s">
        <v>1888</v>
      </c>
      <c r="E59" s="65" t="s">
        <v>1389</v>
      </c>
      <c r="F59" s="57" t="s">
        <v>1454</v>
      </c>
      <c r="G59" s="62" t="s">
        <v>1556</v>
      </c>
      <c r="H59" s="129" t="b">
        <v>0</v>
      </c>
      <c r="J59" s="123" t="s">
        <v>1866</v>
      </c>
      <c r="K59" s="123" t="s">
        <v>1866</v>
      </c>
      <c r="L59" s="123" t="s">
        <v>1866</v>
      </c>
      <c r="M59" s="137" t="b">
        <v>0</v>
      </c>
      <c r="Q59" s="128" t="b">
        <v>1</v>
      </c>
      <c r="R59" s="127" t="s">
        <v>1559</v>
      </c>
      <c r="S59" s="135" t="b">
        <v>1</v>
      </c>
      <c r="T59" s="126">
        <v>13</v>
      </c>
      <c r="U59" s="124">
        <v>1.4999999999999999E-2</v>
      </c>
      <c r="V59" s="126">
        <v>75</v>
      </c>
      <c r="W59" s="126">
        <v>-75</v>
      </c>
      <c r="X59" s="124">
        <v>50</v>
      </c>
      <c r="Y59" s="124">
        <v>5</v>
      </c>
      <c r="Z59" s="128" t="b">
        <v>1</v>
      </c>
      <c r="AA59" s="127" t="s">
        <v>1867</v>
      </c>
      <c r="AB59" s="133">
        <v>2</v>
      </c>
      <c r="AC59" s="137" t="b">
        <v>0</v>
      </c>
      <c r="AE59" s="137" t="b">
        <v>0</v>
      </c>
      <c r="AG59" s="135" t="b">
        <v>1</v>
      </c>
      <c r="AH59" s="125">
        <v>8</v>
      </c>
      <c r="AI59" s="125">
        <v>13</v>
      </c>
      <c r="AJ59" s="125">
        <v>21</v>
      </c>
      <c r="AK59" s="125">
        <v>34</v>
      </c>
      <c r="AL59" s="129" t="b">
        <v>0</v>
      </c>
      <c r="AM59" s="128" t="b">
        <v>1</v>
      </c>
      <c r="AN59" s="131" t="s">
        <v>1469</v>
      </c>
      <c r="AO59" s="141">
        <v>1.0000000000000001E-5</v>
      </c>
      <c r="AP59" s="128" t="b">
        <v>1</v>
      </c>
      <c r="AQ59" s="141">
        <v>1.0000000000000001E-5</v>
      </c>
      <c r="AR59" s="137">
        <v>5</v>
      </c>
      <c r="AS59" s="137">
        <v>13</v>
      </c>
      <c r="AT59" s="137">
        <v>8</v>
      </c>
      <c r="AU59" s="128" t="b">
        <v>1</v>
      </c>
      <c r="AV59" s="124">
        <v>3</v>
      </c>
      <c r="AW59" s="146">
        <v>5</v>
      </c>
      <c r="AX59" s="124">
        <v>1</v>
      </c>
      <c r="AY59" s="128" t="b">
        <v>1</v>
      </c>
      <c r="AZ59" s="122" t="s">
        <v>1586</v>
      </c>
      <c r="BA59" s="122">
        <v>4</v>
      </c>
      <c r="BB59" s="126">
        <v>0.05</v>
      </c>
      <c r="BC59" s="126">
        <v>0.5</v>
      </c>
      <c r="BD59" s="129" t="b">
        <v>0</v>
      </c>
      <c r="BE59" s="122" t="s">
        <v>1873</v>
      </c>
      <c r="BF59" s="128" t="b">
        <v>1</v>
      </c>
      <c r="BG59" s="122" t="s">
        <v>1578</v>
      </c>
      <c r="BH59" s="133">
        <v>0.02</v>
      </c>
      <c r="BI59" s="156" t="s">
        <v>403</v>
      </c>
      <c r="BJ59" s="128" t="b">
        <v>1</v>
      </c>
      <c r="BK59" s="161">
        <v>1.5</v>
      </c>
      <c r="BL59" s="129" t="b">
        <v>0</v>
      </c>
      <c r="BM59" s="156" t="s">
        <v>412</v>
      </c>
      <c r="BN59" s="128" t="b">
        <v>1</v>
      </c>
      <c r="BO59" s="156" t="s">
        <v>1382</v>
      </c>
      <c r="BP59" s="157">
        <v>1</v>
      </c>
      <c r="BQ59" s="157">
        <v>0.5</v>
      </c>
      <c r="BR59" s="166" t="str">
        <f t="shared" ref="BR59" si="107">AH59&amp;"/ "&amp;AI59&amp;"/ "&amp;AJ59&amp;"/ "&amp;AK59</f>
        <v>8/ 13/ 21/ 34</v>
      </c>
      <c r="BS59" s="166" t="str">
        <f t="shared" si="90"/>
        <v>5 / 13 / 8</v>
      </c>
      <c r="BT59" s="166" t="str">
        <f t="shared" si="91"/>
        <v>0.05 / 0.5</v>
      </c>
      <c r="BU59" s="66">
        <v>509</v>
      </c>
      <c r="BV59" s="66">
        <v>297</v>
      </c>
      <c r="BW59" s="66">
        <v>237</v>
      </c>
      <c r="BX59" s="99">
        <f t="shared" si="92"/>
        <v>60</v>
      </c>
      <c r="BY59" s="66">
        <v>66</v>
      </c>
      <c r="BZ59" s="92">
        <f t="shared" si="93"/>
        <v>146</v>
      </c>
      <c r="CA59" s="204">
        <f>IF(BU59=0,0,BV59/BU59)</f>
        <v>0.58349705304518662</v>
      </c>
      <c r="CB59" s="205">
        <f t="shared" ref="CB59" si="108">IF(BU59=0,0,BY59/BU59)</f>
        <v>0.12966601178781925</v>
      </c>
      <c r="CC59" s="87">
        <v>3.99</v>
      </c>
      <c r="CD59" s="87">
        <v>24.56</v>
      </c>
      <c r="CE59" s="87">
        <v>0.37</v>
      </c>
      <c r="CF59" s="170">
        <f t="shared" si="96"/>
        <v>1.5</v>
      </c>
      <c r="CG59" s="87">
        <v>0.66</v>
      </c>
      <c r="CH59" s="87">
        <v>0.48</v>
      </c>
      <c r="CI59" s="93">
        <v>8472</v>
      </c>
      <c r="CJ59" s="87">
        <v>28.53</v>
      </c>
      <c r="CK59" s="87">
        <v>27.49</v>
      </c>
      <c r="CL59" s="87">
        <v>-5.48</v>
      </c>
      <c r="CM59" s="165">
        <v>1000</v>
      </c>
      <c r="CN59" s="93">
        <v>12502.66</v>
      </c>
      <c r="CO59" s="108">
        <f t="shared" si="97"/>
        <v>13502.66</v>
      </c>
      <c r="CP59" s="108">
        <f t="shared" si="98"/>
        <v>1250.2660000000001</v>
      </c>
      <c r="CR59" s="82">
        <f t="shared" si="99"/>
        <v>12</v>
      </c>
      <c r="CS59" s="80">
        <f t="shared" si="100"/>
        <v>706</v>
      </c>
      <c r="CT59" s="80">
        <f t="shared" si="101"/>
        <v>1041.8883333333333</v>
      </c>
      <c r="CU59" s="80">
        <f t="shared" si="102"/>
        <v>104.18883333333333</v>
      </c>
      <c r="CW59" s="80">
        <f t="shared" si="103"/>
        <v>8472</v>
      </c>
      <c r="CX59" s="80">
        <f t="shared" si="104"/>
        <v>12502.66</v>
      </c>
      <c r="CY59" s="80">
        <f t="shared" si="105"/>
        <v>1250.2660000000001</v>
      </c>
    </row>
    <row r="60" spans="1:103" outlineLevel="1" x14ac:dyDescent="0.2">
      <c r="A60" s="120"/>
      <c r="B60" s="72"/>
      <c r="C60" s="57" t="s">
        <v>1387</v>
      </c>
      <c r="D60" s="57" t="s">
        <v>1888</v>
      </c>
      <c r="E60" s="65" t="s">
        <v>1389</v>
      </c>
      <c r="F60" s="57" t="s">
        <v>1454</v>
      </c>
      <c r="G60" s="62" t="s">
        <v>1556</v>
      </c>
      <c r="H60" s="129" t="b">
        <v>0</v>
      </c>
      <c r="J60" s="123" t="s">
        <v>1866</v>
      </c>
      <c r="K60" s="123" t="s">
        <v>1866</v>
      </c>
      <c r="L60" s="123" t="s">
        <v>1866</v>
      </c>
      <c r="M60" s="137" t="b">
        <v>0</v>
      </c>
      <c r="Q60" s="128" t="b">
        <v>1</v>
      </c>
      <c r="R60" s="127" t="s">
        <v>1559</v>
      </c>
      <c r="S60" s="135" t="b">
        <v>1</v>
      </c>
      <c r="T60" s="126">
        <v>13</v>
      </c>
      <c r="U60" s="124">
        <v>1.4999999999999999E-2</v>
      </c>
      <c r="V60" s="126">
        <v>75</v>
      </c>
      <c r="W60" s="126">
        <v>-75</v>
      </c>
      <c r="X60" s="124">
        <v>50</v>
      </c>
      <c r="Y60" s="124">
        <v>5</v>
      </c>
      <c r="Z60" s="128" t="b">
        <v>1</v>
      </c>
      <c r="AA60" s="127" t="s">
        <v>1867</v>
      </c>
      <c r="AB60" s="133">
        <v>2</v>
      </c>
      <c r="AC60" s="137" t="b">
        <v>0</v>
      </c>
      <c r="AE60" s="137" t="b">
        <v>0</v>
      </c>
      <c r="AG60" s="135" t="b">
        <v>1</v>
      </c>
      <c r="AH60" s="125">
        <v>8</v>
      </c>
      <c r="AI60" s="125">
        <v>13</v>
      </c>
      <c r="AJ60" s="125">
        <v>21</v>
      </c>
      <c r="AK60" s="125">
        <v>34</v>
      </c>
      <c r="AL60" s="129" t="b">
        <v>0</v>
      </c>
      <c r="AM60" s="128" t="b">
        <v>1</v>
      </c>
      <c r="AN60" s="131" t="s">
        <v>1469</v>
      </c>
      <c r="AO60" s="141">
        <v>1.0000000000000001E-5</v>
      </c>
      <c r="AP60" s="128" t="b">
        <v>1</v>
      </c>
      <c r="AQ60" s="141">
        <v>1.0000000000000001E-5</v>
      </c>
      <c r="AR60" s="149">
        <v>8</v>
      </c>
      <c r="AS60" s="149">
        <v>13</v>
      </c>
      <c r="AT60" s="149">
        <v>8</v>
      </c>
      <c r="AU60" s="128" t="b">
        <v>1</v>
      </c>
      <c r="AV60" s="124">
        <v>3</v>
      </c>
      <c r="AW60" s="146">
        <v>5</v>
      </c>
      <c r="AX60" s="124">
        <v>1</v>
      </c>
      <c r="AY60" s="128" t="b">
        <v>1</v>
      </c>
      <c r="AZ60" s="122" t="s">
        <v>1586</v>
      </c>
      <c r="BA60" s="122">
        <v>4</v>
      </c>
      <c r="BB60" s="126">
        <v>0.05</v>
      </c>
      <c r="BC60" s="126">
        <v>0.5</v>
      </c>
      <c r="BD60" s="129" t="b">
        <v>0</v>
      </c>
      <c r="BE60" s="122" t="s">
        <v>1873</v>
      </c>
      <c r="BF60" s="128" t="b">
        <v>1</v>
      </c>
      <c r="BG60" s="122" t="s">
        <v>1578</v>
      </c>
      <c r="BH60" s="133">
        <v>0.02</v>
      </c>
      <c r="BI60" s="156" t="s">
        <v>403</v>
      </c>
      <c r="BJ60" s="128" t="b">
        <v>1</v>
      </c>
      <c r="BK60" s="161">
        <v>1.5</v>
      </c>
      <c r="BL60" s="129" t="b">
        <v>0</v>
      </c>
      <c r="BM60" s="156" t="s">
        <v>412</v>
      </c>
      <c r="BN60" s="128" t="b">
        <v>1</v>
      </c>
      <c r="BO60" s="156" t="s">
        <v>1382</v>
      </c>
      <c r="BP60" s="157">
        <v>1</v>
      </c>
      <c r="BQ60" s="157">
        <v>0.5</v>
      </c>
      <c r="BR60" s="166" t="str">
        <f t="shared" si="89"/>
        <v>8/ 13/ 21/ 34</v>
      </c>
      <c r="BS60" s="166" t="str">
        <f t="shared" si="90"/>
        <v>8 / 13 / 8</v>
      </c>
      <c r="BT60" s="166" t="str">
        <f t="shared" si="91"/>
        <v>0.05 / 0.5</v>
      </c>
      <c r="BU60" s="66">
        <v>498</v>
      </c>
      <c r="BV60" s="66">
        <v>292</v>
      </c>
      <c r="BW60" s="66">
        <v>233</v>
      </c>
      <c r="BX60" s="99">
        <f t="shared" si="92"/>
        <v>59</v>
      </c>
      <c r="BY60" s="66">
        <v>64</v>
      </c>
      <c r="BZ60" s="92">
        <f t="shared" si="93"/>
        <v>142</v>
      </c>
      <c r="CA60" s="204">
        <f t="shared" ref="CA60:CA64" si="109">IF(BU60=0,0,BV60/BU60)</f>
        <v>0.58634538152610438</v>
      </c>
      <c r="CB60" s="205">
        <f t="shared" si="106"/>
        <v>0.12851405622489959</v>
      </c>
      <c r="CC60" s="87">
        <v>4.1100000000000003</v>
      </c>
      <c r="CD60" s="87">
        <v>25.2</v>
      </c>
      <c r="CE60" s="87">
        <v>0.38</v>
      </c>
      <c r="CF60" s="170">
        <f t="shared" si="96"/>
        <v>1.5</v>
      </c>
      <c r="CG60" s="87">
        <v>0.67</v>
      </c>
      <c r="CH60" s="87">
        <v>0.49</v>
      </c>
      <c r="CI60" s="93">
        <v>8367.1</v>
      </c>
      <c r="CJ60" s="87">
        <v>28.65</v>
      </c>
      <c r="CK60" s="87">
        <v>27.18</v>
      </c>
      <c r="CL60" s="87">
        <v>-5.48</v>
      </c>
      <c r="CM60" s="165">
        <v>1000</v>
      </c>
      <c r="CN60" s="93">
        <v>12549.72</v>
      </c>
      <c r="CO60" s="108">
        <f t="shared" si="97"/>
        <v>13549.72</v>
      </c>
      <c r="CP60" s="108">
        <f t="shared" si="98"/>
        <v>1254.972</v>
      </c>
      <c r="CR60" s="82">
        <f t="shared" si="99"/>
        <v>12</v>
      </c>
      <c r="CS60" s="80">
        <f t="shared" si="100"/>
        <v>697.25833333333333</v>
      </c>
      <c r="CT60" s="80">
        <f t="shared" si="101"/>
        <v>1045.81</v>
      </c>
      <c r="CU60" s="80">
        <f t="shared" si="102"/>
        <v>104.58099999999999</v>
      </c>
      <c r="CW60" s="80">
        <f t="shared" si="103"/>
        <v>8367.1</v>
      </c>
      <c r="CX60" s="80">
        <f t="shared" si="104"/>
        <v>12549.72</v>
      </c>
      <c r="CY60" s="80">
        <f t="shared" si="105"/>
        <v>1254.972</v>
      </c>
    </row>
    <row r="61" spans="1:103" outlineLevel="1" x14ac:dyDescent="0.2">
      <c r="A61" s="120"/>
      <c r="B61" s="72"/>
      <c r="C61" s="57" t="s">
        <v>1387</v>
      </c>
      <c r="D61" s="57" t="s">
        <v>1888</v>
      </c>
      <c r="E61" s="65" t="s">
        <v>1389</v>
      </c>
      <c r="F61" s="57" t="s">
        <v>1454</v>
      </c>
      <c r="G61" s="62" t="s">
        <v>1556</v>
      </c>
      <c r="H61" s="129" t="b">
        <v>0</v>
      </c>
      <c r="J61" s="123" t="s">
        <v>1866</v>
      </c>
      <c r="K61" s="123" t="s">
        <v>1866</v>
      </c>
      <c r="L61" s="123" t="s">
        <v>1866</v>
      </c>
      <c r="M61" s="137" t="b">
        <v>0</v>
      </c>
      <c r="Q61" s="128" t="b">
        <v>1</v>
      </c>
      <c r="R61" s="127" t="s">
        <v>1559</v>
      </c>
      <c r="S61" s="135" t="b">
        <v>1</v>
      </c>
      <c r="T61" s="126">
        <v>13</v>
      </c>
      <c r="U61" s="124">
        <v>1.4999999999999999E-2</v>
      </c>
      <c r="V61" s="126">
        <v>75</v>
      </c>
      <c r="W61" s="126">
        <v>-75</v>
      </c>
      <c r="X61" s="124">
        <v>50</v>
      </c>
      <c r="Y61" s="124">
        <v>5</v>
      </c>
      <c r="Z61" s="128" t="b">
        <v>1</v>
      </c>
      <c r="AA61" s="127" t="s">
        <v>1867</v>
      </c>
      <c r="AB61" s="133">
        <v>2</v>
      </c>
      <c r="AC61" s="137" t="b">
        <v>0</v>
      </c>
      <c r="AE61" s="137" t="b">
        <v>0</v>
      </c>
      <c r="AG61" s="135" t="b">
        <v>1</v>
      </c>
      <c r="AH61" s="125">
        <v>8</v>
      </c>
      <c r="AI61" s="125">
        <v>13</v>
      </c>
      <c r="AJ61" s="125">
        <v>21</v>
      </c>
      <c r="AK61" s="125">
        <v>34</v>
      </c>
      <c r="AL61" s="129" t="b">
        <v>0</v>
      </c>
      <c r="AM61" s="128" t="b">
        <v>1</v>
      </c>
      <c r="AN61" s="131" t="s">
        <v>1469</v>
      </c>
      <c r="AO61" s="141">
        <v>1.0000000000000001E-5</v>
      </c>
      <c r="AP61" s="128" t="b">
        <v>1</v>
      </c>
      <c r="AQ61" s="141">
        <v>1.0000000000000001E-5</v>
      </c>
      <c r="AR61" s="149">
        <v>8</v>
      </c>
      <c r="AS61" s="149">
        <v>13</v>
      </c>
      <c r="AT61" s="149">
        <v>11</v>
      </c>
      <c r="AU61" s="128" t="b">
        <v>1</v>
      </c>
      <c r="AV61" s="124">
        <v>3</v>
      </c>
      <c r="AW61" s="146">
        <v>5</v>
      </c>
      <c r="AX61" s="124">
        <v>1</v>
      </c>
      <c r="AY61" s="128" t="b">
        <v>1</v>
      </c>
      <c r="AZ61" s="122" t="s">
        <v>1586</v>
      </c>
      <c r="BA61" s="122">
        <v>4</v>
      </c>
      <c r="BB61" s="126">
        <v>0.05</v>
      </c>
      <c r="BC61" s="126">
        <v>0.5</v>
      </c>
      <c r="BD61" s="129" t="b">
        <v>0</v>
      </c>
      <c r="BE61" s="122" t="s">
        <v>1873</v>
      </c>
      <c r="BF61" s="128" t="b">
        <v>1</v>
      </c>
      <c r="BG61" s="122" t="s">
        <v>1578</v>
      </c>
      <c r="BH61" s="133">
        <v>0.02</v>
      </c>
      <c r="BI61" s="156" t="s">
        <v>403</v>
      </c>
      <c r="BJ61" s="128" t="b">
        <v>1</v>
      </c>
      <c r="BK61" s="161">
        <v>1.5</v>
      </c>
      <c r="BL61" s="129" t="b">
        <v>0</v>
      </c>
      <c r="BM61" s="156" t="s">
        <v>412</v>
      </c>
      <c r="BN61" s="128" t="b">
        <v>1</v>
      </c>
      <c r="BO61" s="156" t="s">
        <v>1382</v>
      </c>
      <c r="BP61" s="157">
        <v>1</v>
      </c>
      <c r="BQ61" s="157">
        <v>0.5</v>
      </c>
      <c r="BR61" s="166" t="str">
        <f t="shared" si="89"/>
        <v>8/ 13/ 21/ 34</v>
      </c>
      <c r="BS61" s="166" t="str">
        <f t="shared" si="90"/>
        <v>8 / 13 / 11</v>
      </c>
      <c r="BT61" s="166" t="str">
        <f t="shared" si="91"/>
        <v>0.05 / 0.5</v>
      </c>
      <c r="BU61" s="66">
        <v>495</v>
      </c>
      <c r="BV61" s="66">
        <v>292</v>
      </c>
      <c r="BW61" s="66">
        <v>234</v>
      </c>
      <c r="BX61" s="99">
        <f t="shared" si="92"/>
        <v>58</v>
      </c>
      <c r="BY61" s="66">
        <v>64</v>
      </c>
      <c r="BZ61" s="92">
        <f t="shared" si="93"/>
        <v>139</v>
      </c>
      <c r="CA61" s="204">
        <f t="shared" si="109"/>
        <v>0.58989898989898992</v>
      </c>
      <c r="CB61" s="205">
        <f t="shared" si="106"/>
        <v>0.12929292929292929</v>
      </c>
      <c r="CC61" s="87">
        <v>4.0999999999999996</v>
      </c>
      <c r="CD61" s="87">
        <v>25.32</v>
      </c>
      <c r="CE61" s="87">
        <v>0.38</v>
      </c>
      <c r="CF61" s="170">
        <f t="shared" si="96"/>
        <v>1.5</v>
      </c>
      <c r="CG61" s="87">
        <v>0.67</v>
      </c>
      <c r="CH61" s="87">
        <v>0.48</v>
      </c>
      <c r="CI61" s="93">
        <v>8326.5</v>
      </c>
      <c r="CJ61" s="87">
        <v>28.52</v>
      </c>
      <c r="CK61" s="87">
        <v>27.23</v>
      </c>
      <c r="CL61" s="87">
        <v>-5.48</v>
      </c>
      <c r="CM61" s="165">
        <v>1000</v>
      </c>
      <c r="CN61" s="93">
        <v>12532.7</v>
      </c>
      <c r="CO61" s="108">
        <f t="shared" si="97"/>
        <v>13532.7</v>
      </c>
      <c r="CP61" s="108">
        <f t="shared" si="98"/>
        <v>1253.27</v>
      </c>
      <c r="CR61" s="82">
        <f t="shared" si="99"/>
        <v>12</v>
      </c>
      <c r="CS61" s="80">
        <f t="shared" si="100"/>
        <v>693.875</v>
      </c>
      <c r="CT61" s="80">
        <f t="shared" si="101"/>
        <v>1044.3916666666667</v>
      </c>
      <c r="CU61" s="80">
        <f t="shared" si="102"/>
        <v>104.43916666666667</v>
      </c>
      <c r="CW61" s="80">
        <f t="shared" si="103"/>
        <v>8326.5</v>
      </c>
      <c r="CX61" s="80">
        <f t="shared" si="104"/>
        <v>12532.7</v>
      </c>
      <c r="CY61" s="80">
        <f t="shared" si="105"/>
        <v>1253.27</v>
      </c>
    </row>
    <row r="62" spans="1:103" outlineLevel="1" x14ac:dyDescent="0.2">
      <c r="A62" s="120"/>
      <c r="B62" s="72"/>
      <c r="C62" s="57" t="s">
        <v>1387</v>
      </c>
      <c r="D62" s="57" t="s">
        <v>1888</v>
      </c>
      <c r="E62" s="65" t="s">
        <v>1389</v>
      </c>
      <c r="F62" s="57" t="s">
        <v>1454</v>
      </c>
      <c r="G62" s="62" t="s">
        <v>1556</v>
      </c>
      <c r="H62" s="129" t="b">
        <v>0</v>
      </c>
      <c r="J62" s="123" t="s">
        <v>1866</v>
      </c>
      <c r="K62" s="123" t="s">
        <v>1866</v>
      </c>
      <c r="L62" s="123" t="s">
        <v>1866</v>
      </c>
      <c r="M62" s="137" t="b">
        <v>0</v>
      </c>
      <c r="Q62" s="128" t="b">
        <v>1</v>
      </c>
      <c r="R62" s="127" t="s">
        <v>1559</v>
      </c>
      <c r="S62" s="135" t="b">
        <v>1</v>
      </c>
      <c r="T62" s="126">
        <v>13</v>
      </c>
      <c r="U62" s="124">
        <v>1.4999999999999999E-2</v>
      </c>
      <c r="V62" s="126">
        <v>75</v>
      </c>
      <c r="W62" s="126">
        <v>-75</v>
      </c>
      <c r="X62" s="124">
        <v>50</v>
      </c>
      <c r="Y62" s="124">
        <v>5</v>
      </c>
      <c r="Z62" s="128" t="b">
        <v>1</v>
      </c>
      <c r="AA62" s="127" t="s">
        <v>1867</v>
      </c>
      <c r="AB62" s="133">
        <v>2</v>
      </c>
      <c r="AC62" s="137" t="b">
        <v>0</v>
      </c>
      <c r="AE62" s="137" t="b">
        <v>0</v>
      </c>
      <c r="AG62" s="135" t="b">
        <v>1</v>
      </c>
      <c r="AH62" s="125">
        <v>8</v>
      </c>
      <c r="AI62" s="125">
        <v>13</v>
      </c>
      <c r="AJ62" s="125">
        <v>21</v>
      </c>
      <c r="AK62" s="125">
        <v>34</v>
      </c>
      <c r="AL62" s="129" t="b">
        <v>0</v>
      </c>
      <c r="AM62" s="128" t="b">
        <v>1</v>
      </c>
      <c r="AN62" s="131" t="s">
        <v>1469</v>
      </c>
      <c r="AO62" s="141">
        <v>1.0000000000000001E-5</v>
      </c>
      <c r="AP62" s="128" t="b">
        <v>1</v>
      </c>
      <c r="AQ62" s="141">
        <v>1.0000000000000001E-5</v>
      </c>
      <c r="AR62" s="150">
        <v>8</v>
      </c>
      <c r="AS62" s="150">
        <v>17</v>
      </c>
      <c r="AT62" s="150">
        <v>9</v>
      </c>
      <c r="AU62" s="128" t="b">
        <v>1</v>
      </c>
      <c r="AV62" s="124">
        <v>3</v>
      </c>
      <c r="AW62" s="146">
        <v>5</v>
      </c>
      <c r="AX62" s="124">
        <v>1</v>
      </c>
      <c r="AY62" s="128" t="b">
        <v>1</v>
      </c>
      <c r="AZ62" s="122" t="s">
        <v>1586</v>
      </c>
      <c r="BA62" s="122">
        <v>4</v>
      </c>
      <c r="BB62" s="126">
        <v>0.05</v>
      </c>
      <c r="BC62" s="126">
        <v>0.5</v>
      </c>
      <c r="BD62" s="129" t="b">
        <v>0</v>
      </c>
      <c r="BE62" s="122" t="s">
        <v>1873</v>
      </c>
      <c r="BF62" s="128" t="b">
        <v>1</v>
      </c>
      <c r="BG62" s="122" t="s">
        <v>1578</v>
      </c>
      <c r="BH62" s="133">
        <v>0.02</v>
      </c>
      <c r="BI62" s="156" t="s">
        <v>403</v>
      </c>
      <c r="BJ62" s="128" t="b">
        <v>1</v>
      </c>
      <c r="BK62" s="161">
        <v>1.5</v>
      </c>
      <c r="BL62" s="129" t="b">
        <v>0</v>
      </c>
      <c r="BM62" s="156" t="s">
        <v>412</v>
      </c>
      <c r="BN62" s="128" t="b">
        <v>1</v>
      </c>
      <c r="BO62" s="156" t="s">
        <v>1382</v>
      </c>
      <c r="BP62" s="157">
        <v>1</v>
      </c>
      <c r="BQ62" s="157">
        <v>0.5</v>
      </c>
      <c r="BR62" s="166" t="str">
        <f t="shared" si="89"/>
        <v>8/ 13/ 21/ 34</v>
      </c>
      <c r="BS62" s="166" t="str">
        <f t="shared" si="90"/>
        <v>8 / 17 / 9</v>
      </c>
      <c r="BT62" s="166" t="str">
        <f t="shared" si="91"/>
        <v>0.05 / 0.5</v>
      </c>
      <c r="BU62" s="66">
        <v>495</v>
      </c>
      <c r="BV62" s="66">
        <v>294</v>
      </c>
      <c r="BW62" s="66">
        <v>237</v>
      </c>
      <c r="BX62" s="99">
        <f t="shared" si="92"/>
        <v>57</v>
      </c>
      <c r="BY62" s="66">
        <v>63</v>
      </c>
      <c r="BZ62" s="92">
        <f t="shared" si="93"/>
        <v>138</v>
      </c>
      <c r="CA62" s="204">
        <f t="shared" si="109"/>
        <v>0.59393939393939399</v>
      </c>
      <c r="CB62" s="205">
        <f t="shared" si="106"/>
        <v>0.12727272727272726</v>
      </c>
      <c r="CC62" s="87" t="s">
        <v>1902</v>
      </c>
      <c r="CD62" s="87">
        <v>25.69</v>
      </c>
      <c r="CE62" s="87">
        <v>0.38</v>
      </c>
      <c r="CF62" s="170">
        <f t="shared" si="96"/>
        <v>1.5</v>
      </c>
      <c r="CG62" s="87">
        <v>0.66</v>
      </c>
      <c r="CH62" s="87">
        <v>0.48</v>
      </c>
      <c r="CI62" s="93">
        <v>8307.7000000000007</v>
      </c>
      <c r="CJ62" s="87">
        <v>28.26</v>
      </c>
      <c r="CK62" s="87">
        <v>27.04</v>
      </c>
      <c r="CL62" s="87">
        <v>-5.48</v>
      </c>
      <c r="CM62" s="165">
        <v>1000</v>
      </c>
      <c r="CN62" s="93">
        <v>12717.75</v>
      </c>
      <c r="CO62" s="108">
        <f t="shared" si="97"/>
        <v>13717.75</v>
      </c>
      <c r="CP62" s="108">
        <f t="shared" si="98"/>
        <v>1271.7750000000001</v>
      </c>
      <c r="CR62" s="82">
        <f t="shared" si="99"/>
        <v>12</v>
      </c>
      <c r="CS62" s="80">
        <f t="shared" si="100"/>
        <v>692.30833333333339</v>
      </c>
      <c r="CT62" s="80">
        <f t="shared" si="101"/>
        <v>1059.8125</v>
      </c>
      <c r="CU62" s="80">
        <f t="shared" si="102"/>
        <v>105.98125</v>
      </c>
      <c r="CW62" s="80">
        <f t="shared" si="103"/>
        <v>8307.7000000000007</v>
      </c>
      <c r="CX62" s="80">
        <f t="shared" si="104"/>
        <v>12717.75</v>
      </c>
      <c r="CY62" s="80">
        <f t="shared" si="105"/>
        <v>1271.7750000000001</v>
      </c>
    </row>
    <row r="63" spans="1:103" outlineLevel="1" x14ac:dyDescent="0.2">
      <c r="A63" s="120"/>
      <c r="B63" s="72"/>
      <c r="C63" s="57" t="s">
        <v>1387</v>
      </c>
      <c r="D63" s="57" t="s">
        <v>1888</v>
      </c>
      <c r="E63" s="65" t="s">
        <v>1389</v>
      </c>
      <c r="F63" s="57" t="s">
        <v>1454</v>
      </c>
      <c r="G63" s="62" t="s">
        <v>1556</v>
      </c>
      <c r="H63" s="129" t="b">
        <v>0</v>
      </c>
      <c r="J63" s="123" t="s">
        <v>1866</v>
      </c>
      <c r="K63" s="123" t="s">
        <v>1866</v>
      </c>
      <c r="L63" s="123" t="s">
        <v>1866</v>
      </c>
      <c r="M63" s="137" t="b">
        <v>0</v>
      </c>
      <c r="Q63" s="128" t="b">
        <v>1</v>
      </c>
      <c r="R63" s="127" t="s">
        <v>1559</v>
      </c>
      <c r="S63" s="135" t="b">
        <v>1</v>
      </c>
      <c r="T63" s="126">
        <v>13</v>
      </c>
      <c r="U63" s="124">
        <v>1.4999999999999999E-2</v>
      </c>
      <c r="V63" s="126">
        <v>75</v>
      </c>
      <c r="W63" s="126">
        <v>-75</v>
      </c>
      <c r="X63" s="124">
        <v>50</v>
      </c>
      <c r="Y63" s="124">
        <v>5</v>
      </c>
      <c r="Z63" s="128" t="b">
        <v>1</v>
      </c>
      <c r="AA63" s="127" t="s">
        <v>1867</v>
      </c>
      <c r="AB63" s="133">
        <v>2</v>
      </c>
      <c r="AC63" s="137" t="b">
        <v>0</v>
      </c>
      <c r="AE63" s="137" t="b">
        <v>0</v>
      </c>
      <c r="AG63" s="135" t="b">
        <v>1</v>
      </c>
      <c r="AH63" s="125">
        <v>8</v>
      </c>
      <c r="AI63" s="125">
        <v>13</v>
      </c>
      <c r="AJ63" s="125">
        <v>21</v>
      </c>
      <c r="AK63" s="125">
        <v>34</v>
      </c>
      <c r="AL63" s="129" t="b">
        <v>0</v>
      </c>
      <c r="AM63" s="128" t="b">
        <v>1</v>
      </c>
      <c r="AN63" s="131" t="s">
        <v>1469</v>
      </c>
      <c r="AO63" s="141">
        <v>1.0000000000000001E-5</v>
      </c>
      <c r="AP63" s="128" t="b">
        <v>1</v>
      </c>
      <c r="AQ63" s="141">
        <v>1.0000000000000001E-5</v>
      </c>
      <c r="AR63" s="152">
        <v>12</v>
      </c>
      <c r="AS63" s="152">
        <v>26</v>
      </c>
      <c r="AT63" s="152">
        <v>9</v>
      </c>
      <c r="AU63" s="128" t="b">
        <v>1</v>
      </c>
      <c r="AV63" s="124">
        <v>3</v>
      </c>
      <c r="AW63" s="146">
        <v>5</v>
      </c>
      <c r="AX63" s="124">
        <v>1</v>
      </c>
      <c r="AY63" s="128" t="b">
        <v>1</v>
      </c>
      <c r="AZ63" s="122" t="s">
        <v>1586</v>
      </c>
      <c r="BA63" s="122">
        <v>4</v>
      </c>
      <c r="BB63" s="126">
        <v>0.05</v>
      </c>
      <c r="BC63" s="126">
        <v>0.5</v>
      </c>
      <c r="BD63" s="129" t="b">
        <v>0</v>
      </c>
      <c r="BE63" s="122" t="s">
        <v>1873</v>
      </c>
      <c r="BF63" s="128" t="b">
        <v>1</v>
      </c>
      <c r="BG63" s="122" t="s">
        <v>1578</v>
      </c>
      <c r="BH63" s="133">
        <v>0.02</v>
      </c>
      <c r="BI63" s="156" t="s">
        <v>403</v>
      </c>
      <c r="BJ63" s="128" t="b">
        <v>1</v>
      </c>
      <c r="BK63" s="161">
        <v>1.5</v>
      </c>
      <c r="BL63" s="129" t="b">
        <v>0</v>
      </c>
      <c r="BM63" s="156" t="s">
        <v>412</v>
      </c>
      <c r="BN63" s="128" t="b">
        <v>1</v>
      </c>
      <c r="BO63" s="156" t="s">
        <v>1382</v>
      </c>
      <c r="BP63" s="157">
        <v>1</v>
      </c>
      <c r="BQ63" s="157">
        <v>0.5</v>
      </c>
      <c r="BR63" s="166" t="str">
        <f t="shared" si="89"/>
        <v>8/ 13/ 21/ 34</v>
      </c>
      <c r="BS63" s="166" t="str">
        <f t="shared" si="90"/>
        <v>12 / 26 / 9</v>
      </c>
      <c r="BT63" s="166" t="str">
        <f t="shared" si="91"/>
        <v>0.05 / 0.5</v>
      </c>
      <c r="BU63" s="66">
        <v>507</v>
      </c>
      <c r="BV63" s="66">
        <v>293</v>
      </c>
      <c r="BW63" s="66">
        <v>232</v>
      </c>
      <c r="BX63" s="99">
        <f t="shared" si="92"/>
        <v>61</v>
      </c>
      <c r="BY63" s="66">
        <v>67</v>
      </c>
      <c r="BZ63" s="92">
        <f t="shared" si="93"/>
        <v>147</v>
      </c>
      <c r="CA63" s="204">
        <f t="shared" si="109"/>
        <v>0.57790927021696248</v>
      </c>
      <c r="CB63" s="205">
        <f t="shared" si="106"/>
        <v>0.13214990138067062</v>
      </c>
      <c r="CC63" s="87">
        <v>3.92</v>
      </c>
      <c r="CD63" s="87">
        <v>26.07</v>
      </c>
      <c r="CE63" s="87">
        <v>0.37</v>
      </c>
      <c r="CF63" s="170">
        <f t="shared" si="96"/>
        <v>1.5</v>
      </c>
      <c r="CG63" s="87">
        <v>0.68</v>
      </c>
      <c r="CH63" s="87">
        <v>0.48</v>
      </c>
      <c r="CI63" s="93">
        <v>8239.4</v>
      </c>
      <c r="CJ63" s="87">
        <v>28.12</v>
      </c>
      <c r="CK63" s="87">
        <v>26.59</v>
      </c>
      <c r="CL63" s="87">
        <v>-5.65</v>
      </c>
      <c r="CM63" s="165">
        <v>1000</v>
      </c>
      <c r="CN63" s="208">
        <v>13217.99</v>
      </c>
      <c r="CO63" s="209">
        <f t="shared" si="97"/>
        <v>14217.99</v>
      </c>
      <c r="CP63" s="209">
        <f t="shared" si="98"/>
        <v>1321.799</v>
      </c>
      <c r="CR63" s="82">
        <f t="shared" si="99"/>
        <v>12</v>
      </c>
      <c r="CS63" s="80">
        <f t="shared" si="100"/>
        <v>686.61666666666667</v>
      </c>
      <c r="CT63" s="80">
        <f t="shared" si="101"/>
        <v>1101.4991666666667</v>
      </c>
      <c r="CU63" s="80">
        <f t="shared" si="102"/>
        <v>110.14991666666667</v>
      </c>
      <c r="CW63" s="80">
        <f t="shared" si="103"/>
        <v>8239.4</v>
      </c>
      <c r="CX63" s="80">
        <f t="shared" si="104"/>
        <v>13217.99</v>
      </c>
      <c r="CY63" s="80">
        <f t="shared" si="105"/>
        <v>1321.799</v>
      </c>
    </row>
    <row r="64" spans="1:103" outlineLevel="1" x14ac:dyDescent="0.2">
      <c r="A64" s="120"/>
      <c r="B64" s="72"/>
      <c r="C64" s="57" t="s">
        <v>1387</v>
      </c>
      <c r="D64" s="57" t="s">
        <v>1888</v>
      </c>
      <c r="E64" s="65" t="s">
        <v>1389</v>
      </c>
      <c r="F64" s="57" t="s">
        <v>1454</v>
      </c>
      <c r="G64" s="62" t="s">
        <v>1556</v>
      </c>
      <c r="H64" s="129" t="b">
        <v>0</v>
      </c>
      <c r="J64" s="123" t="s">
        <v>1866</v>
      </c>
      <c r="K64" s="123" t="s">
        <v>1866</v>
      </c>
      <c r="L64" s="123" t="s">
        <v>1866</v>
      </c>
      <c r="M64" s="137" t="b">
        <v>0</v>
      </c>
      <c r="Q64" s="128" t="b">
        <v>1</v>
      </c>
      <c r="R64" s="127" t="s">
        <v>1559</v>
      </c>
      <c r="S64" s="135" t="b">
        <v>1</v>
      </c>
      <c r="T64" s="126">
        <v>13</v>
      </c>
      <c r="U64" s="124">
        <v>1.4999999999999999E-2</v>
      </c>
      <c r="V64" s="126">
        <v>75</v>
      </c>
      <c r="W64" s="126">
        <v>-75</v>
      </c>
      <c r="X64" s="124">
        <v>50</v>
      </c>
      <c r="Y64" s="124">
        <v>5</v>
      </c>
      <c r="Z64" s="128" t="b">
        <v>1</v>
      </c>
      <c r="AA64" s="127" t="s">
        <v>1867</v>
      </c>
      <c r="AB64" s="133">
        <v>2</v>
      </c>
      <c r="AC64" s="137" t="b">
        <v>0</v>
      </c>
      <c r="AE64" s="137" t="b">
        <v>0</v>
      </c>
      <c r="AG64" s="135" t="b">
        <v>1</v>
      </c>
      <c r="AH64" s="125">
        <v>8</v>
      </c>
      <c r="AI64" s="125">
        <v>13</v>
      </c>
      <c r="AJ64" s="125">
        <v>21</v>
      </c>
      <c r="AK64" s="125">
        <v>34</v>
      </c>
      <c r="AL64" s="129" t="b">
        <v>0</v>
      </c>
      <c r="AM64" s="128" t="b">
        <v>1</v>
      </c>
      <c r="AN64" s="131" t="s">
        <v>1469</v>
      </c>
      <c r="AO64" s="141">
        <v>1.0000000000000001E-5</v>
      </c>
      <c r="AP64" s="128" t="b">
        <v>1</v>
      </c>
      <c r="AQ64" s="141">
        <v>1.0000000000000001E-5</v>
      </c>
      <c r="AR64" s="137">
        <v>21</v>
      </c>
      <c r="AS64" s="137">
        <v>34</v>
      </c>
      <c r="AT64" s="137">
        <v>9</v>
      </c>
      <c r="AU64" s="128" t="b">
        <v>1</v>
      </c>
      <c r="AV64" s="124">
        <v>3</v>
      </c>
      <c r="AW64" s="146">
        <v>5</v>
      </c>
      <c r="AX64" s="124">
        <v>1</v>
      </c>
      <c r="AY64" s="128" t="b">
        <v>1</v>
      </c>
      <c r="AZ64" s="122" t="s">
        <v>1586</v>
      </c>
      <c r="BA64" s="122">
        <v>4</v>
      </c>
      <c r="BB64" s="126">
        <v>0.05</v>
      </c>
      <c r="BC64" s="126">
        <v>0.5</v>
      </c>
      <c r="BD64" s="129" t="b">
        <v>0</v>
      </c>
      <c r="BE64" s="122" t="s">
        <v>1873</v>
      </c>
      <c r="BF64" s="128" t="b">
        <v>1</v>
      </c>
      <c r="BG64" s="122" t="s">
        <v>1578</v>
      </c>
      <c r="BH64" s="133">
        <v>0.02</v>
      </c>
      <c r="BI64" s="156" t="s">
        <v>403</v>
      </c>
      <c r="BJ64" s="128" t="b">
        <v>1</v>
      </c>
      <c r="BK64" s="161">
        <v>1.5</v>
      </c>
      <c r="BL64" s="129" t="b">
        <v>0</v>
      </c>
      <c r="BM64" s="156" t="s">
        <v>412</v>
      </c>
      <c r="BN64" s="128" t="b">
        <v>1</v>
      </c>
      <c r="BO64" s="156" t="s">
        <v>1382</v>
      </c>
      <c r="BP64" s="157">
        <v>1</v>
      </c>
      <c r="BQ64" s="157">
        <v>0.5</v>
      </c>
      <c r="BR64" s="166" t="str">
        <f t="shared" si="89"/>
        <v>8/ 13/ 21/ 34</v>
      </c>
      <c r="BS64" s="166" t="str">
        <f t="shared" si="90"/>
        <v>21 / 34 / 9</v>
      </c>
      <c r="BT64" s="166" t="str">
        <f t="shared" si="91"/>
        <v>0.05 / 0.5</v>
      </c>
      <c r="BU64" s="66">
        <v>510</v>
      </c>
      <c r="BV64" s="66">
        <v>286</v>
      </c>
      <c r="BW64" s="66">
        <v>226</v>
      </c>
      <c r="BX64" s="99">
        <f t="shared" si="92"/>
        <v>60</v>
      </c>
      <c r="BY64" s="66">
        <v>69</v>
      </c>
      <c r="BZ64" s="92">
        <f t="shared" si="93"/>
        <v>155</v>
      </c>
      <c r="CA64" s="204">
        <f t="shared" si="109"/>
        <v>0.5607843137254902</v>
      </c>
      <c r="CB64" s="205">
        <f t="shared" si="106"/>
        <v>0.13529411764705881</v>
      </c>
      <c r="CC64" s="87">
        <v>3.65</v>
      </c>
      <c r="CD64" s="87">
        <v>24.81</v>
      </c>
      <c r="CE64" s="87">
        <v>0.35</v>
      </c>
      <c r="CF64" s="170">
        <f t="shared" si="96"/>
        <v>1.5</v>
      </c>
      <c r="CG64" s="87">
        <v>0.69</v>
      </c>
      <c r="CH64" s="87">
        <v>0.51</v>
      </c>
      <c r="CI64" s="93">
        <v>8076.4</v>
      </c>
      <c r="CJ64" s="87">
        <v>28.24</v>
      </c>
      <c r="CK64" s="87">
        <v>27.07</v>
      </c>
      <c r="CL64" s="87">
        <v>-5.72</v>
      </c>
      <c r="CM64" s="165">
        <v>1000</v>
      </c>
      <c r="CN64" s="93">
        <v>12654</v>
      </c>
      <c r="CO64" s="108">
        <f t="shared" si="97"/>
        <v>13654</v>
      </c>
      <c r="CP64" s="108">
        <f t="shared" si="98"/>
        <v>1265.4000000000001</v>
      </c>
      <c r="CR64" s="82">
        <f t="shared" si="99"/>
        <v>12</v>
      </c>
      <c r="CS64" s="80">
        <f t="shared" si="100"/>
        <v>673.0333333333333</v>
      </c>
      <c r="CT64" s="80">
        <f t="shared" si="101"/>
        <v>1054.5</v>
      </c>
      <c r="CU64" s="80">
        <f t="shared" si="102"/>
        <v>105.45</v>
      </c>
      <c r="CW64" s="80">
        <f t="shared" si="103"/>
        <v>8076.4</v>
      </c>
      <c r="CX64" s="80">
        <f t="shared" si="104"/>
        <v>12654</v>
      </c>
      <c r="CY64" s="80">
        <f t="shared" si="105"/>
        <v>1265.4000000000001</v>
      </c>
    </row>
    <row r="65" spans="1:103" outlineLevel="1" x14ac:dyDescent="0.2"/>
    <row r="66" spans="1:103" x14ac:dyDescent="0.2">
      <c r="A66" s="120"/>
      <c r="B66" s="72" t="s">
        <v>1900</v>
      </c>
      <c r="C66" s="57" t="s">
        <v>1387</v>
      </c>
      <c r="D66" s="57" t="s">
        <v>1888</v>
      </c>
      <c r="E66" s="65" t="s">
        <v>1389</v>
      </c>
      <c r="F66" s="57" t="s">
        <v>1454</v>
      </c>
      <c r="G66" s="62" t="s">
        <v>1556</v>
      </c>
      <c r="H66" s="129" t="b">
        <v>0</v>
      </c>
      <c r="J66" s="123" t="s">
        <v>1866</v>
      </c>
      <c r="K66" s="123" t="s">
        <v>1866</v>
      </c>
      <c r="L66" s="123" t="s">
        <v>1866</v>
      </c>
      <c r="M66" s="137" t="b">
        <v>0</v>
      </c>
      <c r="Q66" s="128" t="b">
        <v>1</v>
      </c>
      <c r="R66" s="127" t="s">
        <v>1559</v>
      </c>
      <c r="S66" s="135" t="b">
        <v>1</v>
      </c>
      <c r="T66" s="126">
        <v>13</v>
      </c>
      <c r="U66" s="124">
        <v>1.4999999999999999E-2</v>
      </c>
      <c r="V66" s="126">
        <v>75</v>
      </c>
      <c r="W66" s="126">
        <v>-75</v>
      </c>
      <c r="X66" s="124">
        <v>50</v>
      </c>
      <c r="Y66" s="124">
        <v>5</v>
      </c>
      <c r="Z66" s="128" t="b">
        <v>1</v>
      </c>
      <c r="AA66" s="127" t="s">
        <v>1867</v>
      </c>
      <c r="AB66" s="133">
        <v>2</v>
      </c>
      <c r="AC66" s="137" t="b">
        <v>0</v>
      </c>
      <c r="AE66" s="137" t="b">
        <v>0</v>
      </c>
      <c r="AG66" s="135" t="b">
        <v>1</v>
      </c>
      <c r="AH66" s="125">
        <v>8</v>
      </c>
      <c r="AI66" s="125">
        <v>13</v>
      </c>
      <c r="AJ66" s="125">
        <v>21</v>
      </c>
      <c r="AK66" s="125">
        <v>55</v>
      </c>
      <c r="AL66" s="129" t="b">
        <v>0</v>
      </c>
      <c r="AM66" s="128" t="b">
        <v>1</v>
      </c>
      <c r="AN66" s="131" t="s">
        <v>1469</v>
      </c>
      <c r="AO66" s="141">
        <v>1.0000000000000001E-5</v>
      </c>
      <c r="AP66" s="128" t="b">
        <v>1</v>
      </c>
      <c r="AQ66" s="141">
        <v>1.0000000000000001E-5</v>
      </c>
      <c r="AR66" s="126">
        <v>5</v>
      </c>
      <c r="AS66" s="126">
        <v>8</v>
      </c>
      <c r="AT66" s="126">
        <v>5</v>
      </c>
      <c r="AU66" s="128" t="b">
        <v>1</v>
      </c>
      <c r="AV66" s="124">
        <v>3</v>
      </c>
      <c r="AW66" s="146">
        <v>5</v>
      </c>
      <c r="AX66" s="124">
        <v>1</v>
      </c>
      <c r="AY66" s="128" t="b">
        <v>1</v>
      </c>
      <c r="AZ66" s="122" t="s">
        <v>1586</v>
      </c>
      <c r="BA66" s="122">
        <v>4</v>
      </c>
      <c r="BB66" s="126">
        <v>0.05</v>
      </c>
      <c r="BC66" s="126">
        <v>0.5</v>
      </c>
      <c r="BD66" s="129" t="b">
        <v>0</v>
      </c>
      <c r="BE66" s="122" t="s">
        <v>1873</v>
      </c>
      <c r="BF66" s="128" t="b">
        <v>1</v>
      </c>
      <c r="BG66" s="122" t="s">
        <v>1578</v>
      </c>
      <c r="BH66" s="133">
        <v>0.02</v>
      </c>
      <c r="BI66" s="156" t="s">
        <v>403</v>
      </c>
      <c r="BJ66" s="128" t="b">
        <v>1</v>
      </c>
      <c r="BK66" s="161">
        <v>1.5</v>
      </c>
      <c r="BL66" s="129" t="b">
        <v>0</v>
      </c>
      <c r="BM66" s="156" t="s">
        <v>412</v>
      </c>
      <c r="BN66" s="128" t="b">
        <v>1</v>
      </c>
      <c r="BO66" s="156" t="s">
        <v>1382</v>
      </c>
      <c r="BP66" s="157">
        <v>1</v>
      </c>
      <c r="BQ66" s="157">
        <v>0.5</v>
      </c>
      <c r="BR66" s="166" t="str">
        <f t="shared" ref="BR66:BR73" si="110">AH66&amp;"/ "&amp;AI66&amp;"/ "&amp;AJ66&amp;"/ "&amp;AK66</f>
        <v>8/ 13/ 21/ 55</v>
      </c>
      <c r="BS66" s="166" t="str">
        <f t="shared" ref="BS66:BS73" si="111">AR66&amp;" / "&amp;AS66&amp;" / "&amp;AT66</f>
        <v>5 / 8 / 5</v>
      </c>
      <c r="BT66" s="166" t="str">
        <f t="shared" ref="BT66:BT73" si="112">BB66&amp;" / "&amp;BC66</f>
        <v>0.05 / 0.5</v>
      </c>
      <c r="BU66" s="66">
        <v>451</v>
      </c>
      <c r="BV66" s="66">
        <v>272</v>
      </c>
      <c r="BW66" s="66">
        <v>216</v>
      </c>
      <c r="BX66" s="99">
        <f t="shared" ref="BX66:BX73" si="113">BV66-BW66</f>
        <v>56</v>
      </c>
      <c r="BY66" s="66">
        <v>46</v>
      </c>
      <c r="BZ66" s="92">
        <f t="shared" ref="BZ66:BZ73" si="114">BU66-SUM(BW66:BY66)</f>
        <v>133</v>
      </c>
      <c r="CA66" s="204">
        <f>IF(BU66=0,0,BV66/BU66)</f>
        <v>0.60310421286031046</v>
      </c>
      <c r="CB66" s="205">
        <f>IF(BU66=0,0,BY66/BU66)</f>
        <v>0.10199556541019955</v>
      </c>
      <c r="CC66" s="87">
        <v>6.04</v>
      </c>
      <c r="CD66" s="87">
        <v>30.01</v>
      </c>
      <c r="CE66" s="87">
        <v>0.45</v>
      </c>
      <c r="CF66" s="170">
        <f t="shared" ref="CF66:CF73" si="115">BK66</f>
        <v>1.5</v>
      </c>
      <c r="CG66" s="87">
        <v>0.69</v>
      </c>
      <c r="CH66" s="87">
        <v>0.51</v>
      </c>
      <c r="CI66" s="93">
        <v>7896.5</v>
      </c>
      <c r="CJ66" s="87">
        <v>29.03</v>
      </c>
      <c r="CK66" s="87">
        <v>27.03</v>
      </c>
      <c r="CL66" s="87">
        <v>-3.96</v>
      </c>
      <c r="CM66" s="165">
        <v>1000</v>
      </c>
      <c r="CN66" s="93">
        <v>13534.93</v>
      </c>
      <c r="CO66" s="108">
        <f t="shared" ref="CO66:CO73" si="116">CM66+CN66</f>
        <v>14534.93</v>
      </c>
      <c r="CP66" s="108">
        <f t="shared" ref="CP66:CP73" si="117">CN66/10</f>
        <v>1353.4929999999999</v>
      </c>
      <c r="CR66" s="82">
        <f t="shared" ref="CR66:CR73" si="118">CR$4</f>
        <v>12</v>
      </c>
      <c r="CS66" s="80">
        <f t="shared" ref="CS66:CS73" si="119">CI66/CR66</f>
        <v>658.04166666666663</v>
      </c>
      <c r="CT66" s="80">
        <f t="shared" ref="CT66:CT73" si="120">CN66/CR66</f>
        <v>1127.9108333333334</v>
      </c>
      <c r="CU66" s="80">
        <f t="shared" ref="CU66:CU73" si="121">CT66/10</f>
        <v>112.79108333333333</v>
      </c>
      <c r="CW66" s="80">
        <f t="shared" ref="CW66:CW73" si="122">CI66</f>
        <v>7896.5</v>
      </c>
      <c r="CX66" s="80">
        <f t="shared" ref="CX66:CX73" si="123">CN66</f>
        <v>13534.93</v>
      </c>
      <c r="CY66" s="80">
        <f t="shared" ref="CY66:CY73" si="124">CP66</f>
        <v>1353.4929999999999</v>
      </c>
    </row>
    <row r="67" spans="1:103" outlineLevel="1" x14ac:dyDescent="0.2">
      <c r="A67" s="120"/>
      <c r="B67" s="72"/>
      <c r="C67" s="57" t="s">
        <v>1387</v>
      </c>
      <c r="D67" s="57" t="s">
        <v>1888</v>
      </c>
      <c r="E67" s="65" t="s">
        <v>1389</v>
      </c>
      <c r="F67" s="57" t="s">
        <v>1454</v>
      </c>
      <c r="G67" s="62" t="s">
        <v>1556</v>
      </c>
      <c r="H67" s="129" t="b">
        <v>0</v>
      </c>
      <c r="J67" s="123" t="s">
        <v>1866</v>
      </c>
      <c r="K67" s="123" t="s">
        <v>1866</v>
      </c>
      <c r="L67" s="123" t="s">
        <v>1866</v>
      </c>
      <c r="M67" s="137" t="b">
        <v>0</v>
      </c>
      <c r="Q67" s="128" t="b">
        <v>1</v>
      </c>
      <c r="R67" s="127" t="s">
        <v>1559</v>
      </c>
      <c r="S67" s="135" t="b">
        <v>1</v>
      </c>
      <c r="T67" s="126">
        <v>13</v>
      </c>
      <c r="U67" s="124">
        <v>1.4999999999999999E-2</v>
      </c>
      <c r="V67" s="126">
        <v>75</v>
      </c>
      <c r="W67" s="126">
        <v>-75</v>
      </c>
      <c r="X67" s="124">
        <v>50</v>
      </c>
      <c r="Y67" s="124">
        <v>5</v>
      </c>
      <c r="Z67" s="128" t="b">
        <v>1</v>
      </c>
      <c r="AA67" s="127" t="s">
        <v>1867</v>
      </c>
      <c r="AB67" s="133">
        <v>2</v>
      </c>
      <c r="AC67" s="137" t="b">
        <v>0</v>
      </c>
      <c r="AE67" s="137" t="b">
        <v>0</v>
      </c>
      <c r="AG67" s="135" t="b">
        <v>1</v>
      </c>
      <c r="AH67" s="125">
        <v>8</v>
      </c>
      <c r="AI67" s="125">
        <v>13</v>
      </c>
      <c r="AJ67" s="125">
        <v>21</v>
      </c>
      <c r="AK67" s="125">
        <v>55</v>
      </c>
      <c r="AL67" s="129" t="b">
        <v>0</v>
      </c>
      <c r="AM67" s="128" t="b">
        <v>1</v>
      </c>
      <c r="AN67" s="131" t="s">
        <v>1469</v>
      </c>
      <c r="AO67" s="141">
        <v>1.0000000000000001E-5</v>
      </c>
      <c r="AP67" s="128" t="b">
        <v>1</v>
      </c>
      <c r="AQ67" s="141">
        <v>1.0000000000000001E-5</v>
      </c>
      <c r="AR67" s="137">
        <v>5</v>
      </c>
      <c r="AS67" s="137">
        <v>13</v>
      </c>
      <c r="AT67" s="137">
        <v>5</v>
      </c>
      <c r="AU67" s="128" t="b">
        <v>1</v>
      </c>
      <c r="AV67" s="124">
        <v>3</v>
      </c>
      <c r="AW67" s="146">
        <v>5</v>
      </c>
      <c r="AX67" s="124">
        <v>1</v>
      </c>
      <c r="AY67" s="128" t="b">
        <v>1</v>
      </c>
      <c r="AZ67" s="122" t="s">
        <v>1586</v>
      </c>
      <c r="BA67" s="122">
        <v>4</v>
      </c>
      <c r="BB67" s="126">
        <v>0.05</v>
      </c>
      <c r="BC67" s="126">
        <v>0.5</v>
      </c>
      <c r="BD67" s="129" t="b">
        <v>0</v>
      </c>
      <c r="BE67" s="122" t="s">
        <v>1873</v>
      </c>
      <c r="BF67" s="128" t="b">
        <v>1</v>
      </c>
      <c r="BG67" s="122" t="s">
        <v>1578</v>
      </c>
      <c r="BH67" s="133">
        <v>0.02</v>
      </c>
      <c r="BI67" s="156" t="s">
        <v>403</v>
      </c>
      <c r="BJ67" s="128" t="b">
        <v>1</v>
      </c>
      <c r="BK67" s="161">
        <v>1.5</v>
      </c>
      <c r="BL67" s="129" t="b">
        <v>0</v>
      </c>
      <c r="BM67" s="156" t="s">
        <v>412</v>
      </c>
      <c r="BN67" s="128" t="b">
        <v>1</v>
      </c>
      <c r="BO67" s="156" t="s">
        <v>1382</v>
      </c>
      <c r="BP67" s="157">
        <v>1</v>
      </c>
      <c r="BQ67" s="157">
        <v>0.5</v>
      </c>
      <c r="BR67" s="166" t="str">
        <f t="shared" si="110"/>
        <v>8/ 13/ 21/ 55</v>
      </c>
      <c r="BS67" s="166" t="str">
        <f t="shared" si="111"/>
        <v>5 / 13 / 5</v>
      </c>
      <c r="BT67" s="166" t="str">
        <f t="shared" si="112"/>
        <v>0.05 / 0.5</v>
      </c>
      <c r="BU67" s="66">
        <v>465</v>
      </c>
      <c r="BV67" s="66">
        <v>275</v>
      </c>
      <c r="BW67" s="66">
        <v>219</v>
      </c>
      <c r="BX67" s="99">
        <f t="shared" si="113"/>
        <v>56</v>
      </c>
      <c r="BY67" s="66">
        <v>55</v>
      </c>
      <c r="BZ67" s="92">
        <f t="shared" si="114"/>
        <v>135</v>
      </c>
      <c r="CA67" s="204">
        <f t="shared" ref="CA67:CA73" si="125">IF(BU67=0,0,BV67/BU67)</f>
        <v>0.59139784946236562</v>
      </c>
      <c r="CB67" s="205">
        <f t="shared" ref="CB67:CB73" si="126">IF(BU67=0,0,BY67/BU67)</f>
        <v>0.11827956989247312</v>
      </c>
      <c r="CC67" s="87">
        <v>4.92</v>
      </c>
      <c r="CD67" s="87">
        <v>28.11</v>
      </c>
      <c r="CE67" s="87">
        <v>0.42</v>
      </c>
      <c r="CF67" s="170">
        <f t="shared" si="115"/>
        <v>1.5</v>
      </c>
      <c r="CG67" s="87">
        <v>0.7</v>
      </c>
      <c r="CH67" s="87">
        <v>0.52</v>
      </c>
      <c r="CI67" s="93">
        <v>8022.2</v>
      </c>
      <c r="CJ67" s="87">
        <v>29.17</v>
      </c>
      <c r="CK67" s="87">
        <v>26.92</v>
      </c>
      <c r="CL67" s="87">
        <v>-3.96</v>
      </c>
      <c r="CM67" s="165">
        <v>1000</v>
      </c>
      <c r="CN67" s="93">
        <v>13072.76</v>
      </c>
      <c r="CO67" s="108">
        <f t="shared" si="116"/>
        <v>14072.76</v>
      </c>
      <c r="CP67" s="108">
        <f t="shared" si="117"/>
        <v>1307.2760000000001</v>
      </c>
      <c r="CR67" s="82">
        <f t="shared" si="118"/>
        <v>12</v>
      </c>
      <c r="CS67" s="80">
        <f t="shared" si="119"/>
        <v>668.51666666666665</v>
      </c>
      <c r="CT67" s="80">
        <f t="shared" si="120"/>
        <v>1089.3966666666668</v>
      </c>
      <c r="CU67" s="80">
        <f t="shared" si="121"/>
        <v>108.93966666666668</v>
      </c>
      <c r="CW67" s="80">
        <f t="shared" si="122"/>
        <v>8022.2</v>
      </c>
      <c r="CX67" s="80">
        <f t="shared" si="123"/>
        <v>13072.76</v>
      </c>
      <c r="CY67" s="80">
        <f t="shared" si="124"/>
        <v>1307.2760000000001</v>
      </c>
    </row>
    <row r="68" spans="1:103" outlineLevel="1" x14ac:dyDescent="0.2">
      <c r="A68" s="120"/>
      <c r="B68" s="72"/>
      <c r="C68" s="57" t="s">
        <v>1387</v>
      </c>
      <c r="D68" s="57" t="s">
        <v>1888</v>
      </c>
      <c r="E68" s="65" t="s">
        <v>1389</v>
      </c>
      <c r="F68" s="57" t="s">
        <v>1454</v>
      </c>
      <c r="G68" s="62" t="s">
        <v>1556</v>
      </c>
      <c r="H68" s="129" t="b">
        <v>0</v>
      </c>
      <c r="J68" s="123" t="s">
        <v>1866</v>
      </c>
      <c r="K68" s="123" t="s">
        <v>1866</v>
      </c>
      <c r="L68" s="123" t="s">
        <v>1866</v>
      </c>
      <c r="M68" s="137" t="b">
        <v>0</v>
      </c>
      <c r="Q68" s="128" t="b">
        <v>1</v>
      </c>
      <c r="R68" s="127" t="s">
        <v>1559</v>
      </c>
      <c r="S68" s="135" t="b">
        <v>1</v>
      </c>
      <c r="T68" s="126">
        <v>13</v>
      </c>
      <c r="U68" s="124">
        <v>1.4999999999999999E-2</v>
      </c>
      <c r="V68" s="126">
        <v>75</v>
      </c>
      <c r="W68" s="126">
        <v>-75</v>
      </c>
      <c r="X68" s="124">
        <v>50</v>
      </c>
      <c r="Y68" s="124">
        <v>5</v>
      </c>
      <c r="Z68" s="128" t="b">
        <v>1</v>
      </c>
      <c r="AA68" s="127" t="s">
        <v>1867</v>
      </c>
      <c r="AB68" s="133">
        <v>2</v>
      </c>
      <c r="AC68" s="137" t="b">
        <v>0</v>
      </c>
      <c r="AE68" s="137" t="b">
        <v>0</v>
      </c>
      <c r="AG68" s="135" t="b">
        <v>1</v>
      </c>
      <c r="AH68" s="125">
        <v>8</v>
      </c>
      <c r="AI68" s="125">
        <v>13</v>
      </c>
      <c r="AJ68" s="125">
        <v>21</v>
      </c>
      <c r="AK68" s="125">
        <v>55</v>
      </c>
      <c r="AL68" s="129" t="b">
        <v>0</v>
      </c>
      <c r="AM68" s="128" t="b">
        <v>1</v>
      </c>
      <c r="AN68" s="131" t="s">
        <v>1469</v>
      </c>
      <c r="AO68" s="141">
        <v>1.0000000000000001E-5</v>
      </c>
      <c r="AP68" s="128" t="b">
        <v>1</v>
      </c>
      <c r="AQ68" s="141">
        <v>1.0000000000000001E-5</v>
      </c>
      <c r="AR68" s="137">
        <v>5</v>
      </c>
      <c r="AS68" s="137">
        <v>13</v>
      </c>
      <c r="AT68" s="137">
        <v>8</v>
      </c>
      <c r="AU68" s="128" t="b">
        <v>1</v>
      </c>
      <c r="AV68" s="124">
        <v>3</v>
      </c>
      <c r="AW68" s="146">
        <v>5</v>
      </c>
      <c r="AX68" s="124">
        <v>1</v>
      </c>
      <c r="AY68" s="128" t="b">
        <v>1</v>
      </c>
      <c r="AZ68" s="122" t="s">
        <v>1586</v>
      </c>
      <c r="BA68" s="122">
        <v>4</v>
      </c>
      <c r="BB68" s="126">
        <v>0.05</v>
      </c>
      <c r="BC68" s="126">
        <v>0.5</v>
      </c>
      <c r="BD68" s="129" t="b">
        <v>0</v>
      </c>
      <c r="BE68" s="122" t="s">
        <v>1873</v>
      </c>
      <c r="BF68" s="128" t="b">
        <v>1</v>
      </c>
      <c r="BG68" s="122" t="s">
        <v>1578</v>
      </c>
      <c r="BH68" s="133">
        <v>0.02</v>
      </c>
      <c r="BI68" s="156" t="s">
        <v>403</v>
      </c>
      <c r="BJ68" s="128" t="b">
        <v>1</v>
      </c>
      <c r="BK68" s="161">
        <v>1.5</v>
      </c>
      <c r="BL68" s="129" t="b">
        <v>0</v>
      </c>
      <c r="BM68" s="156" t="s">
        <v>412</v>
      </c>
      <c r="BN68" s="128" t="b">
        <v>1</v>
      </c>
      <c r="BO68" s="156" t="s">
        <v>1382</v>
      </c>
      <c r="BP68" s="157">
        <v>1</v>
      </c>
      <c r="BQ68" s="157">
        <v>0.5</v>
      </c>
      <c r="BR68" s="166" t="str">
        <f t="shared" ref="BR68" si="127">AH68&amp;"/ "&amp;AI68&amp;"/ "&amp;AJ68&amp;"/ "&amp;AK68</f>
        <v>8/ 13/ 21/ 55</v>
      </c>
      <c r="BS68" s="166" t="str">
        <f t="shared" si="111"/>
        <v>5 / 13 / 8</v>
      </c>
      <c r="BT68" s="166" t="str">
        <f t="shared" si="112"/>
        <v>0.05 / 0.5</v>
      </c>
      <c r="BU68" s="66">
        <v>464</v>
      </c>
      <c r="BV68" s="66">
        <v>278</v>
      </c>
      <c r="BW68" s="66">
        <v>220</v>
      </c>
      <c r="BX68" s="99">
        <f t="shared" si="113"/>
        <v>58</v>
      </c>
      <c r="BY68" s="66">
        <v>55</v>
      </c>
      <c r="BZ68" s="92">
        <f t="shared" si="114"/>
        <v>131</v>
      </c>
      <c r="CA68" s="204">
        <f t="shared" si="125"/>
        <v>0.59913793103448276</v>
      </c>
      <c r="CB68" s="205">
        <f t="shared" ref="CB68" si="128">IF(BU68=0,0,BY68/BU68)</f>
        <v>0.11853448275862069</v>
      </c>
      <c r="CC68" s="87">
        <v>5</v>
      </c>
      <c r="CD68" s="87">
        <v>28.88</v>
      </c>
      <c r="CE68" s="87">
        <v>0.42</v>
      </c>
      <c r="CF68" s="170">
        <f t="shared" si="115"/>
        <v>1.5</v>
      </c>
      <c r="CG68" s="87">
        <v>0.7</v>
      </c>
      <c r="CH68" s="87">
        <v>0.51</v>
      </c>
      <c r="CI68" s="93">
        <v>8134.9</v>
      </c>
      <c r="CJ68" s="87">
        <v>29.26</v>
      </c>
      <c r="CK68" s="87">
        <v>27.42</v>
      </c>
      <c r="CL68" s="87">
        <v>-3.96</v>
      </c>
      <c r="CM68" s="165">
        <v>1000</v>
      </c>
      <c r="CN68" s="93">
        <v>13402.04</v>
      </c>
      <c r="CO68" s="108">
        <f t="shared" si="116"/>
        <v>14402.04</v>
      </c>
      <c r="CP68" s="108">
        <f t="shared" si="117"/>
        <v>1340.2040000000002</v>
      </c>
      <c r="CR68" s="82">
        <f t="shared" si="118"/>
        <v>12</v>
      </c>
      <c r="CS68" s="80">
        <f t="shared" si="119"/>
        <v>677.9083333333333</v>
      </c>
      <c r="CT68" s="80">
        <f t="shared" si="120"/>
        <v>1116.8366666666668</v>
      </c>
      <c r="CU68" s="80">
        <f t="shared" si="121"/>
        <v>111.68366666666668</v>
      </c>
      <c r="CW68" s="80">
        <f t="shared" si="122"/>
        <v>8134.9</v>
      </c>
      <c r="CX68" s="80">
        <f t="shared" si="123"/>
        <v>13402.04</v>
      </c>
      <c r="CY68" s="80">
        <f t="shared" si="124"/>
        <v>1340.2040000000002</v>
      </c>
    </row>
    <row r="69" spans="1:103" outlineLevel="1" x14ac:dyDescent="0.2">
      <c r="A69" s="120"/>
      <c r="B69" s="72"/>
      <c r="C69" s="57" t="s">
        <v>1387</v>
      </c>
      <c r="D69" s="57" t="s">
        <v>1888</v>
      </c>
      <c r="E69" s="65" t="s">
        <v>1389</v>
      </c>
      <c r="F69" s="57" t="s">
        <v>1454</v>
      </c>
      <c r="G69" s="62" t="s">
        <v>1556</v>
      </c>
      <c r="H69" s="129" t="b">
        <v>0</v>
      </c>
      <c r="J69" s="123" t="s">
        <v>1866</v>
      </c>
      <c r="K69" s="123" t="s">
        <v>1866</v>
      </c>
      <c r="L69" s="123" t="s">
        <v>1866</v>
      </c>
      <c r="M69" s="137" t="b">
        <v>0</v>
      </c>
      <c r="Q69" s="128" t="b">
        <v>1</v>
      </c>
      <c r="R69" s="127" t="s">
        <v>1559</v>
      </c>
      <c r="S69" s="135" t="b">
        <v>1</v>
      </c>
      <c r="T69" s="126">
        <v>13</v>
      </c>
      <c r="U69" s="124">
        <v>1.4999999999999999E-2</v>
      </c>
      <c r="V69" s="126">
        <v>75</v>
      </c>
      <c r="W69" s="126">
        <v>-75</v>
      </c>
      <c r="X69" s="124">
        <v>50</v>
      </c>
      <c r="Y69" s="124">
        <v>5</v>
      </c>
      <c r="Z69" s="128" t="b">
        <v>1</v>
      </c>
      <c r="AA69" s="127" t="s">
        <v>1867</v>
      </c>
      <c r="AB69" s="133">
        <v>2</v>
      </c>
      <c r="AC69" s="137" t="b">
        <v>0</v>
      </c>
      <c r="AE69" s="137" t="b">
        <v>0</v>
      </c>
      <c r="AG69" s="135" t="b">
        <v>1</v>
      </c>
      <c r="AH69" s="125">
        <v>8</v>
      </c>
      <c r="AI69" s="125">
        <v>13</v>
      </c>
      <c r="AJ69" s="125">
        <v>21</v>
      </c>
      <c r="AK69" s="125">
        <v>55</v>
      </c>
      <c r="AL69" s="129" t="b">
        <v>0</v>
      </c>
      <c r="AM69" s="128" t="b">
        <v>1</v>
      </c>
      <c r="AN69" s="131" t="s">
        <v>1469</v>
      </c>
      <c r="AO69" s="141">
        <v>1.0000000000000001E-5</v>
      </c>
      <c r="AP69" s="128" t="b">
        <v>1</v>
      </c>
      <c r="AQ69" s="141">
        <v>1.0000000000000001E-5</v>
      </c>
      <c r="AR69" s="149">
        <v>8</v>
      </c>
      <c r="AS69" s="149">
        <v>13</v>
      </c>
      <c r="AT69" s="149">
        <v>8</v>
      </c>
      <c r="AU69" s="128" t="b">
        <v>1</v>
      </c>
      <c r="AV69" s="124">
        <v>3</v>
      </c>
      <c r="AW69" s="146">
        <v>5</v>
      </c>
      <c r="AX69" s="124">
        <v>1</v>
      </c>
      <c r="AY69" s="128" t="b">
        <v>1</v>
      </c>
      <c r="AZ69" s="122" t="s">
        <v>1586</v>
      </c>
      <c r="BA69" s="122">
        <v>4</v>
      </c>
      <c r="BB69" s="126">
        <v>0.05</v>
      </c>
      <c r="BC69" s="126">
        <v>0.5</v>
      </c>
      <c r="BD69" s="129" t="b">
        <v>0</v>
      </c>
      <c r="BE69" s="122" t="s">
        <v>1873</v>
      </c>
      <c r="BF69" s="128" t="b">
        <v>1</v>
      </c>
      <c r="BG69" s="122" t="s">
        <v>1578</v>
      </c>
      <c r="BH69" s="133">
        <v>0.02</v>
      </c>
      <c r="BI69" s="156" t="s">
        <v>403</v>
      </c>
      <c r="BJ69" s="128" t="b">
        <v>1</v>
      </c>
      <c r="BK69" s="161">
        <v>1.5</v>
      </c>
      <c r="BL69" s="129" t="b">
        <v>0</v>
      </c>
      <c r="BM69" s="156" t="s">
        <v>412</v>
      </c>
      <c r="BN69" s="128" t="b">
        <v>1</v>
      </c>
      <c r="BO69" s="156" t="s">
        <v>1382</v>
      </c>
      <c r="BP69" s="157">
        <v>1</v>
      </c>
      <c r="BQ69" s="157">
        <v>0.5</v>
      </c>
      <c r="BR69" s="166" t="str">
        <f t="shared" si="110"/>
        <v>8/ 13/ 21/ 55</v>
      </c>
      <c r="BS69" s="166" t="str">
        <f t="shared" si="111"/>
        <v>8 / 13 / 8</v>
      </c>
      <c r="BT69" s="166" t="str">
        <f t="shared" si="112"/>
        <v>0.05 / 0.5</v>
      </c>
      <c r="BU69" s="66">
        <v>455</v>
      </c>
      <c r="BV69" s="66">
        <v>273</v>
      </c>
      <c r="BW69" s="66">
        <v>216</v>
      </c>
      <c r="BX69" s="99">
        <f t="shared" si="113"/>
        <v>57</v>
      </c>
      <c r="BY69" s="66">
        <v>53</v>
      </c>
      <c r="BZ69" s="92">
        <f t="shared" si="114"/>
        <v>129</v>
      </c>
      <c r="CA69" s="204">
        <f t="shared" si="125"/>
        <v>0.6</v>
      </c>
      <c r="CB69" s="205">
        <f t="shared" si="126"/>
        <v>0.11648351648351649</v>
      </c>
      <c r="CC69" s="87">
        <v>5.19</v>
      </c>
      <c r="CD69" s="87">
        <v>29.47</v>
      </c>
      <c r="CE69" s="87">
        <v>0.43</v>
      </c>
      <c r="CF69" s="170">
        <f t="shared" si="115"/>
        <v>1.5</v>
      </c>
      <c r="CG69" s="87">
        <v>0.7</v>
      </c>
      <c r="CH69" s="87">
        <v>0.52</v>
      </c>
      <c r="CI69" s="93">
        <v>8015.5</v>
      </c>
      <c r="CJ69" s="87">
        <v>29.36</v>
      </c>
      <c r="CK69" s="87">
        <v>27.1</v>
      </c>
      <c r="CL69" s="87">
        <v>-3.96</v>
      </c>
      <c r="CM69" s="165">
        <v>1000</v>
      </c>
      <c r="CN69" s="93">
        <v>13410.27</v>
      </c>
      <c r="CO69" s="108">
        <f t="shared" si="116"/>
        <v>14410.27</v>
      </c>
      <c r="CP69" s="108">
        <f t="shared" si="117"/>
        <v>1341.027</v>
      </c>
      <c r="CR69" s="82">
        <f t="shared" si="118"/>
        <v>12</v>
      </c>
      <c r="CS69" s="80">
        <f t="shared" si="119"/>
        <v>667.95833333333337</v>
      </c>
      <c r="CT69" s="80">
        <f t="shared" si="120"/>
        <v>1117.5225</v>
      </c>
      <c r="CU69" s="80">
        <f t="shared" si="121"/>
        <v>111.75225</v>
      </c>
      <c r="CW69" s="80">
        <f t="shared" si="122"/>
        <v>8015.5</v>
      </c>
      <c r="CX69" s="80">
        <f t="shared" si="123"/>
        <v>13410.27</v>
      </c>
      <c r="CY69" s="80">
        <f t="shared" si="124"/>
        <v>1341.027</v>
      </c>
    </row>
    <row r="70" spans="1:103" outlineLevel="1" x14ac:dyDescent="0.2">
      <c r="A70" s="120"/>
      <c r="B70" s="72"/>
      <c r="C70" s="57" t="s">
        <v>1387</v>
      </c>
      <c r="D70" s="57" t="s">
        <v>1888</v>
      </c>
      <c r="E70" s="65" t="s">
        <v>1389</v>
      </c>
      <c r="F70" s="57" t="s">
        <v>1454</v>
      </c>
      <c r="G70" s="62" t="s">
        <v>1556</v>
      </c>
      <c r="H70" s="129" t="b">
        <v>0</v>
      </c>
      <c r="J70" s="123" t="s">
        <v>1866</v>
      </c>
      <c r="K70" s="123" t="s">
        <v>1866</v>
      </c>
      <c r="L70" s="123" t="s">
        <v>1866</v>
      </c>
      <c r="M70" s="137" t="b">
        <v>0</v>
      </c>
      <c r="Q70" s="128" t="b">
        <v>1</v>
      </c>
      <c r="R70" s="127" t="s">
        <v>1559</v>
      </c>
      <c r="S70" s="135" t="b">
        <v>1</v>
      </c>
      <c r="T70" s="126">
        <v>13</v>
      </c>
      <c r="U70" s="124">
        <v>1.4999999999999999E-2</v>
      </c>
      <c r="V70" s="126">
        <v>75</v>
      </c>
      <c r="W70" s="126">
        <v>-75</v>
      </c>
      <c r="X70" s="124">
        <v>50</v>
      </c>
      <c r="Y70" s="124">
        <v>5</v>
      </c>
      <c r="Z70" s="128" t="b">
        <v>1</v>
      </c>
      <c r="AA70" s="127" t="s">
        <v>1867</v>
      </c>
      <c r="AB70" s="133">
        <v>2</v>
      </c>
      <c r="AC70" s="137" t="b">
        <v>0</v>
      </c>
      <c r="AE70" s="137" t="b">
        <v>0</v>
      </c>
      <c r="AG70" s="135" t="b">
        <v>1</v>
      </c>
      <c r="AH70" s="125">
        <v>8</v>
      </c>
      <c r="AI70" s="125">
        <v>13</v>
      </c>
      <c r="AJ70" s="125">
        <v>21</v>
      </c>
      <c r="AK70" s="125">
        <v>55</v>
      </c>
      <c r="AL70" s="129" t="b">
        <v>0</v>
      </c>
      <c r="AM70" s="128" t="b">
        <v>1</v>
      </c>
      <c r="AN70" s="131" t="s">
        <v>1469</v>
      </c>
      <c r="AO70" s="141">
        <v>1.0000000000000001E-5</v>
      </c>
      <c r="AP70" s="128" t="b">
        <v>1</v>
      </c>
      <c r="AQ70" s="141">
        <v>1.0000000000000001E-5</v>
      </c>
      <c r="AR70" s="149">
        <v>8</v>
      </c>
      <c r="AS70" s="149">
        <v>13</v>
      </c>
      <c r="AT70" s="149">
        <v>11</v>
      </c>
      <c r="AU70" s="128" t="b">
        <v>1</v>
      </c>
      <c r="AV70" s="124">
        <v>3</v>
      </c>
      <c r="AW70" s="146">
        <v>5</v>
      </c>
      <c r="AX70" s="124">
        <v>1</v>
      </c>
      <c r="AY70" s="128" t="b">
        <v>1</v>
      </c>
      <c r="AZ70" s="122" t="s">
        <v>1586</v>
      </c>
      <c r="BA70" s="122">
        <v>4</v>
      </c>
      <c r="BB70" s="126">
        <v>0.05</v>
      </c>
      <c r="BC70" s="126">
        <v>0.5</v>
      </c>
      <c r="BD70" s="129" t="b">
        <v>0</v>
      </c>
      <c r="BE70" s="122" t="s">
        <v>1873</v>
      </c>
      <c r="BF70" s="128" t="b">
        <v>1</v>
      </c>
      <c r="BG70" s="122" t="s">
        <v>1578</v>
      </c>
      <c r="BH70" s="133">
        <v>0.02</v>
      </c>
      <c r="BI70" s="156" t="s">
        <v>403</v>
      </c>
      <c r="BJ70" s="128" t="b">
        <v>1</v>
      </c>
      <c r="BK70" s="161">
        <v>1.5</v>
      </c>
      <c r="BL70" s="129" t="b">
        <v>0</v>
      </c>
      <c r="BM70" s="156" t="s">
        <v>412</v>
      </c>
      <c r="BN70" s="128" t="b">
        <v>1</v>
      </c>
      <c r="BO70" s="156" t="s">
        <v>1382</v>
      </c>
      <c r="BP70" s="157">
        <v>1</v>
      </c>
      <c r="BQ70" s="157">
        <v>0.5</v>
      </c>
      <c r="BR70" s="166" t="str">
        <f t="shared" si="110"/>
        <v>8/ 13/ 21/ 55</v>
      </c>
      <c r="BS70" s="166" t="str">
        <f t="shared" si="111"/>
        <v>8 / 13 / 11</v>
      </c>
      <c r="BT70" s="166" t="str">
        <f t="shared" si="112"/>
        <v>0.05 / 0.5</v>
      </c>
      <c r="BU70" s="66">
        <v>450</v>
      </c>
      <c r="BV70" s="66">
        <v>272</v>
      </c>
      <c r="BW70" s="66">
        <v>217</v>
      </c>
      <c r="BX70" s="99">
        <f t="shared" si="113"/>
        <v>55</v>
      </c>
      <c r="BY70" s="66">
        <v>53</v>
      </c>
      <c r="BZ70" s="92">
        <f t="shared" si="114"/>
        <v>125</v>
      </c>
      <c r="CA70" s="204">
        <f t="shared" si="125"/>
        <v>0.60444444444444445</v>
      </c>
      <c r="CB70" s="205">
        <f t="shared" si="126"/>
        <v>0.11777777777777777</v>
      </c>
      <c r="CC70" s="87">
        <v>5.15</v>
      </c>
      <c r="CD70" s="87">
        <v>29.1</v>
      </c>
      <c r="CE70" s="87">
        <v>0.43</v>
      </c>
      <c r="CF70" s="170">
        <f t="shared" si="115"/>
        <v>1.5</v>
      </c>
      <c r="CG70" s="87">
        <v>0.69</v>
      </c>
      <c r="CH70" s="87">
        <v>0.52</v>
      </c>
      <c r="CI70" s="93">
        <v>7937.9</v>
      </c>
      <c r="CJ70" s="87">
        <v>29.18</v>
      </c>
      <c r="CK70" s="87">
        <v>27.2</v>
      </c>
      <c r="CL70" s="87">
        <v>-4.3</v>
      </c>
      <c r="CM70" s="165">
        <v>1000</v>
      </c>
      <c r="CN70" s="93">
        <v>13094.83</v>
      </c>
      <c r="CO70" s="108">
        <f t="shared" si="116"/>
        <v>14094.83</v>
      </c>
      <c r="CP70" s="108">
        <f t="shared" si="117"/>
        <v>1309.4829999999999</v>
      </c>
      <c r="CR70" s="82">
        <f t="shared" si="118"/>
        <v>12</v>
      </c>
      <c r="CS70" s="80">
        <f t="shared" si="119"/>
        <v>661.49166666666667</v>
      </c>
      <c r="CT70" s="80">
        <f t="shared" si="120"/>
        <v>1091.2358333333334</v>
      </c>
      <c r="CU70" s="80">
        <f t="shared" si="121"/>
        <v>109.12358333333334</v>
      </c>
      <c r="CW70" s="80">
        <f t="shared" si="122"/>
        <v>7937.9</v>
      </c>
      <c r="CX70" s="80">
        <f t="shared" si="123"/>
        <v>13094.83</v>
      </c>
      <c r="CY70" s="80">
        <f t="shared" si="124"/>
        <v>1309.4829999999999</v>
      </c>
    </row>
    <row r="71" spans="1:103" outlineLevel="1" x14ac:dyDescent="0.2">
      <c r="A71" s="120"/>
      <c r="B71" s="72"/>
      <c r="C71" s="57" t="s">
        <v>1387</v>
      </c>
      <c r="D71" s="57" t="s">
        <v>1888</v>
      </c>
      <c r="E71" s="65" t="s">
        <v>1389</v>
      </c>
      <c r="F71" s="57" t="s">
        <v>1454</v>
      </c>
      <c r="G71" s="62" t="s">
        <v>1556</v>
      </c>
      <c r="H71" s="129" t="b">
        <v>0</v>
      </c>
      <c r="J71" s="123" t="s">
        <v>1866</v>
      </c>
      <c r="K71" s="123" t="s">
        <v>1866</v>
      </c>
      <c r="L71" s="123" t="s">
        <v>1866</v>
      </c>
      <c r="M71" s="137" t="b">
        <v>0</v>
      </c>
      <c r="Q71" s="128" t="b">
        <v>1</v>
      </c>
      <c r="R71" s="127" t="s">
        <v>1559</v>
      </c>
      <c r="S71" s="135" t="b">
        <v>1</v>
      </c>
      <c r="T71" s="126">
        <v>13</v>
      </c>
      <c r="U71" s="124">
        <v>1.4999999999999999E-2</v>
      </c>
      <c r="V71" s="126">
        <v>75</v>
      </c>
      <c r="W71" s="126">
        <v>-75</v>
      </c>
      <c r="X71" s="124">
        <v>50</v>
      </c>
      <c r="Y71" s="124">
        <v>5</v>
      </c>
      <c r="Z71" s="128" t="b">
        <v>1</v>
      </c>
      <c r="AA71" s="127" t="s">
        <v>1867</v>
      </c>
      <c r="AB71" s="133">
        <v>2</v>
      </c>
      <c r="AC71" s="137" t="b">
        <v>0</v>
      </c>
      <c r="AE71" s="137" t="b">
        <v>0</v>
      </c>
      <c r="AG71" s="135" t="b">
        <v>1</v>
      </c>
      <c r="AH71" s="125">
        <v>8</v>
      </c>
      <c r="AI71" s="125">
        <v>13</v>
      </c>
      <c r="AJ71" s="125">
        <v>21</v>
      </c>
      <c r="AK71" s="125">
        <v>55</v>
      </c>
      <c r="AL71" s="129" t="b">
        <v>0</v>
      </c>
      <c r="AM71" s="128" t="b">
        <v>1</v>
      </c>
      <c r="AN71" s="131" t="s">
        <v>1469</v>
      </c>
      <c r="AO71" s="141">
        <v>1.0000000000000001E-5</v>
      </c>
      <c r="AP71" s="128" t="b">
        <v>1</v>
      </c>
      <c r="AQ71" s="141">
        <v>1.0000000000000001E-5</v>
      </c>
      <c r="AR71" s="150">
        <v>8</v>
      </c>
      <c r="AS71" s="150">
        <v>17</v>
      </c>
      <c r="AT71" s="150">
        <v>9</v>
      </c>
      <c r="AU71" s="128" t="b">
        <v>1</v>
      </c>
      <c r="AV71" s="124">
        <v>3</v>
      </c>
      <c r="AW71" s="146">
        <v>5</v>
      </c>
      <c r="AX71" s="124">
        <v>1</v>
      </c>
      <c r="AY71" s="128" t="b">
        <v>1</v>
      </c>
      <c r="AZ71" s="122" t="s">
        <v>1586</v>
      </c>
      <c r="BA71" s="122">
        <v>4</v>
      </c>
      <c r="BB71" s="126">
        <v>0.05</v>
      </c>
      <c r="BC71" s="126">
        <v>0.5</v>
      </c>
      <c r="BD71" s="129" t="b">
        <v>0</v>
      </c>
      <c r="BE71" s="122" t="s">
        <v>1873</v>
      </c>
      <c r="BF71" s="128" t="b">
        <v>1</v>
      </c>
      <c r="BG71" s="122" t="s">
        <v>1578</v>
      </c>
      <c r="BH71" s="133">
        <v>0.02</v>
      </c>
      <c r="BI71" s="156" t="s">
        <v>403</v>
      </c>
      <c r="BJ71" s="128" t="b">
        <v>1</v>
      </c>
      <c r="BK71" s="161">
        <v>1.5</v>
      </c>
      <c r="BL71" s="129" t="b">
        <v>0</v>
      </c>
      <c r="BM71" s="156" t="s">
        <v>412</v>
      </c>
      <c r="BN71" s="128" t="b">
        <v>1</v>
      </c>
      <c r="BO71" s="156" t="s">
        <v>1382</v>
      </c>
      <c r="BP71" s="157">
        <v>1</v>
      </c>
      <c r="BQ71" s="157">
        <v>0.5</v>
      </c>
      <c r="BR71" s="166" t="str">
        <f t="shared" si="110"/>
        <v>8/ 13/ 21/ 55</v>
      </c>
      <c r="BS71" s="166" t="str">
        <f t="shared" si="111"/>
        <v>8 / 17 / 9</v>
      </c>
      <c r="BT71" s="166" t="str">
        <f t="shared" si="112"/>
        <v>0.05 / 0.5</v>
      </c>
      <c r="BU71" s="66">
        <v>450</v>
      </c>
      <c r="BV71" s="66">
        <v>274</v>
      </c>
      <c r="BW71" s="66">
        <v>220</v>
      </c>
      <c r="BX71" s="99">
        <f t="shared" si="113"/>
        <v>54</v>
      </c>
      <c r="BY71" s="66">
        <v>52</v>
      </c>
      <c r="BZ71" s="92">
        <f t="shared" si="114"/>
        <v>124</v>
      </c>
      <c r="CA71" s="204">
        <f t="shared" si="125"/>
        <v>0.60888888888888892</v>
      </c>
      <c r="CB71" s="205">
        <f t="shared" si="126"/>
        <v>0.11555555555555555</v>
      </c>
      <c r="CC71" s="87">
        <v>5.36</v>
      </c>
      <c r="CD71" s="87">
        <v>29.51</v>
      </c>
      <c r="CE71" s="87">
        <v>0.44</v>
      </c>
      <c r="CF71" s="170">
        <f t="shared" si="115"/>
        <v>1.5</v>
      </c>
      <c r="CG71" s="87">
        <v>0.69</v>
      </c>
      <c r="CH71" s="87">
        <v>0.51</v>
      </c>
      <c r="CI71" s="93">
        <v>7919.1</v>
      </c>
      <c r="CJ71" s="87">
        <v>28.9</v>
      </c>
      <c r="CK71" s="87">
        <v>27.01</v>
      </c>
      <c r="CL71" s="87">
        <v>-4.3</v>
      </c>
      <c r="CM71" s="165">
        <v>1000</v>
      </c>
      <c r="CN71" s="93">
        <v>13279.75</v>
      </c>
      <c r="CO71" s="108">
        <f t="shared" si="116"/>
        <v>14279.75</v>
      </c>
      <c r="CP71" s="108">
        <f t="shared" si="117"/>
        <v>1327.9749999999999</v>
      </c>
      <c r="CR71" s="82">
        <f t="shared" si="118"/>
        <v>12</v>
      </c>
      <c r="CS71" s="80">
        <f t="shared" si="119"/>
        <v>659.92500000000007</v>
      </c>
      <c r="CT71" s="80">
        <f t="shared" si="120"/>
        <v>1106.6458333333333</v>
      </c>
      <c r="CU71" s="80">
        <f t="shared" si="121"/>
        <v>110.66458333333333</v>
      </c>
      <c r="CW71" s="80">
        <f t="shared" si="122"/>
        <v>7919.1</v>
      </c>
      <c r="CX71" s="80">
        <f t="shared" si="123"/>
        <v>13279.75</v>
      </c>
      <c r="CY71" s="80">
        <f t="shared" si="124"/>
        <v>1327.9749999999999</v>
      </c>
    </row>
    <row r="72" spans="1:103" outlineLevel="1" x14ac:dyDescent="0.2">
      <c r="A72" s="120"/>
      <c r="B72" s="72"/>
      <c r="C72" s="57" t="s">
        <v>1387</v>
      </c>
      <c r="D72" s="57" t="s">
        <v>1888</v>
      </c>
      <c r="E72" s="65" t="s">
        <v>1389</v>
      </c>
      <c r="F72" s="57" t="s">
        <v>1454</v>
      </c>
      <c r="G72" s="62" t="s">
        <v>1556</v>
      </c>
      <c r="H72" s="129" t="b">
        <v>0</v>
      </c>
      <c r="J72" s="123" t="s">
        <v>1866</v>
      </c>
      <c r="K72" s="123" t="s">
        <v>1866</v>
      </c>
      <c r="L72" s="123" t="s">
        <v>1866</v>
      </c>
      <c r="M72" s="137" t="b">
        <v>0</v>
      </c>
      <c r="Q72" s="128" t="b">
        <v>1</v>
      </c>
      <c r="R72" s="127" t="s">
        <v>1559</v>
      </c>
      <c r="S72" s="135" t="b">
        <v>1</v>
      </c>
      <c r="T72" s="126">
        <v>13</v>
      </c>
      <c r="U72" s="124">
        <v>1.4999999999999999E-2</v>
      </c>
      <c r="V72" s="126">
        <v>75</v>
      </c>
      <c r="W72" s="126">
        <v>-75</v>
      </c>
      <c r="X72" s="124">
        <v>50</v>
      </c>
      <c r="Y72" s="124">
        <v>5</v>
      </c>
      <c r="Z72" s="128" t="b">
        <v>1</v>
      </c>
      <c r="AA72" s="127" t="s">
        <v>1867</v>
      </c>
      <c r="AB72" s="133">
        <v>2</v>
      </c>
      <c r="AC72" s="137" t="b">
        <v>0</v>
      </c>
      <c r="AE72" s="137" t="b">
        <v>0</v>
      </c>
      <c r="AG72" s="135" t="b">
        <v>1</v>
      </c>
      <c r="AH72" s="125">
        <v>8</v>
      </c>
      <c r="AI72" s="125">
        <v>13</v>
      </c>
      <c r="AJ72" s="125">
        <v>21</v>
      </c>
      <c r="AK72" s="125">
        <v>55</v>
      </c>
      <c r="AL72" s="129" t="b">
        <v>0</v>
      </c>
      <c r="AM72" s="128" t="b">
        <v>1</v>
      </c>
      <c r="AN72" s="131" t="s">
        <v>1469</v>
      </c>
      <c r="AO72" s="141">
        <v>1.0000000000000001E-5</v>
      </c>
      <c r="AP72" s="128" t="b">
        <v>1</v>
      </c>
      <c r="AQ72" s="141">
        <v>1.0000000000000001E-5</v>
      </c>
      <c r="AR72" s="152">
        <v>12</v>
      </c>
      <c r="AS72" s="152">
        <v>26</v>
      </c>
      <c r="AT72" s="152">
        <v>9</v>
      </c>
      <c r="AU72" s="128" t="b">
        <v>1</v>
      </c>
      <c r="AV72" s="124">
        <v>3</v>
      </c>
      <c r="AW72" s="146">
        <v>5</v>
      </c>
      <c r="AX72" s="124">
        <v>1</v>
      </c>
      <c r="AY72" s="128" t="b">
        <v>1</v>
      </c>
      <c r="AZ72" s="122" t="s">
        <v>1586</v>
      </c>
      <c r="BA72" s="122">
        <v>4</v>
      </c>
      <c r="BB72" s="126">
        <v>0.05</v>
      </c>
      <c r="BC72" s="126">
        <v>0.5</v>
      </c>
      <c r="BD72" s="129" t="b">
        <v>0</v>
      </c>
      <c r="BE72" s="122" t="s">
        <v>1873</v>
      </c>
      <c r="BF72" s="128" t="b">
        <v>1</v>
      </c>
      <c r="BG72" s="122" t="s">
        <v>1578</v>
      </c>
      <c r="BH72" s="133">
        <v>0.02</v>
      </c>
      <c r="BI72" s="156" t="s">
        <v>403</v>
      </c>
      <c r="BJ72" s="128" t="b">
        <v>1</v>
      </c>
      <c r="BK72" s="161">
        <v>1.5</v>
      </c>
      <c r="BL72" s="129" t="b">
        <v>0</v>
      </c>
      <c r="BM72" s="156" t="s">
        <v>412</v>
      </c>
      <c r="BN72" s="128" t="b">
        <v>1</v>
      </c>
      <c r="BO72" s="156" t="s">
        <v>1382</v>
      </c>
      <c r="BP72" s="157">
        <v>1</v>
      </c>
      <c r="BQ72" s="157">
        <v>0.5</v>
      </c>
      <c r="BR72" s="166" t="str">
        <f t="shared" si="110"/>
        <v>8/ 13/ 21/ 55</v>
      </c>
      <c r="BS72" s="166" t="str">
        <f t="shared" si="111"/>
        <v>12 / 26 / 9</v>
      </c>
      <c r="BT72" s="166" t="str">
        <f t="shared" si="112"/>
        <v>0.05 / 0.5</v>
      </c>
      <c r="BU72" s="66">
        <v>461</v>
      </c>
      <c r="BV72" s="66">
        <v>272</v>
      </c>
      <c r="BW72" s="66">
        <v>214</v>
      </c>
      <c r="BX72" s="99">
        <f t="shared" si="113"/>
        <v>58</v>
      </c>
      <c r="BY72" s="66">
        <v>56</v>
      </c>
      <c r="BZ72" s="92">
        <f t="shared" si="114"/>
        <v>133</v>
      </c>
      <c r="CA72" s="204">
        <f t="shared" si="125"/>
        <v>0.59002169197396959</v>
      </c>
      <c r="CB72" s="205">
        <f t="shared" si="126"/>
        <v>0.12147505422993492</v>
      </c>
      <c r="CC72" s="87">
        <v>4.82</v>
      </c>
      <c r="CD72" s="87">
        <v>29.86</v>
      </c>
      <c r="CE72" s="87">
        <v>0.42</v>
      </c>
      <c r="CF72" s="170">
        <f t="shared" si="115"/>
        <v>1.5</v>
      </c>
      <c r="CG72" s="87">
        <v>0.71</v>
      </c>
      <c r="CH72" s="87">
        <v>0.52</v>
      </c>
      <c r="CI72" s="93">
        <v>7847.6</v>
      </c>
      <c r="CJ72" s="87">
        <v>28.85</v>
      </c>
      <c r="CK72" s="87">
        <v>26.53</v>
      </c>
      <c r="CL72" s="87">
        <v>-4.84</v>
      </c>
      <c r="CM72" s="165">
        <v>1000</v>
      </c>
      <c r="CN72" s="208">
        <v>13763.13</v>
      </c>
      <c r="CO72" s="209">
        <f t="shared" si="116"/>
        <v>14763.13</v>
      </c>
      <c r="CP72" s="209">
        <f t="shared" si="117"/>
        <v>1376.3129999999999</v>
      </c>
      <c r="CR72" s="82">
        <f t="shared" si="118"/>
        <v>12</v>
      </c>
      <c r="CS72" s="80">
        <f t="shared" si="119"/>
        <v>653.9666666666667</v>
      </c>
      <c r="CT72" s="80">
        <f t="shared" si="120"/>
        <v>1146.9275</v>
      </c>
      <c r="CU72" s="80">
        <f t="shared" si="121"/>
        <v>114.69275</v>
      </c>
      <c r="CW72" s="80">
        <f t="shared" si="122"/>
        <v>7847.6</v>
      </c>
      <c r="CX72" s="80">
        <f t="shared" si="123"/>
        <v>13763.13</v>
      </c>
      <c r="CY72" s="80">
        <f t="shared" si="124"/>
        <v>1376.3129999999999</v>
      </c>
    </row>
    <row r="73" spans="1:103" outlineLevel="1" x14ac:dyDescent="0.2">
      <c r="A73" s="120"/>
      <c r="B73" s="72"/>
      <c r="C73" s="57" t="s">
        <v>1387</v>
      </c>
      <c r="D73" s="57" t="s">
        <v>1888</v>
      </c>
      <c r="E73" s="65" t="s">
        <v>1389</v>
      </c>
      <c r="F73" s="57" t="s">
        <v>1454</v>
      </c>
      <c r="G73" s="62" t="s">
        <v>1556</v>
      </c>
      <c r="H73" s="129" t="b">
        <v>0</v>
      </c>
      <c r="J73" s="123" t="s">
        <v>1866</v>
      </c>
      <c r="K73" s="123" t="s">
        <v>1866</v>
      </c>
      <c r="L73" s="123" t="s">
        <v>1866</v>
      </c>
      <c r="M73" s="137" t="b">
        <v>0</v>
      </c>
      <c r="Q73" s="128" t="b">
        <v>1</v>
      </c>
      <c r="R73" s="127" t="s">
        <v>1559</v>
      </c>
      <c r="S73" s="135" t="b">
        <v>1</v>
      </c>
      <c r="T73" s="126">
        <v>13</v>
      </c>
      <c r="U73" s="124">
        <v>1.4999999999999999E-2</v>
      </c>
      <c r="V73" s="126">
        <v>75</v>
      </c>
      <c r="W73" s="126">
        <v>-75</v>
      </c>
      <c r="X73" s="124">
        <v>50</v>
      </c>
      <c r="Y73" s="124">
        <v>5</v>
      </c>
      <c r="Z73" s="128" t="b">
        <v>1</v>
      </c>
      <c r="AA73" s="127" t="s">
        <v>1867</v>
      </c>
      <c r="AB73" s="133">
        <v>2</v>
      </c>
      <c r="AC73" s="137" t="b">
        <v>0</v>
      </c>
      <c r="AE73" s="137" t="b">
        <v>0</v>
      </c>
      <c r="AG73" s="135" t="b">
        <v>1</v>
      </c>
      <c r="AH73" s="125">
        <v>8</v>
      </c>
      <c r="AI73" s="125">
        <v>13</v>
      </c>
      <c r="AJ73" s="125">
        <v>21</v>
      </c>
      <c r="AK73" s="125">
        <v>55</v>
      </c>
      <c r="AL73" s="129" t="b">
        <v>0</v>
      </c>
      <c r="AM73" s="128" t="b">
        <v>1</v>
      </c>
      <c r="AN73" s="131" t="s">
        <v>1469</v>
      </c>
      <c r="AO73" s="141">
        <v>1.0000000000000001E-5</v>
      </c>
      <c r="AP73" s="128" t="b">
        <v>1</v>
      </c>
      <c r="AQ73" s="141">
        <v>1.0000000000000001E-5</v>
      </c>
      <c r="AR73" s="137">
        <v>21</v>
      </c>
      <c r="AS73" s="137">
        <v>34</v>
      </c>
      <c r="AT73" s="137">
        <v>9</v>
      </c>
      <c r="AU73" s="128" t="b">
        <v>1</v>
      </c>
      <c r="AV73" s="124">
        <v>3</v>
      </c>
      <c r="AW73" s="146">
        <v>5</v>
      </c>
      <c r="AX73" s="124">
        <v>1</v>
      </c>
      <c r="AY73" s="128" t="b">
        <v>1</v>
      </c>
      <c r="AZ73" s="122" t="s">
        <v>1586</v>
      </c>
      <c r="BA73" s="122">
        <v>4</v>
      </c>
      <c r="BB73" s="126">
        <v>0.05</v>
      </c>
      <c r="BC73" s="126">
        <v>0.5</v>
      </c>
      <c r="BD73" s="129" t="b">
        <v>0</v>
      </c>
      <c r="BE73" s="122" t="s">
        <v>1873</v>
      </c>
      <c r="BF73" s="128" t="b">
        <v>1</v>
      </c>
      <c r="BG73" s="122" t="s">
        <v>1578</v>
      </c>
      <c r="BH73" s="133">
        <v>0.02</v>
      </c>
      <c r="BI73" s="156" t="s">
        <v>403</v>
      </c>
      <c r="BJ73" s="128" t="b">
        <v>1</v>
      </c>
      <c r="BK73" s="161">
        <v>1.5</v>
      </c>
      <c r="BL73" s="129" t="b">
        <v>0</v>
      </c>
      <c r="BM73" s="156" t="s">
        <v>412</v>
      </c>
      <c r="BN73" s="128" t="b">
        <v>1</v>
      </c>
      <c r="BO73" s="156" t="s">
        <v>1382</v>
      </c>
      <c r="BP73" s="157">
        <v>1</v>
      </c>
      <c r="BQ73" s="157">
        <v>0.5</v>
      </c>
      <c r="BR73" s="166" t="str">
        <f t="shared" si="110"/>
        <v>8/ 13/ 21/ 55</v>
      </c>
      <c r="BS73" s="166" t="str">
        <f t="shared" si="111"/>
        <v>21 / 34 / 9</v>
      </c>
      <c r="BT73" s="166" t="str">
        <f t="shared" si="112"/>
        <v>0.05 / 0.5</v>
      </c>
      <c r="BU73" s="66">
        <v>464</v>
      </c>
      <c r="BV73" s="66">
        <v>265</v>
      </c>
      <c r="BW73" s="66">
        <v>208</v>
      </c>
      <c r="BX73" s="99">
        <f t="shared" si="113"/>
        <v>57</v>
      </c>
      <c r="BY73" s="66">
        <v>58</v>
      </c>
      <c r="BZ73" s="92">
        <f t="shared" si="114"/>
        <v>141</v>
      </c>
      <c r="CA73" s="204">
        <f t="shared" si="125"/>
        <v>0.57112068965517238</v>
      </c>
      <c r="CB73" s="205">
        <f t="shared" si="126"/>
        <v>0.125</v>
      </c>
      <c r="CC73" s="87">
        <v>4.4400000000000004</v>
      </c>
      <c r="CD73" s="87">
        <v>28.44</v>
      </c>
      <c r="CE73" s="87">
        <v>0.41</v>
      </c>
      <c r="CF73" s="170">
        <f t="shared" si="115"/>
        <v>1.5</v>
      </c>
      <c r="CG73" s="87">
        <v>0.72</v>
      </c>
      <c r="CH73" s="87">
        <v>0.56000000000000005</v>
      </c>
      <c r="CI73" s="93">
        <v>7688.6</v>
      </c>
      <c r="CJ73" s="87">
        <v>29</v>
      </c>
      <c r="CK73" s="87">
        <v>27.05</v>
      </c>
      <c r="CL73" s="87">
        <v>-4.84</v>
      </c>
      <c r="CM73" s="165">
        <v>1000</v>
      </c>
      <c r="CN73" s="93">
        <v>13196.4</v>
      </c>
      <c r="CO73" s="108">
        <f t="shared" si="116"/>
        <v>14196.4</v>
      </c>
      <c r="CP73" s="108">
        <f t="shared" si="117"/>
        <v>1319.6399999999999</v>
      </c>
      <c r="CR73" s="82">
        <f t="shared" si="118"/>
        <v>12</v>
      </c>
      <c r="CS73" s="80">
        <f t="shared" si="119"/>
        <v>640.7166666666667</v>
      </c>
      <c r="CT73" s="80">
        <f t="shared" si="120"/>
        <v>1099.7</v>
      </c>
      <c r="CU73" s="80">
        <f t="shared" si="121"/>
        <v>109.97</v>
      </c>
      <c r="CW73" s="80">
        <f t="shared" si="122"/>
        <v>7688.6</v>
      </c>
      <c r="CX73" s="80">
        <f t="shared" si="123"/>
        <v>13196.4</v>
      </c>
      <c r="CY73" s="80">
        <f t="shared" si="124"/>
        <v>1319.6399999999999</v>
      </c>
    </row>
    <row r="74" spans="1:103" outlineLevel="1" x14ac:dyDescent="0.2">
      <c r="B74" s="68"/>
    </row>
    <row r="75" spans="1:103" x14ac:dyDescent="0.2">
      <c r="A75" s="120"/>
      <c r="B75" s="72" t="s">
        <v>1901</v>
      </c>
      <c r="C75" s="57" t="s">
        <v>1387</v>
      </c>
      <c r="D75" s="57" t="s">
        <v>1888</v>
      </c>
      <c r="E75" s="65" t="s">
        <v>1389</v>
      </c>
      <c r="F75" s="57" t="s">
        <v>1454</v>
      </c>
      <c r="G75" s="62" t="s">
        <v>1556</v>
      </c>
      <c r="H75" s="129" t="b">
        <v>0</v>
      </c>
      <c r="J75" s="123" t="s">
        <v>1866</v>
      </c>
      <c r="K75" s="123" t="s">
        <v>1866</v>
      </c>
      <c r="L75" s="123" t="s">
        <v>1866</v>
      </c>
      <c r="M75" s="137" t="b">
        <v>0</v>
      </c>
      <c r="Q75" s="128" t="b">
        <v>1</v>
      </c>
      <c r="R75" s="127" t="s">
        <v>1559</v>
      </c>
      <c r="S75" s="135" t="b">
        <v>1</v>
      </c>
      <c r="T75" s="126">
        <v>13</v>
      </c>
      <c r="U75" s="124">
        <v>1.4999999999999999E-2</v>
      </c>
      <c r="V75" s="126">
        <v>75</v>
      </c>
      <c r="W75" s="126">
        <v>-75</v>
      </c>
      <c r="X75" s="124">
        <v>50</v>
      </c>
      <c r="Y75" s="124">
        <v>5</v>
      </c>
      <c r="Z75" s="128" t="b">
        <v>1</v>
      </c>
      <c r="AA75" s="127" t="s">
        <v>1867</v>
      </c>
      <c r="AB75" s="133">
        <v>2</v>
      </c>
      <c r="AC75" s="137" t="b">
        <v>0</v>
      </c>
      <c r="AE75" s="137" t="b">
        <v>0</v>
      </c>
      <c r="AG75" s="135" t="b">
        <v>1</v>
      </c>
      <c r="AH75" s="125">
        <v>13</v>
      </c>
      <c r="AI75" s="125">
        <v>21</v>
      </c>
      <c r="AJ75" s="125">
        <v>34</v>
      </c>
      <c r="AK75" s="125">
        <v>55</v>
      </c>
      <c r="AL75" s="129" t="b">
        <v>0</v>
      </c>
      <c r="AM75" s="128" t="b">
        <v>1</v>
      </c>
      <c r="AN75" s="131" t="s">
        <v>1469</v>
      </c>
      <c r="AO75" s="141">
        <v>1.0000000000000001E-5</v>
      </c>
      <c r="AP75" s="128" t="b">
        <v>1</v>
      </c>
      <c r="AQ75" s="141">
        <v>1.0000000000000001E-5</v>
      </c>
      <c r="AR75" s="126">
        <v>5</v>
      </c>
      <c r="AS75" s="126">
        <v>8</v>
      </c>
      <c r="AT75" s="126">
        <v>5</v>
      </c>
      <c r="AU75" s="128" t="b">
        <v>1</v>
      </c>
      <c r="AV75" s="124">
        <v>3</v>
      </c>
      <c r="AW75" s="146">
        <v>5</v>
      </c>
      <c r="AX75" s="124">
        <v>1</v>
      </c>
      <c r="AY75" s="128" t="b">
        <v>1</v>
      </c>
      <c r="AZ75" s="122" t="s">
        <v>1586</v>
      </c>
      <c r="BA75" s="122">
        <v>4</v>
      </c>
      <c r="BB75" s="126">
        <v>0.05</v>
      </c>
      <c r="BC75" s="126">
        <v>0.5</v>
      </c>
      <c r="BD75" s="129" t="b">
        <v>0</v>
      </c>
      <c r="BE75" s="122" t="s">
        <v>1873</v>
      </c>
      <c r="BF75" s="128" t="b">
        <v>1</v>
      </c>
      <c r="BG75" s="122" t="s">
        <v>1578</v>
      </c>
      <c r="BH75" s="133">
        <v>0.02</v>
      </c>
      <c r="BI75" s="156" t="s">
        <v>403</v>
      </c>
      <c r="BJ75" s="128" t="b">
        <v>1</v>
      </c>
      <c r="BK75" s="161">
        <v>1.5</v>
      </c>
      <c r="BL75" s="129" t="b">
        <v>0</v>
      </c>
      <c r="BM75" s="156" t="s">
        <v>412</v>
      </c>
      <c r="BN75" s="128" t="b">
        <v>1</v>
      </c>
      <c r="BO75" s="156" t="s">
        <v>1382</v>
      </c>
      <c r="BP75" s="157">
        <v>1</v>
      </c>
      <c r="BQ75" s="157">
        <v>0.5</v>
      </c>
      <c r="BR75" s="166" t="str">
        <f t="shared" ref="BR75:BR82" si="129">AH75&amp;"/ "&amp;AI75&amp;"/ "&amp;AJ75&amp;"/ "&amp;AK75</f>
        <v>13/ 21/ 34/ 55</v>
      </c>
      <c r="BS75" s="166" t="str">
        <f t="shared" ref="BS75:BS82" si="130">AR75&amp;" / "&amp;AS75&amp;" / "&amp;AT75</f>
        <v>5 / 8 / 5</v>
      </c>
      <c r="BT75" s="166" t="str">
        <f t="shared" ref="BT75:BT82" si="131">BB75&amp;" / "&amp;BC75</f>
        <v>0.05 / 0.5</v>
      </c>
      <c r="BU75" s="66">
        <v>425</v>
      </c>
      <c r="BV75" s="66">
        <v>256</v>
      </c>
      <c r="BW75" s="66">
        <v>203</v>
      </c>
      <c r="BX75" s="99">
        <f t="shared" ref="BX75:BX82" si="132">BV75-BW75</f>
        <v>53</v>
      </c>
      <c r="BY75" s="66">
        <v>46</v>
      </c>
      <c r="BZ75" s="92">
        <f t="shared" ref="BZ75:BZ82" si="133">BU75-SUM(BW75:BY75)</f>
        <v>123</v>
      </c>
      <c r="CA75" s="204">
        <f>IF(BU75=0,0,BV75/BU75)</f>
        <v>0.60235294117647054</v>
      </c>
      <c r="CB75" s="205">
        <f>IF(BU75=0,0,BY75/BU75)</f>
        <v>0.10823529411764705</v>
      </c>
      <c r="CC75" s="87">
        <v>5.88</v>
      </c>
      <c r="CD75" s="87">
        <v>27.73</v>
      </c>
      <c r="CE75" s="87">
        <v>0.43</v>
      </c>
      <c r="CF75" s="170">
        <f t="shared" ref="CF75:CF82" si="134">BK75</f>
        <v>1.5</v>
      </c>
      <c r="CG75" s="87">
        <v>0.69</v>
      </c>
      <c r="CH75" s="87">
        <v>0.51</v>
      </c>
      <c r="CI75" s="93">
        <v>7517.6</v>
      </c>
      <c r="CJ75" s="87">
        <v>29.37</v>
      </c>
      <c r="CK75" s="87">
        <v>27.89</v>
      </c>
      <c r="CL75" s="87">
        <v>-4</v>
      </c>
      <c r="CM75" s="165">
        <v>1000</v>
      </c>
      <c r="CN75" s="93">
        <v>11786.82</v>
      </c>
      <c r="CO75" s="108">
        <f t="shared" ref="CO75:CO82" si="135">CM75+CN75</f>
        <v>12786.82</v>
      </c>
      <c r="CP75" s="108">
        <f t="shared" ref="CP75:CP82" si="136">CN75/10</f>
        <v>1178.682</v>
      </c>
      <c r="CR75" s="82">
        <f t="shared" ref="CR75:CR82" si="137">CR$4</f>
        <v>12</v>
      </c>
      <c r="CS75" s="80">
        <f t="shared" ref="CS75:CS82" si="138">CI75/CR75</f>
        <v>626.4666666666667</v>
      </c>
      <c r="CT75" s="80">
        <f t="shared" ref="CT75:CT82" si="139">CN75/CR75</f>
        <v>982.23500000000001</v>
      </c>
      <c r="CU75" s="80">
        <f t="shared" ref="CU75:CU82" si="140">CT75/10</f>
        <v>98.223500000000001</v>
      </c>
      <c r="CW75" s="80">
        <f t="shared" ref="CW75:CW82" si="141">CI75</f>
        <v>7517.6</v>
      </c>
      <c r="CX75" s="80">
        <f t="shared" ref="CX75:CX82" si="142">CN75</f>
        <v>11786.82</v>
      </c>
      <c r="CY75" s="80">
        <f t="shared" ref="CY75:CY82" si="143">CP75</f>
        <v>1178.682</v>
      </c>
    </row>
    <row r="76" spans="1:103" outlineLevel="1" x14ac:dyDescent="0.2">
      <c r="A76" s="120"/>
      <c r="B76" s="72"/>
      <c r="C76" s="57" t="s">
        <v>1387</v>
      </c>
      <c r="D76" s="57" t="s">
        <v>1888</v>
      </c>
      <c r="E76" s="65" t="s">
        <v>1389</v>
      </c>
      <c r="F76" s="57" t="s">
        <v>1454</v>
      </c>
      <c r="G76" s="62" t="s">
        <v>1556</v>
      </c>
      <c r="H76" s="129" t="b">
        <v>0</v>
      </c>
      <c r="J76" s="123" t="s">
        <v>1866</v>
      </c>
      <c r="K76" s="123" t="s">
        <v>1866</v>
      </c>
      <c r="L76" s="123" t="s">
        <v>1866</v>
      </c>
      <c r="M76" s="137" t="b">
        <v>0</v>
      </c>
      <c r="Q76" s="128" t="b">
        <v>1</v>
      </c>
      <c r="R76" s="127" t="s">
        <v>1559</v>
      </c>
      <c r="S76" s="135" t="b">
        <v>1</v>
      </c>
      <c r="T76" s="126">
        <v>13</v>
      </c>
      <c r="U76" s="124">
        <v>1.4999999999999999E-2</v>
      </c>
      <c r="V76" s="126">
        <v>75</v>
      </c>
      <c r="W76" s="126">
        <v>-75</v>
      </c>
      <c r="X76" s="124">
        <v>50</v>
      </c>
      <c r="Y76" s="124">
        <v>5</v>
      </c>
      <c r="Z76" s="128" t="b">
        <v>1</v>
      </c>
      <c r="AA76" s="127" t="s">
        <v>1867</v>
      </c>
      <c r="AB76" s="133">
        <v>2</v>
      </c>
      <c r="AC76" s="137" t="b">
        <v>0</v>
      </c>
      <c r="AE76" s="137" t="b">
        <v>0</v>
      </c>
      <c r="AG76" s="135" t="b">
        <v>1</v>
      </c>
      <c r="AH76" s="125">
        <v>13</v>
      </c>
      <c r="AI76" s="125">
        <v>21</v>
      </c>
      <c r="AJ76" s="125">
        <v>34</v>
      </c>
      <c r="AK76" s="125">
        <v>55</v>
      </c>
      <c r="AL76" s="129" t="b">
        <v>0</v>
      </c>
      <c r="AM76" s="128" t="b">
        <v>1</v>
      </c>
      <c r="AN76" s="131" t="s">
        <v>1469</v>
      </c>
      <c r="AO76" s="141">
        <v>1.0000000000000001E-5</v>
      </c>
      <c r="AP76" s="128" t="b">
        <v>1</v>
      </c>
      <c r="AQ76" s="141">
        <v>1.0000000000000001E-5</v>
      </c>
      <c r="AR76" s="137">
        <v>5</v>
      </c>
      <c r="AS76" s="137">
        <v>13</v>
      </c>
      <c r="AT76" s="137">
        <v>5</v>
      </c>
      <c r="AU76" s="128" t="b">
        <v>1</v>
      </c>
      <c r="AV76" s="124">
        <v>3</v>
      </c>
      <c r="AW76" s="146">
        <v>5</v>
      </c>
      <c r="AX76" s="124">
        <v>1</v>
      </c>
      <c r="AY76" s="128" t="b">
        <v>1</v>
      </c>
      <c r="AZ76" s="122" t="s">
        <v>1586</v>
      </c>
      <c r="BA76" s="122">
        <v>4</v>
      </c>
      <c r="BB76" s="126">
        <v>0.05</v>
      </c>
      <c r="BC76" s="126">
        <v>0.5</v>
      </c>
      <c r="BD76" s="129" t="b">
        <v>0</v>
      </c>
      <c r="BE76" s="122" t="s">
        <v>1873</v>
      </c>
      <c r="BF76" s="128" t="b">
        <v>1</v>
      </c>
      <c r="BG76" s="122" t="s">
        <v>1578</v>
      </c>
      <c r="BH76" s="133">
        <v>0.02</v>
      </c>
      <c r="BI76" s="156" t="s">
        <v>403</v>
      </c>
      <c r="BJ76" s="128" t="b">
        <v>1</v>
      </c>
      <c r="BK76" s="161">
        <v>1.5</v>
      </c>
      <c r="BL76" s="129" t="b">
        <v>0</v>
      </c>
      <c r="BM76" s="156" t="s">
        <v>412</v>
      </c>
      <c r="BN76" s="128" t="b">
        <v>1</v>
      </c>
      <c r="BO76" s="156" t="s">
        <v>1382</v>
      </c>
      <c r="BP76" s="157">
        <v>1</v>
      </c>
      <c r="BQ76" s="157">
        <v>0.5</v>
      </c>
      <c r="BR76" s="166" t="str">
        <f>AH76&amp;"/ "&amp;AI76&amp;"/ "&amp;AJ76&amp;"/ "&amp;AK76</f>
        <v>13/ 21/ 34/ 55</v>
      </c>
      <c r="BS76" s="166" t="str">
        <f t="shared" si="130"/>
        <v>5 / 13 / 5</v>
      </c>
      <c r="BT76" s="166" t="str">
        <f t="shared" si="131"/>
        <v>0.05 / 0.5</v>
      </c>
      <c r="BU76" s="66">
        <v>436</v>
      </c>
      <c r="BV76" s="66">
        <v>258</v>
      </c>
      <c r="BW76" s="66">
        <v>205</v>
      </c>
      <c r="BX76" s="99">
        <f t="shared" si="132"/>
        <v>53</v>
      </c>
      <c r="BY76" s="66">
        <v>54</v>
      </c>
      <c r="BZ76" s="92">
        <f t="shared" si="133"/>
        <v>124</v>
      </c>
      <c r="CA76" s="204">
        <f t="shared" ref="CA76:CA82" si="144">IF(BU76=0,0,BV76/BU76)</f>
        <v>0.59174311926605505</v>
      </c>
      <c r="CB76" s="205">
        <f>IF(BU76=0,0,BY76/BU76)</f>
        <v>0.12385321100917432</v>
      </c>
      <c r="CC76" s="87">
        <v>5.0199999999999996</v>
      </c>
      <c r="CD76" s="87">
        <v>26</v>
      </c>
      <c r="CE76" s="87">
        <v>0.41</v>
      </c>
      <c r="CF76" s="170">
        <f t="shared" si="134"/>
        <v>1.5</v>
      </c>
      <c r="CG76" s="87">
        <v>0.69</v>
      </c>
      <c r="CH76" s="87">
        <v>0.51</v>
      </c>
      <c r="CI76" s="93">
        <v>7640.9</v>
      </c>
      <c r="CJ76" s="87">
        <v>29.62</v>
      </c>
      <c r="CK76" s="87">
        <v>27.76</v>
      </c>
      <c r="CL76" s="87">
        <v>-4.62</v>
      </c>
      <c r="CM76" s="165">
        <v>1000</v>
      </c>
      <c r="CN76" s="93">
        <v>11336.39</v>
      </c>
      <c r="CO76" s="108">
        <f t="shared" si="135"/>
        <v>12336.39</v>
      </c>
      <c r="CP76" s="108">
        <f t="shared" si="136"/>
        <v>1133.6389999999999</v>
      </c>
      <c r="CR76" s="82">
        <f t="shared" si="137"/>
        <v>12</v>
      </c>
      <c r="CS76" s="80">
        <f t="shared" si="138"/>
        <v>636.74166666666667</v>
      </c>
      <c r="CT76" s="80">
        <f t="shared" si="139"/>
        <v>944.69916666666666</v>
      </c>
      <c r="CU76" s="80">
        <f t="shared" si="140"/>
        <v>94.469916666666663</v>
      </c>
      <c r="CW76" s="80">
        <f t="shared" si="141"/>
        <v>7640.9</v>
      </c>
      <c r="CX76" s="80">
        <f t="shared" si="142"/>
        <v>11336.39</v>
      </c>
      <c r="CY76" s="80">
        <f t="shared" si="143"/>
        <v>1133.6389999999999</v>
      </c>
    </row>
    <row r="77" spans="1:103" outlineLevel="1" x14ac:dyDescent="0.2">
      <c r="A77" s="120"/>
      <c r="B77" s="72"/>
      <c r="C77" s="57" t="s">
        <v>1387</v>
      </c>
      <c r="D77" s="57" t="s">
        <v>1888</v>
      </c>
      <c r="E77" s="65" t="s">
        <v>1389</v>
      </c>
      <c r="F77" s="57" t="s">
        <v>1454</v>
      </c>
      <c r="G77" s="62" t="s">
        <v>1556</v>
      </c>
      <c r="H77" s="129" t="b">
        <v>0</v>
      </c>
      <c r="J77" s="123" t="s">
        <v>1866</v>
      </c>
      <c r="K77" s="123" t="s">
        <v>1866</v>
      </c>
      <c r="L77" s="123" t="s">
        <v>1866</v>
      </c>
      <c r="M77" s="137" t="b">
        <v>0</v>
      </c>
      <c r="Q77" s="128" t="b">
        <v>1</v>
      </c>
      <c r="R77" s="127" t="s">
        <v>1559</v>
      </c>
      <c r="S77" s="135" t="b">
        <v>1</v>
      </c>
      <c r="T77" s="126">
        <v>13</v>
      </c>
      <c r="U77" s="124">
        <v>1.4999999999999999E-2</v>
      </c>
      <c r="V77" s="126">
        <v>75</v>
      </c>
      <c r="W77" s="126">
        <v>-75</v>
      </c>
      <c r="X77" s="124">
        <v>50</v>
      </c>
      <c r="Y77" s="124">
        <v>5</v>
      </c>
      <c r="Z77" s="128" t="b">
        <v>1</v>
      </c>
      <c r="AA77" s="127" t="s">
        <v>1867</v>
      </c>
      <c r="AB77" s="133">
        <v>2</v>
      </c>
      <c r="AC77" s="137" t="b">
        <v>0</v>
      </c>
      <c r="AE77" s="137" t="b">
        <v>0</v>
      </c>
      <c r="AG77" s="135" t="b">
        <v>1</v>
      </c>
      <c r="AH77" s="125">
        <v>13</v>
      </c>
      <c r="AI77" s="125">
        <v>21</v>
      </c>
      <c r="AJ77" s="125">
        <v>34</v>
      </c>
      <c r="AK77" s="125">
        <v>55</v>
      </c>
      <c r="AL77" s="129" t="b">
        <v>0</v>
      </c>
      <c r="AM77" s="128" t="b">
        <v>1</v>
      </c>
      <c r="AN77" s="131" t="s">
        <v>1469</v>
      </c>
      <c r="AO77" s="141">
        <v>1.0000000000000001E-5</v>
      </c>
      <c r="AP77" s="128" t="b">
        <v>1</v>
      </c>
      <c r="AQ77" s="141">
        <v>1.0000000000000001E-5</v>
      </c>
      <c r="AR77" s="137">
        <v>5</v>
      </c>
      <c r="AS77" s="137">
        <v>13</v>
      </c>
      <c r="AT77" s="137">
        <v>8</v>
      </c>
      <c r="AU77" s="128" t="b">
        <v>1</v>
      </c>
      <c r="AV77" s="124">
        <v>3</v>
      </c>
      <c r="AW77" s="146">
        <v>5</v>
      </c>
      <c r="AX77" s="124">
        <v>1</v>
      </c>
      <c r="AY77" s="128" t="b">
        <v>1</v>
      </c>
      <c r="AZ77" s="122" t="s">
        <v>1586</v>
      </c>
      <c r="BA77" s="122">
        <v>4</v>
      </c>
      <c r="BB77" s="126">
        <v>0.05</v>
      </c>
      <c r="BC77" s="126">
        <v>0.5</v>
      </c>
      <c r="BD77" s="129" t="b">
        <v>0</v>
      </c>
      <c r="BE77" s="122" t="s">
        <v>1873</v>
      </c>
      <c r="BF77" s="128" t="b">
        <v>1</v>
      </c>
      <c r="BG77" s="122" t="s">
        <v>1578</v>
      </c>
      <c r="BH77" s="133">
        <v>0.02</v>
      </c>
      <c r="BI77" s="156" t="s">
        <v>403</v>
      </c>
      <c r="BJ77" s="128" t="b">
        <v>1</v>
      </c>
      <c r="BK77" s="161">
        <v>1.5</v>
      </c>
      <c r="BL77" s="129" t="b">
        <v>0</v>
      </c>
      <c r="BM77" s="156" t="s">
        <v>412</v>
      </c>
      <c r="BN77" s="128" t="b">
        <v>1</v>
      </c>
      <c r="BO77" s="156" t="s">
        <v>1382</v>
      </c>
      <c r="BP77" s="157">
        <v>1</v>
      </c>
      <c r="BQ77" s="157">
        <v>0.5</v>
      </c>
      <c r="BR77" s="166" t="str">
        <f>AH77&amp;"/ "&amp;AI77&amp;"/ "&amp;AJ77&amp;"/ "&amp;AK77</f>
        <v>13/ 21/ 34/ 55</v>
      </c>
      <c r="BS77" s="166" t="str">
        <f t="shared" si="130"/>
        <v>5 / 13 / 8</v>
      </c>
      <c r="BT77" s="166" t="str">
        <f t="shared" si="131"/>
        <v>0.05 / 0.5</v>
      </c>
      <c r="BU77" s="66">
        <v>433</v>
      </c>
      <c r="BV77" s="66">
        <v>260</v>
      </c>
      <c r="BW77" s="66">
        <v>205</v>
      </c>
      <c r="BX77" s="99">
        <f t="shared" si="132"/>
        <v>55</v>
      </c>
      <c r="BY77" s="66">
        <v>53</v>
      </c>
      <c r="BZ77" s="92">
        <f t="shared" si="133"/>
        <v>120</v>
      </c>
      <c r="CA77" s="204">
        <f t="shared" si="144"/>
        <v>0.60046189376443415</v>
      </c>
      <c r="CB77" s="205">
        <f>IF(BU77=0,0,BY77/BU77)</f>
        <v>0.12240184757505773</v>
      </c>
      <c r="CC77" s="87">
        <v>5.16</v>
      </c>
      <c r="CD77" s="87">
        <v>27.23</v>
      </c>
      <c r="CE77" s="87">
        <v>0.42</v>
      </c>
      <c r="CF77" s="170">
        <f t="shared" si="134"/>
        <v>1.5</v>
      </c>
      <c r="CG77" s="87">
        <v>0.69</v>
      </c>
      <c r="CH77" s="87">
        <v>0.51</v>
      </c>
      <c r="CI77" s="93">
        <v>7750.7</v>
      </c>
      <c r="CJ77" s="87">
        <v>29.81</v>
      </c>
      <c r="CK77" s="87">
        <v>28.26</v>
      </c>
      <c r="CL77" s="87">
        <v>-4.62</v>
      </c>
      <c r="CM77" s="165">
        <v>1000</v>
      </c>
      <c r="CN77" s="208">
        <v>11791.78</v>
      </c>
      <c r="CO77" s="209">
        <f t="shared" si="135"/>
        <v>12791.78</v>
      </c>
      <c r="CP77" s="209">
        <f t="shared" si="136"/>
        <v>1179.1780000000001</v>
      </c>
      <c r="CR77" s="82">
        <f t="shared" si="137"/>
        <v>12</v>
      </c>
      <c r="CS77" s="80">
        <f t="shared" si="138"/>
        <v>645.89166666666665</v>
      </c>
      <c r="CT77" s="80">
        <f t="shared" si="139"/>
        <v>982.64833333333343</v>
      </c>
      <c r="CU77" s="80">
        <f t="shared" si="140"/>
        <v>98.264833333333343</v>
      </c>
      <c r="CW77" s="80">
        <f t="shared" si="141"/>
        <v>7750.7</v>
      </c>
      <c r="CX77" s="80">
        <f t="shared" si="142"/>
        <v>11791.78</v>
      </c>
      <c r="CY77" s="80">
        <f t="shared" si="143"/>
        <v>1179.1780000000001</v>
      </c>
    </row>
    <row r="78" spans="1:103" outlineLevel="1" x14ac:dyDescent="0.2">
      <c r="A78" s="120"/>
      <c r="B78" s="72"/>
      <c r="C78" s="57" t="s">
        <v>1387</v>
      </c>
      <c r="D78" s="57" t="s">
        <v>1888</v>
      </c>
      <c r="E78" s="65" t="s">
        <v>1389</v>
      </c>
      <c r="F78" s="57" t="s">
        <v>1454</v>
      </c>
      <c r="G78" s="62" t="s">
        <v>1556</v>
      </c>
      <c r="H78" s="129" t="b">
        <v>0</v>
      </c>
      <c r="J78" s="123" t="s">
        <v>1866</v>
      </c>
      <c r="K78" s="123" t="s">
        <v>1866</v>
      </c>
      <c r="L78" s="123" t="s">
        <v>1866</v>
      </c>
      <c r="M78" s="137" t="b">
        <v>0</v>
      </c>
      <c r="Q78" s="128" t="b">
        <v>1</v>
      </c>
      <c r="R78" s="127" t="s">
        <v>1559</v>
      </c>
      <c r="S78" s="135" t="b">
        <v>1</v>
      </c>
      <c r="T78" s="126">
        <v>13</v>
      </c>
      <c r="U78" s="124">
        <v>1.4999999999999999E-2</v>
      </c>
      <c r="V78" s="126">
        <v>75</v>
      </c>
      <c r="W78" s="126">
        <v>-75</v>
      </c>
      <c r="X78" s="124">
        <v>50</v>
      </c>
      <c r="Y78" s="124">
        <v>5</v>
      </c>
      <c r="Z78" s="128" t="b">
        <v>1</v>
      </c>
      <c r="AA78" s="127" t="s">
        <v>1867</v>
      </c>
      <c r="AB78" s="133">
        <v>2</v>
      </c>
      <c r="AC78" s="137" t="b">
        <v>0</v>
      </c>
      <c r="AE78" s="137" t="b">
        <v>0</v>
      </c>
      <c r="AG78" s="135" t="b">
        <v>1</v>
      </c>
      <c r="AH78" s="125">
        <v>13</v>
      </c>
      <c r="AI78" s="125">
        <v>21</v>
      </c>
      <c r="AJ78" s="125">
        <v>34</v>
      </c>
      <c r="AK78" s="125">
        <v>55</v>
      </c>
      <c r="AL78" s="129" t="b">
        <v>0</v>
      </c>
      <c r="AM78" s="128" t="b">
        <v>1</v>
      </c>
      <c r="AN78" s="131" t="s">
        <v>1469</v>
      </c>
      <c r="AO78" s="141">
        <v>1.0000000000000001E-5</v>
      </c>
      <c r="AP78" s="128" t="b">
        <v>1</v>
      </c>
      <c r="AQ78" s="141">
        <v>1.0000000000000001E-5</v>
      </c>
      <c r="AR78" s="149">
        <v>8</v>
      </c>
      <c r="AS78" s="149">
        <v>13</v>
      </c>
      <c r="AT78" s="149">
        <v>8</v>
      </c>
      <c r="AU78" s="128" t="b">
        <v>1</v>
      </c>
      <c r="AV78" s="124">
        <v>3</v>
      </c>
      <c r="AW78" s="146">
        <v>5</v>
      </c>
      <c r="AX78" s="124">
        <v>1</v>
      </c>
      <c r="AY78" s="128" t="b">
        <v>1</v>
      </c>
      <c r="AZ78" s="122" t="s">
        <v>1586</v>
      </c>
      <c r="BA78" s="122">
        <v>4</v>
      </c>
      <c r="BB78" s="126">
        <v>0.05</v>
      </c>
      <c r="BC78" s="126">
        <v>0.5</v>
      </c>
      <c r="BD78" s="129" t="b">
        <v>0</v>
      </c>
      <c r="BE78" s="122" t="s">
        <v>1873</v>
      </c>
      <c r="BF78" s="128" t="b">
        <v>1</v>
      </c>
      <c r="BG78" s="122" t="s">
        <v>1578</v>
      </c>
      <c r="BH78" s="133">
        <v>0.02</v>
      </c>
      <c r="BI78" s="156" t="s">
        <v>403</v>
      </c>
      <c r="BJ78" s="128" t="b">
        <v>1</v>
      </c>
      <c r="BK78" s="161">
        <v>1.5</v>
      </c>
      <c r="BL78" s="129" t="b">
        <v>0</v>
      </c>
      <c r="BM78" s="156" t="s">
        <v>412</v>
      </c>
      <c r="BN78" s="128" t="b">
        <v>1</v>
      </c>
      <c r="BO78" s="156" t="s">
        <v>1382</v>
      </c>
      <c r="BP78" s="157">
        <v>1</v>
      </c>
      <c r="BQ78" s="157">
        <v>0.5</v>
      </c>
      <c r="BR78" s="166" t="str">
        <f t="shared" si="129"/>
        <v>13/ 21/ 34/ 55</v>
      </c>
      <c r="BS78" s="166" t="str">
        <f t="shared" si="130"/>
        <v>8 / 13 / 8</v>
      </c>
      <c r="BT78" s="166" t="str">
        <f t="shared" si="131"/>
        <v>0.05 / 0.5</v>
      </c>
      <c r="BU78" s="66">
        <v>423</v>
      </c>
      <c r="BV78" s="66">
        <v>254</v>
      </c>
      <c r="BW78" s="66">
        <v>200</v>
      </c>
      <c r="BX78" s="99">
        <f t="shared" si="132"/>
        <v>54</v>
      </c>
      <c r="BY78" s="66">
        <v>51</v>
      </c>
      <c r="BZ78" s="92">
        <f t="shared" si="133"/>
        <v>118</v>
      </c>
      <c r="CA78" s="204">
        <f t="shared" si="144"/>
        <v>0.60047281323877066</v>
      </c>
      <c r="CB78" s="205">
        <f t="shared" ref="CB78:CB82" si="145">IF(BU78=0,0,BY78/BU78)</f>
        <v>0.12056737588652482</v>
      </c>
      <c r="CC78" s="87">
        <v>5.37</v>
      </c>
      <c r="CD78" s="87">
        <v>27.79</v>
      </c>
      <c r="CE78" s="87">
        <v>0.43</v>
      </c>
      <c r="CF78" s="170">
        <f t="shared" si="134"/>
        <v>1.5</v>
      </c>
      <c r="CG78" s="87">
        <v>0.7</v>
      </c>
      <c r="CH78" s="87">
        <v>0.52</v>
      </c>
      <c r="CI78" s="93">
        <v>7621.1</v>
      </c>
      <c r="CJ78" s="87">
        <v>30</v>
      </c>
      <c r="CK78" s="87">
        <v>27.98</v>
      </c>
      <c r="CL78" s="87">
        <v>-4.7</v>
      </c>
      <c r="CM78" s="165">
        <v>1000</v>
      </c>
      <c r="CN78" s="93">
        <v>11753.2</v>
      </c>
      <c r="CO78" s="108">
        <f t="shared" si="135"/>
        <v>12753.2</v>
      </c>
      <c r="CP78" s="108">
        <f t="shared" si="136"/>
        <v>1175.3200000000002</v>
      </c>
      <c r="CR78" s="82">
        <f t="shared" si="137"/>
        <v>12</v>
      </c>
      <c r="CS78" s="80">
        <f t="shared" si="138"/>
        <v>635.0916666666667</v>
      </c>
      <c r="CT78" s="80">
        <f t="shared" si="139"/>
        <v>979.43333333333339</v>
      </c>
      <c r="CU78" s="80">
        <f t="shared" si="140"/>
        <v>97.943333333333342</v>
      </c>
      <c r="CW78" s="80">
        <f t="shared" si="141"/>
        <v>7621.1</v>
      </c>
      <c r="CX78" s="80">
        <f t="shared" si="142"/>
        <v>11753.2</v>
      </c>
      <c r="CY78" s="80">
        <f t="shared" si="143"/>
        <v>1175.3200000000002</v>
      </c>
    </row>
    <row r="79" spans="1:103" outlineLevel="1" x14ac:dyDescent="0.2">
      <c r="A79" s="120"/>
      <c r="B79" s="72"/>
      <c r="C79" s="57" t="s">
        <v>1387</v>
      </c>
      <c r="D79" s="57" t="s">
        <v>1888</v>
      </c>
      <c r="E79" s="65" t="s">
        <v>1389</v>
      </c>
      <c r="F79" s="57" t="s">
        <v>1454</v>
      </c>
      <c r="G79" s="62" t="s">
        <v>1556</v>
      </c>
      <c r="H79" s="129" t="b">
        <v>0</v>
      </c>
      <c r="J79" s="123" t="s">
        <v>1866</v>
      </c>
      <c r="K79" s="123" t="s">
        <v>1866</v>
      </c>
      <c r="L79" s="123" t="s">
        <v>1866</v>
      </c>
      <c r="M79" s="137" t="b">
        <v>0</v>
      </c>
      <c r="Q79" s="128" t="b">
        <v>1</v>
      </c>
      <c r="R79" s="127" t="s">
        <v>1559</v>
      </c>
      <c r="S79" s="135" t="b">
        <v>1</v>
      </c>
      <c r="T79" s="126">
        <v>13</v>
      </c>
      <c r="U79" s="124">
        <v>1.4999999999999999E-2</v>
      </c>
      <c r="V79" s="126">
        <v>75</v>
      </c>
      <c r="W79" s="126">
        <v>-75</v>
      </c>
      <c r="X79" s="124">
        <v>50</v>
      </c>
      <c r="Y79" s="124">
        <v>5</v>
      </c>
      <c r="Z79" s="128" t="b">
        <v>1</v>
      </c>
      <c r="AA79" s="127" t="s">
        <v>1867</v>
      </c>
      <c r="AB79" s="133">
        <v>2</v>
      </c>
      <c r="AC79" s="137" t="b">
        <v>0</v>
      </c>
      <c r="AE79" s="137" t="b">
        <v>0</v>
      </c>
      <c r="AG79" s="135" t="b">
        <v>1</v>
      </c>
      <c r="AH79" s="125">
        <v>13</v>
      </c>
      <c r="AI79" s="125">
        <v>21</v>
      </c>
      <c r="AJ79" s="125">
        <v>34</v>
      </c>
      <c r="AK79" s="125">
        <v>55</v>
      </c>
      <c r="AL79" s="129" t="b">
        <v>0</v>
      </c>
      <c r="AM79" s="128" t="b">
        <v>1</v>
      </c>
      <c r="AN79" s="131" t="s">
        <v>1469</v>
      </c>
      <c r="AO79" s="141">
        <v>1.0000000000000001E-5</v>
      </c>
      <c r="AP79" s="128" t="b">
        <v>1</v>
      </c>
      <c r="AQ79" s="141">
        <v>1.0000000000000001E-5</v>
      </c>
      <c r="AR79" s="149">
        <v>8</v>
      </c>
      <c r="AS79" s="149">
        <v>13</v>
      </c>
      <c r="AT79" s="149">
        <v>11</v>
      </c>
      <c r="AU79" s="128" t="b">
        <v>1</v>
      </c>
      <c r="AV79" s="124">
        <v>3</v>
      </c>
      <c r="AW79" s="146">
        <v>5</v>
      </c>
      <c r="AX79" s="124">
        <v>1</v>
      </c>
      <c r="AY79" s="128" t="b">
        <v>1</v>
      </c>
      <c r="AZ79" s="122" t="s">
        <v>1586</v>
      </c>
      <c r="BA79" s="122">
        <v>4</v>
      </c>
      <c r="BB79" s="126">
        <v>0.05</v>
      </c>
      <c r="BC79" s="126">
        <v>0.5</v>
      </c>
      <c r="BD79" s="129" t="b">
        <v>0</v>
      </c>
      <c r="BE79" s="122" t="s">
        <v>1873</v>
      </c>
      <c r="BF79" s="128" t="b">
        <v>1</v>
      </c>
      <c r="BG79" s="122" t="s">
        <v>1578</v>
      </c>
      <c r="BH79" s="133">
        <v>0.02</v>
      </c>
      <c r="BI79" s="156" t="s">
        <v>403</v>
      </c>
      <c r="BJ79" s="128" t="b">
        <v>1</v>
      </c>
      <c r="BK79" s="161">
        <v>1.5</v>
      </c>
      <c r="BL79" s="129" t="b">
        <v>0</v>
      </c>
      <c r="BM79" s="156" t="s">
        <v>412</v>
      </c>
      <c r="BN79" s="128" t="b">
        <v>1</v>
      </c>
      <c r="BO79" s="156" t="s">
        <v>1382</v>
      </c>
      <c r="BP79" s="157">
        <v>1</v>
      </c>
      <c r="BQ79" s="157">
        <v>0.5</v>
      </c>
      <c r="BR79" s="166" t="str">
        <f t="shared" si="129"/>
        <v>13/ 21/ 34/ 55</v>
      </c>
      <c r="BS79" s="166" t="str">
        <f t="shared" si="130"/>
        <v>8 / 13 / 11</v>
      </c>
      <c r="BT79" s="166" t="str">
        <f t="shared" si="131"/>
        <v>0.05 / 0.5</v>
      </c>
      <c r="BU79" s="66">
        <v>415</v>
      </c>
      <c r="BV79" s="66">
        <v>251</v>
      </c>
      <c r="BW79" s="66">
        <v>200</v>
      </c>
      <c r="BX79" s="99">
        <f t="shared" si="132"/>
        <v>51</v>
      </c>
      <c r="BY79" s="66">
        <v>52</v>
      </c>
      <c r="BZ79" s="92">
        <f t="shared" si="133"/>
        <v>112</v>
      </c>
      <c r="CA79" s="204">
        <f t="shared" si="144"/>
        <v>0.60481927710843375</v>
      </c>
      <c r="CB79" s="205">
        <f t="shared" si="145"/>
        <v>0.12530120481927712</v>
      </c>
      <c r="CC79" s="87">
        <v>5.15</v>
      </c>
      <c r="CD79" s="87">
        <v>26.41</v>
      </c>
      <c r="CE79" s="87">
        <v>0.42</v>
      </c>
      <c r="CF79" s="170">
        <f t="shared" si="134"/>
        <v>1.5</v>
      </c>
      <c r="CG79" s="87">
        <v>0.69</v>
      </c>
      <c r="CH79" s="87">
        <v>0.52</v>
      </c>
      <c r="CI79" s="93">
        <v>7496.2</v>
      </c>
      <c r="CJ79" s="87">
        <v>29.87</v>
      </c>
      <c r="CK79" s="87">
        <v>28.19</v>
      </c>
      <c r="CL79" s="87">
        <v>-4.7</v>
      </c>
      <c r="CM79" s="165">
        <v>1000</v>
      </c>
      <c r="CN79" s="93">
        <v>10961.9</v>
      </c>
      <c r="CO79" s="108">
        <f t="shared" si="135"/>
        <v>11961.9</v>
      </c>
      <c r="CP79" s="108">
        <f t="shared" si="136"/>
        <v>1096.19</v>
      </c>
      <c r="CR79" s="82">
        <f t="shared" si="137"/>
        <v>12</v>
      </c>
      <c r="CS79" s="80">
        <f t="shared" si="138"/>
        <v>624.68333333333328</v>
      </c>
      <c r="CT79" s="80">
        <f t="shared" si="139"/>
        <v>913.49166666666667</v>
      </c>
      <c r="CU79" s="80">
        <f t="shared" si="140"/>
        <v>91.349166666666662</v>
      </c>
      <c r="CW79" s="80">
        <f t="shared" si="141"/>
        <v>7496.2</v>
      </c>
      <c r="CX79" s="80">
        <f t="shared" si="142"/>
        <v>10961.9</v>
      </c>
      <c r="CY79" s="80">
        <f t="shared" si="143"/>
        <v>1096.19</v>
      </c>
    </row>
    <row r="80" spans="1:103" outlineLevel="1" x14ac:dyDescent="0.2">
      <c r="A80" s="120"/>
      <c r="B80" s="72"/>
      <c r="C80" s="57" t="s">
        <v>1387</v>
      </c>
      <c r="D80" s="57" t="s">
        <v>1888</v>
      </c>
      <c r="E80" s="65" t="s">
        <v>1389</v>
      </c>
      <c r="F80" s="57" t="s">
        <v>1454</v>
      </c>
      <c r="G80" s="62" t="s">
        <v>1556</v>
      </c>
      <c r="H80" s="129" t="b">
        <v>0</v>
      </c>
      <c r="J80" s="123" t="s">
        <v>1866</v>
      </c>
      <c r="K80" s="123" t="s">
        <v>1866</v>
      </c>
      <c r="L80" s="123" t="s">
        <v>1866</v>
      </c>
      <c r="M80" s="137" t="b">
        <v>0</v>
      </c>
      <c r="Q80" s="128" t="b">
        <v>1</v>
      </c>
      <c r="R80" s="127" t="s">
        <v>1559</v>
      </c>
      <c r="S80" s="135" t="b">
        <v>1</v>
      </c>
      <c r="T80" s="126">
        <v>13</v>
      </c>
      <c r="U80" s="124">
        <v>1.4999999999999999E-2</v>
      </c>
      <c r="V80" s="126">
        <v>75</v>
      </c>
      <c r="W80" s="126">
        <v>-75</v>
      </c>
      <c r="X80" s="124">
        <v>50</v>
      </c>
      <c r="Y80" s="124">
        <v>5</v>
      </c>
      <c r="Z80" s="128" t="b">
        <v>1</v>
      </c>
      <c r="AA80" s="127" t="s">
        <v>1867</v>
      </c>
      <c r="AB80" s="133">
        <v>2</v>
      </c>
      <c r="AC80" s="137" t="b">
        <v>0</v>
      </c>
      <c r="AE80" s="137" t="b">
        <v>0</v>
      </c>
      <c r="AG80" s="135" t="b">
        <v>1</v>
      </c>
      <c r="AH80" s="125">
        <v>13</v>
      </c>
      <c r="AI80" s="125">
        <v>21</v>
      </c>
      <c r="AJ80" s="125">
        <v>34</v>
      </c>
      <c r="AK80" s="125">
        <v>55</v>
      </c>
      <c r="AL80" s="129" t="b">
        <v>0</v>
      </c>
      <c r="AM80" s="128" t="b">
        <v>1</v>
      </c>
      <c r="AN80" s="131" t="s">
        <v>1469</v>
      </c>
      <c r="AO80" s="141">
        <v>1.0000000000000001E-5</v>
      </c>
      <c r="AP80" s="128" t="b">
        <v>1</v>
      </c>
      <c r="AQ80" s="141">
        <v>1.0000000000000001E-5</v>
      </c>
      <c r="AR80" s="150">
        <v>8</v>
      </c>
      <c r="AS80" s="150">
        <v>17</v>
      </c>
      <c r="AT80" s="150">
        <v>9</v>
      </c>
      <c r="AU80" s="128" t="b">
        <v>1</v>
      </c>
      <c r="AV80" s="124">
        <v>3</v>
      </c>
      <c r="AW80" s="146">
        <v>5</v>
      </c>
      <c r="AX80" s="124">
        <v>1</v>
      </c>
      <c r="AY80" s="128" t="b">
        <v>1</v>
      </c>
      <c r="AZ80" s="122" t="s">
        <v>1586</v>
      </c>
      <c r="BA80" s="122">
        <v>4</v>
      </c>
      <c r="BB80" s="126">
        <v>0.05</v>
      </c>
      <c r="BC80" s="126">
        <v>0.5</v>
      </c>
      <c r="BD80" s="129" t="b">
        <v>0</v>
      </c>
      <c r="BE80" s="122" t="s">
        <v>1873</v>
      </c>
      <c r="BF80" s="128" t="b">
        <v>1</v>
      </c>
      <c r="BG80" s="122" t="s">
        <v>1578</v>
      </c>
      <c r="BH80" s="133">
        <v>0.02</v>
      </c>
      <c r="BI80" s="156" t="s">
        <v>403</v>
      </c>
      <c r="BJ80" s="128" t="b">
        <v>1</v>
      </c>
      <c r="BK80" s="161">
        <v>1.5</v>
      </c>
      <c r="BL80" s="129" t="b">
        <v>0</v>
      </c>
      <c r="BM80" s="156" t="s">
        <v>412</v>
      </c>
      <c r="BN80" s="128" t="b">
        <v>1</v>
      </c>
      <c r="BO80" s="156" t="s">
        <v>1382</v>
      </c>
      <c r="BP80" s="157">
        <v>1</v>
      </c>
      <c r="BQ80" s="157">
        <v>0.5</v>
      </c>
      <c r="BR80" s="166" t="str">
        <f t="shared" si="129"/>
        <v>13/ 21/ 34/ 55</v>
      </c>
      <c r="BS80" s="166" t="str">
        <f t="shared" si="130"/>
        <v>8 / 17 / 9</v>
      </c>
      <c r="BT80" s="166" t="str">
        <f t="shared" si="131"/>
        <v>0.05 / 0.5</v>
      </c>
      <c r="BU80" s="66">
        <v>416</v>
      </c>
      <c r="BV80" s="66">
        <v>252</v>
      </c>
      <c r="BW80" s="66">
        <v>202</v>
      </c>
      <c r="BX80" s="99">
        <f t="shared" si="132"/>
        <v>50</v>
      </c>
      <c r="BY80" s="66">
        <v>51</v>
      </c>
      <c r="BZ80" s="92">
        <f t="shared" si="133"/>
        <v>113</v>
      </c>
      <c r="CA80" s="204">
        <f t="shared" si="144"/>
        <v>0.60576923076923073</v>
      </c>
      <c r="CB80" s="205">
        <f t="shared" si="145"/>
        <v>0.12259615384615384</v>
      </c>
      <c r="CC80" s="87">
        <v>5.39</v>
      </c>
      <c r="CD80" s="87">
        <v>26.71</v>
      </c>
      <c r="CE80" s="87">
        <v>0.43</v>
      </c>
      <c r="CF80" s="170">
        <f t="shared" si="134"/>
        <v>1.5</v>
      </c>
      <c r="CG80" s="87">
        <v>0.69</v>
      </c>
      <c r="CH80" s="87">
        <v>0.51</v>
      </c>
      <c r="CI80" s="93">
        <v>7467.3</v>
      </c>
      <c r="CJ80" s="87">
        <v>29.63</v>
      </c>
      <c r="CK80" s="87">
        <v>27.99</v>
      </c>
      <c r="CL80" s="87">
        <v>-4.7</v>
      </c>
      <c r="CM80" s="165">
        <v>1000</v>
      </c>
      <c r="CN80" s="93">
        <v>11111.44</v>
      </c>
      <c r="CO80" s="108">
        <f t="shared" si="135"/>
        <v>12111.44</v>
      </c>
      <c r="CP80" s="108">
        <f t="shared" si="136"/>
        <v>1111.144</v>
      </c>
      <c r="CR80" s="82">
        <f t="shared" si="137"/>
        <v>12</v>
      </c>
      <c r="CS80" s="80">
        <f t="shared" si="138"/>
        <v>622.27499999999998</v>
      </c>
      <c r="CT80" s="80">
        <f t="shared" si="139"/>
        <v>925.95333333333338</v>
      </c>
      <c r="CU80" s="80">
        <f t="shared" si="140"/>
        <v>92.595333333333343</v>
      </c>
      <c r="CW80" s="80">
        <f t="shared" si="141"/>
        <v>7467.3</v>
      </c>
      <c r="CX80" s="80">
        <f t="shared" si="142"/>
        <v>11111.44</v>
      </c>
      <c r="CY80" s="80">
        <f t="shared" si="143"/>
        <v>1111.144</v>
      </c>
    </row>
    <row r="81" spans="1:103" outlineLevel="1" x14ac:dyDescent="0.2">
      <c r="A81" s="120"/>
      <c r="B81" s="72"/>
      <c r="C81" s="57" t="s">
        <v>1387</v>
      </c>
      <c r="D81" s="57" t="s">
        <v>1888</v>
      </c>
      <c r="E81" s="65" t="s">
        <v>1389</v>
      </c>
      <c r="F81" s="57" t="s">
        <v>1454</v>
      </c>
      <c r="G81" s="62" t="s">
        <v>1556</v>
      </c>
      <c r="H81" s="129" t="b">
        <v>0</v>
      </c>
      <c r="J81" s="123" t="s">
        <v>1866</v>
      </c>
      <c r="K81" s="123" t="s">
        <v>1866</v>
      </c>
      <c r="L81" s="123" t="s">
        <v>1866</v>
      </c>
      <c r="M81" s="137" t="b">
        <v>0</v>
      </c>
      <c r="Q81" s="128" t="b">
        <v>1</v>
      </c>
      <c r="R81" s="127" t="s">
        <v>1559</v>
      </c>
      <c r="S81" s="135" t="b">
        <v>1</v>
      </c>
      <c r="T81" s="126">
        <v>13</v>
      </c>
      <c r="U81" s="124">
        <v>1.4999999999999999E-2</v>
      </c>
      <c r="V81" s="126">
        <v>75</v>
      </c>
      <c r="W81" s="126">
        <v>-75</v>
      </c>
      <c r="X81" s="124">
        <v>50</v>
      </c>
      <c r="Y81" s="124">
        <v>5</v>
      </c>
      <c r="Z81" s="128" t="b">
        <v>1</v>
      </c>
      <c r="AA81" s="127" t="s">
        <v>1867</v>
      </c>
      <c r="AB81" s="133">
        <v>2</v>
      </c>
      <c r="AC81" s="137" t="b">
        <v>0</v>
      </c>
      <c r="AE81" s="137" t="b">
        <v>0</v>
      </c>
      <c r="AG81" s="135" t="b">
        <v>1</v>
      </c>
      <c r="AH81" s="125">
        <v>13</v>
      </c>
      <c r="AI81" s="125">
        <v>21</v>
      </c>
      <c r="AJ81" s="125">
        <v>34</v>
      </c>
      <c r="AK81" s="125">
        <v>55</v>
      </c>
      <c r="AL81" s="129" t="b">
        <v>0</v>
      </c>
      <c r="AM81" s="128" t="b">
        <v>1</v>
      </c>
      <c r="AN81" s="131" t="s">
        <v>1469</v>
      </c>
      <c r="AO81" s="141">
        <v>1.0000000000000001E-5</v>
      </c>
      <c r="AP81" s="128" t="b">
        <v>1</v>
      </c>
      <c r="AQ81" s="141">
        <v>1.0000000000000001E-5</v>
      </c>
      <c r="AR81" s="152">
        <v>12</v>
      </c>
      <c r="AS81" s="152">
        <v>26</v>
      </c>
      <c r="AT81" s="152">
        <v>9</v>
      </c>
      <c r="AU81" s="128" t="b">
        <v>1</v>
      </c>
      <c r="AV81" s="124">
        <v>3</v>
      </c>
      <c r="AW81" s="146">
        <v>5</v>
      </c>
      <c r="AX81" s="124">
        <v>1</v>
      </c>
      <c r="AY81" s="128" t="b">
        <v>1</v>
      </c>
      <c r="AZ81" s="122" t="s">
        <v>1586</v>
      </c>
      <c r="BA81" s="122">
        <v>4</v>
      </c>
      <c r="BB81" s="126">
        <v>0.05</v>
      </c>
      <c r="BC81" s="126">
        <v>0.5</v>
      </c>
      <c r="BD81" s="129" t="b">
        <v>0</v>
      </c>
      <c r="BE81" s="122" t="s">
        <v>1873</v>
      </c>
      <c r="BF81" s="128" t="b">
        <v>1</v>
      </c>
      <c r="BG81" s="122" t="s">
        <v>1578</v>
      </c>
      <c r="BH81" s="133">
        <v>0.02</v>
      </c>
      <c r="BI81" s="156" t="s">
        <v>403</v>
      </c>
      <c r="BJ81" s="128" t="b">
        <v>1</v>
      </c>
      <c r="BK81" s="161">
        <v>1.5</v>
      </c>
      <c r="BL81" s="129" t="b">
        <v>0</v>
      </c>
      <c r="BM81" s="156" t="s">
        <v>412</v>
      </c>
      <c r="BN81" s="128" t="b">
        <v>1</v>
      </c>
      <c r="BO81" s="156" t="s">
        <v>1382</v>
      </c>
      <c r="BP81" s="157">
        <v>1</v>
      </c>
      <c r="BQ81" s="157">
        <v>0.5</v>
      </c>
      <c r="BR81" s="166" t="str">
        <f t="shared" si="129"/>
        <v>13/ 21/ 34/ 55</v>
      </c>
      <c r="BS81" s="166" t="str">
        <f t="shared" si="130"/>
        <v>12 / 26 / 9</v>
      </c>
      <c r="BT81" s="166" t="str">
        <f t="shared" si="131"/>
        <v>0.05 / 0.5</v>
      </c>
      <c r="BU81" s="66">
        <v>426</v>
      </c>
      <c r="BV81" s="66">
        <v>249</v>
      </c>
      <c r="BW81" s="66">
        <v>195</v>
      </c>
      <c r="BX81" s="99">
        <f t="shared" si="132"/>
        <v>54</v>
      </c>
      <c r="BY81" s="66">
        <v>54</v>
      </c>
      <c r="BZ81" s="92">
        <f t="shared" si="133"/>
        <v>123</v>
      </c>
      <c r="CA81" s="204">
        <f t="shared" si="144"/>
        <v>0.58450704225352113</v>
      </c>
      <c r="CB81" s="205">
        <f t="shared" si="145"/>
        <v>0.12676056338028169</v>
      </c>
      <c r="CC81" s="87">
        <v>4.82</v>
      </c>
      <c r="CD81" s="87">
        <v>27.36</v>
      </c>
      <c r="CE81" s="87">
        <v>0.41</v>
      </c>
      <c r="CF81" s="170">
        <f t="shared" si="134"/>
        <v>1.5</v>
      </c>
      <c r="CG81" s="87">
        <v>0.71</v>
      </c>
      <c r="CH81" s="87">
        <v>0.52</v>
      </c>
      <c r="CI81" s="93">
        <v>7393</v>
      </c>
      <c r="CJ81" s="87">
        <v>29.69</v>
      </c>
      <c r="CK81" s="87">
        <v>27.5</v>
      </c>
      <c r="CL81" s="87">
        <v>-4.62</v>
      </c>
      <c r="CM81" s="165">
        <v>1000</v>
      </c>
      <c r="CN81" s="93">
        <v>11653.998</v>
      </c>
      <c r="CO81" s="108">
        <f t="shared" si="135"/>
        <v>12653.998</v>
      </c>
      <c r="CP81" s="108">
        <f t="shared" si="136"/>
        <v>1165.3997999999999</v>
      </c>
      <c r="CR81" s="82">
        <f t="shared" si="137"/>
        <v>12</v>
      </c>
      <c r="CS81" s="80">
        <f t="shared" si="138"/>
        <v>616.08333333333337</v>
      </c>
      <c r="CT81" s="80">
        <f t="shared" si="139"/>
        <v>971.16649999999993</v>
      </c>
      <c r="CU81" s="80">
        <f t="shared" si="140"/>
        <v>97.116649999999993</v>
      </c>
      <c r="CW81" s="80">
        <f t="shared" si="141"/>
        <v>7393</v>
      </c>
      <c r="CX81" s="80">
        <f t="shared" si="142"/>
        <v>11653.998</v>
      </c>
      <c r="CY81" s="80">
        <f t="shared" si="143"/>
        <v>1165.3997999999999</v>
      </c>
    </row>
    <row r="82" spans="1:103" outlineLevel="1" x14ac:dyDescent="0.2">
      <c r="A82" s="120"/>
      <c r="B82" s="72"/>
      <c r="C82" s="57" t="s">
        <v>1387</v>
      </c>
      <c r="D82" s="57" t="s">
        <v>1888</v>
      </c>
      <c r="E82" s="65" t="s">
        <v>1389</v>
      </c>
      <c r="F82" s="57" t="s">
        <v>1454</v>
      </c>
      <c r="G82" s="62" t="s">
        <v>1556</v>
      </c>
      <c r="H82" s="129" t="b">
        <v>0</v>
      </c>
      <c r="J82" s="123" t="s">
        <v>1866</v>
      </c>
      <c r="K82" s="123" t="s">
        <v>1866</v>
      </c>
      <c r="L82" s="123" t="s">
        <v>1866</v>
      </c>
      <c r="M82" s="137" t="b">
        <v>0</v>
      </c>
      <c r="Q82" s="128" t="b">
        <v>1</v>
      </c>
      <c r="R82" s="127" t="s">
        <v>1559</v>
      </c>
      <c r="S82" s="135" t="b">
        <v>1</v>
      </c>
      <c r="T82" s="126">
        <v>13</v>
      </c>
      <c r="U82" s="124">
        <v>1.4999999999999999E-2</v>
      </c>
      <c r="V82" s="126">
        <v>75</v>
      </c>
      <c r="W82" s="126">
        <v>-75</v>
      </c>
      <c r="X82" s="124">
        <v>50</v>
      </c>
      <c r="Y82" s="124">
        <v>5</v>
      </c>
      <c r="Z82" s="128" t="b">
        <v>1</v>
      </c>
      <c r="AA82" s="127" t="s">
        <v>1867</v>
      </c>
      <c r="AB82" s="133">
        <v>2</v>
      </c>
      <c r="AC82" s="137" t="b">
        <v>0</v>
      </c>
      <c r="AE82" s="137" t="b">
        <v>0</v>
      </c>
      <c r="AG82" s="135" t="b">
        <v>1</v>
      </c>
      <c r="AH82" s="125">
        <v>13</v>
      </c>
      <c r="AI82" s="125">
        <v>21</v>
      </c>
      <c r="AJ82" s="125">
        <v>34</v>
      </c>
      <c r="AK82" s="125">
        <v>55</v>
      </c>
      <c r="AL82" s="129" t="b">
        <v>0</v>
      </c>
      <c r="AM82" s="128" t="b">
        <v>1</v>
      </c>
      <c r="AN82" s="131" t="s">
        <v>1469</v>
      </c>
      <c r="AO82" s="141">
        <v>1.0000000000000001E-5</v>
      </c>
      <c r="AP82" s="128" t="b">
        <v>1</v>
      </c>
      <c r="AQ82" s="141">
        <v>1.0000000000000001E-5</v>
      </c>
      <c r="AR82" s="137">
        <v>21</v>
      </c>
      <c r="AS82" s="137">
        <v>34</v>
      </c>
      <c r="AT82" s="137">
        <v>9</v>
      </c>
      <c r="AU82" s="128" t="b">
        <v>1</v>
      </c>
      <c r="AV82" s="124">
        <v>3</v>
      </c>
      <c r="AW82" s="146">
        <v>5</v>
      </c>
      <c r="AX82" s="124">
        <v>1</v>
      </c>
      <c r="AY82" s="128" t="b">
        <v>1</v>
      </c>
      <c r="AZ82" s="122" t="s">
        <v>1586</v>
      </c>
      <c r="BA82" s="122">
        <v>4</v>
      </c>
      <c r="BB82" s="126">
        <v>0.05</v>
      </c>
      <c r="BC82" s="126">
        <v>0.5</v>
      </c>
      <c r="BD82" s="129" t="b">
        <v>0</v>
      </c>
      <c r="BE82" s="122" t="s">
        <v>1873</v>
      </c>
      <c r="BF82" s="128" t="b">
        <v>1</v>
      </c>
      <c r="BG82" s="122" t="s">
        <v>1578</v>
      </c>
      <c r="BH82" s="133">
        <v>0.02</v>
      </c>
      <c r="BI82" s="156" t="s">
        <v>403</v>
      </c>
      <c r="BJ82" s="128" t="b">
        <v>1</v>
      </c>
      <c r="BK82" s="161">
        <v>1.5</v>
      </c>
      <c r="BL82" s="129" t="b">
        <v>0</v>
      </c>
      <c r="BM82" s="156" t="s">
        <v>412</v>
      </c>
      <c r="BN82" s="128" t="b">
        <v>1</v>
      </c>
      <c r="BO82" s="156" t="s">
        <v>1382</v>
      </c>
      <c r="BP82" s="157">
        <v>1</v>
      </c>
      <c r="BQ82" s="157">
        <v>0.5</v>
      </c>
      <c r="BR82" s="166" t="str">
        <f t="shared" si="129"/>
        <v>13/ 21/ 34/ 55</v>
      </c>
      <c r="BS82" s="166" t="str">
        <f t="shared" si="130"/>
        <v>21 / 34 / 9</v>
      </c>
      <c r="BT82" s="166" t="str">
        <f t="shared" si="131"/>
        <v>0.05 / 0.5</v>
      </c>
      <c r="BU82" s="66">
        <v>430</v>
      </c>
      <c r="BV82" s="66">
        <v>242</v>
      </c>
      <c r="BW82" s="66">
        <v>189</v>
      </c>
      <c r="BX82" s="99">
        <f t="shared" si="132"/>
        <v>53</v>
      </c>
      <c r="BY82" s="66">
        <v>57</v>
      </c>
      <c r="BZ82" s="92">
        <f t="shared" si="133"/>
        <v>131</v>
      </c>
      <c r="CA82" s="204">
        <f t="shared" si="144"/>
        <v>0.56279069767441858</v>
      </c>
      <c r="CB82" s="205">
        <f t="shared" si="145"/>
        <v>0.13255813953488371</v>
      </c>
      <c r="CC82" s="87">
        <v>4.3</v>
      </c>
      <c r="CD82" s="87">
        <v>25.44</v>
      </c>
      <c r="CE82" s="87">
        <v>0.39</v>
      </c>
      <c r="CF82" s="170">
        <f t="shared" si="134"/>
        <v>1.5</v>
      </c>
      <c r="CG82" s="87">
        <v>0.72</v>
      </c>
      <c r="CH82" s="87">
        <v>0.54</v>
      </c>
      <c r="CI82" s="93">
        <v>7230</v>
      </c>
      <c r="CJ82" s="87">
        <v>29.88</v>
      </c>
      <c r="CK82" s="87">
        <v>28.07</v>
      </c>
      <c r="CL82" s="87">
        <v>-6.3</v>
      </c>
      <c r="CM82" s="165">
        <v>1000</v>
      </c>
      <c r="CN82" s="93">
        <v>10938.9</v>
      </c>
      <c r="CO82" s="108">
        <f t="shared" si="135"/>
        <v>11938.9</v>
      </c>
      <c r="CP82" s="108">
        <f t="shared" si="136"/>
        <v>1093.8899999999999</v>
      </c>
      <c r="CR82" s="82">
        <f t="shared" si="137"/>
        <v>12</v>
      </c>
      <c r="CS82" s="80">
        <f t="shared" si="138"/>
        <v>602.5</v>
      </c>
      <c r="CT82" s="80">
        <f t="shared" si="139"/>
        <v>911.57499999999993</v>
      </c>
      <c r="CU82" s="80">
        <f t="shared" si="140"/>
        <v>91.157499999999999</v>
      </c>
      <c r="CW82" s="80">
        <f t="shared" si="141"/>
        <v>7230</v>
      </c>
      <c r="CX82" s="80">
        <f t="shared" si="142"/>
        <v>10938.9</v>
      </c>
      <c r="CY82" s="80">
        <f t="shared" si="143"/>
        <v>1093.8899999999999</v>
      </c>
    </row>
    <row r="83" spans="1:103" outlineLevel="1" x14ac:dyDescent="0.2"/>
    <row r="84" spans="1:103" x14ac:dyDescent="0.2">
      <c r="A84" s="120"/>
      <c r="B84" s="72" t="s">
        <v>1903</v>
      </c>
      <c r="C84" s="57" t="s">
        <v>1387</v>
      </c>
      <c r="D84" s="57" t="s">
        <v>1888</v>
      </c>
      <c r="E84" s="65" t="s">
        <v>1389</v>
      </c>
      <c r="F84" s="57" t="s">
        <v>1454</v>
      </c>
      <c r="G84" s="62" t="s">
        <v>1556</v>
      </c>
      <c r="H84" s="129" t="b">
        <v>0</v>
      </c>
      <c r="J84" s="123" t="s">
        <v>1866</v>
      </c>
      <c r="K84" s="123" t="s">
        <v>1866</v>
      </c>
      <c r="L84" s="123" t="s">
        <v>1866</v>
      </c>
      <c r="M84" s="137" t="b">
        <v>0</v>
      </c>
      <c r="Q84" s="128" t="b">
        <v>1</v>
      </c>
      <c r="R84" s="127" t="s">
        <v>1559</v>
      </c>
      <c r="S84" s="135" t="b">
        <v>1</v>
      </c>
      <c r="T84" s="126">
        <v>13</v>
      </c>
      <c r="U84" s="124">
        <v>1.4999999999999999E-2</v>
      </c>
      <c r="V84" s="126">
        <v>75</v>
      </c>
      <c r="W84" s="126">
        <v>-75</v>
      </c>
      <c r="X84" s="124">
        <v>50</v>
      </c>
      <c r="Y84" s="124">
        <v>5</v>
      </c>
      <c r="Z84" s="128" t="b">
        <v>1</v>
      </c>
      <c r="AA84" s="127" t="s">
        <v>1867</v>
      </c>
      <c r="AB84" s="133">
        <v>2</v>
      </c>
      <c r="AC84" s="137" t="b">
        <v>0</v>
      </c>
      <c r="AE84" s="137" t="b">
        <v>0</v>
      </c>
      <c r="AG84" s="135" t="b">
        <v>1</v>
      </c>
      <c r="AH84" s="125">
        <v>5</v>
      </c>
      <c r="AI84" s="125">
        <v>13</v>
      </c>
      <c r="AJ84" s="125">
        <v>34</v>
      </c>
      <c r="AK84" s="125">
        <v>89</v>
      </c>
      <c r="AL84" s="129" t="b">
        <v>0</v>
      </c>
      <c r="AM84" s="128" t="b">
        <v>1</v>
      </c>
      <c r="AN84" s="131" t="s">
        <v>1469</v>
      </c>
      <c r="AO84" s="141">
        <v>1.0000000000000001E-5</v>
      </c>
      <c r="AP84" s="128" t="b">
        <v>1</v>
      </c>
      <c r="AQ84" s="141">
        <v>1.0000000000000001E-5</v>
      </c>
      <c r="AR84" s="126">
        <v>5</v>
      </c>
      <c r="AS84" s="126">
        <v>8</v>
      </c>
      <c r="AT84" s="126">
        <v>5</v>
      </c>
      <c r="AU84" s="128" t="b">
        <v>1</v>
      </c>
      <c r="AV84" s="124">
        <v>3</v>
      </c>
      <c r="AW84" s="146">
        <v>5</v>
      </c>
      <c r="AX84" s="124">
        <v>1</v>
      </c>
      <c r="AY84" s="128" t="b">
        <v>1</v>
      </c>
      <c r="AZ84" s="122" t="s">
        <v>1586</v>
      </c>
      <c r="BA84" s="122">
        <v>4</v>
      </c>
      <c r="BB84" s="126">
        <v>0.05</v>
      </c>
      <c r="BC84" s="126">
        <v>0.5</v>
      </c>
      <c r="BD84" s="129" t="b">
        <v>0</v>
      </c>
      <c r="BE84" s="122" t="s">
        <v>1873</v>
      </c>
      <c r="BF84" s="128" t="b">
        <v>1</v>
      </c>
      <c r="BG84" s="122" t="s">
        <v>1578</v>
      </c>
      <c r="BH84" s="133">
        <v>0.02</v>
      </c>
      <c r="BI84" s="156" t="s">
        <v>403</v>
      </c>
      <c r="BJ84" s="128" t="b">
        <v>1</v>
      </c>
      <c r="BK84" s="161">
        <v>1.5</v>
      </c>
      <c r="BL84" s="129" t="b">
        <v>0</v>
      </c>
      <c r="BM84" s="156" t="s">
        <v>412</v>
      </c>
      <c r="BN84" s="128" t="b">
        <v>1</v>
      </c>
      <c r="BO84" s="156" t="s">
        <v>1382</v>
      </c>
      <c r="BP84" s="157">
        <v>1</v>
      </c>
      <c r="BQ84" s="157">
        <v>0.5</v>
      </c>
      <c r="BR84" s="166" t="str">
        <f t="shared" ref="BR84" si="146">AH84&amp;"/ "&amp;AI84&amp;"/ "&amp;AJ84&amp;"/ "&amp;AK84</f>
        <v>5/ 13/ 34/ 89</v>
      </c>
      <c r="BS84" s="166" t="str">
        <f t="shared" ref="BS84:BS91" si="147">AR84&amp;" / "&amp;AS84&amp;" / "&amp;AT84</f>
        <v>5 / 8 / 5</v>
      </c>
      <c r="BT84" s="166" t="str">
        <f t="shared" ref="BT84:BT91" si="148">BB84&amp;" / "&amp;BC84</f>
        <v>0.05 / 0.5</v>
      </c>
      <c r="BU84" s="66">
        <v>418</v>
      </c>
      <c r="BV84" s="66">
        <v>254</v>
      </c>
      <c r="BW84" s="66">
        <v>201</v>
      </c>
      <c r="BX84" s="99">
        <f t="shared" ref="BX84:BX91" si="149">BV84-BW84</f>
        <v>53</v>
      </c>
      <c r="BY84" s="66">
        <v>42</v>
      </c>
      <c r="BZ84" s="92">
        <f t="shared" ref="BZ84:BZ91" si="150">BU84-SUM(BW84:BY84)</f>
        <v>122</v>
      </c>
      <c r="CA84" s="204">
        <f>IF(BU84=0,0,BV84/BU84)</f>
        <v>0.60765550239234445</v>
      </c>
      <c r="CB84" s="205">
        <f>IF(BU84=0,0,BY84/BU84)</f>
        <v>0.10047846889952153</v>
      </c>
      <c r="CC84" s="87">
        <v>7.16</v>
      </c>
      <c r="CD84" s="87">
        <v>29.64</v>
      </c>
      <c r="CE84" s="87">
        <v>0.46</v>
      </c>
      <c r="CF84" s="170">
        <f t="shared" ref="CF84:CF91" si="151">BK84</f>
        <v>1.5</v>
      </c>
      <c r="CG84" s="87">
        <v>0.69</v>
      </c>
      <c r="CH84" s="87">
        <v>0.51</v>
      </c>
      <c r="CI84" s="93">
        <v>7556.7</v>
      </c>
      <c r="CJ84" s="87">
        <v>29.75</v>
      </c>
      <c r="CK84" s="87">
        <v>27.72</v>
      </c>
      <c r="CL84" s="87">
        <v>-5.59</v>
      </c>
      <c r="CM84" s="165">
        <v>1000</v>
      </c>
      <c r="CN84" s="93">
        <v>12388.64</v>
      </c>
      <c r="CO84" s="108">
        <f t="shared" ref="CO84:CO91" si="152">CM84+CN84</f>
        <v>13388.64</v>
      </c>
      <c r="CP84" s="108">
        <f t="shared" ref="CP84:CP91" si="153">CN84/10</f>
        <v>1238.864</v>
      </c>
      <c r="CR84" s="82">
        <f t="shared" ref="CR84:CR91" si="154">CR$4</f>
        <v>12</v>
      </c>
      <c r="CS84" s="80">
        <f t="shared" ref="CS84:CS91" si="155">CI84/CR84</f>
        <v>629.72500000000002</v>
      </c>
      <c r="CT84" s="80">
        <f t="shared" ref="CT84:CT91" si="156">CN84/CR84</f>
        <v>1032.3866666666665</v>
      </c>
      <c r="CU84" s="80">
        <f t="shared" ref="CU84:CU91" si="157">CT84/10</f>
        <v>103.23866666666666</v>
      </c>
      <c r="CW84" s="80">
        <f t="shared" ref="CW84:CW91" si="158">CI84</f>
        <v>7556.7</v>
      </c>
      <c r="CX84" s="80">
        <f t="shared" ref="CX84:CX91" si="159">CN84</f>
        <v>12388.64</v>
      </c>
      <c r="CY84" s="80">
        <f t="shared" ref="CY84:CY91" si="160">CP84</f>
        <v>1238.864</v>
      </c>
    </row>
    <row r="85" spans="1:103" outlineLevel="1" x14ac:dyDescent="0.2">
      <c r="A85" s="120"/>
      <c r="C85" s="57" t="s">
        <v>1387</v>
      </c>
      <c r="D85" s="57" t="s">
        <v>1888</v>
      </c>
      <c r="E85" s="65" t="s">
        <v>1389</v>
      </c>
      <c r="F85" s="57" t="s">
        <v>1454</v>
      </c>
      <c r="G85" s="62" t="s">
        <v>1556</v>
      </c>
      <c r="H85" s="129" t="b">
        <v>0</v>
      </c>
      <c r="J85" s="123" t="s">
        <v>1866</v>
      </c>
      <c r="K85" s="123" t="s">
        <v>1866</v>
      </c>
      <c r="L85" s="123" t="s">
        <v>1866</v>
      </c>
      <c r="M85" s="137" t="b">
        <v>0</v>
      </c>
      <c r="Q85" s="128" t="b">
        <v>1</v>
      </c>
      <c r="R85" s="127" t="s">
        <v>1559</v>
      </c>
      <c r="S85" s="135" t="b">
        <v>1</v>
      </c>
      <c r="T85" s="126">
        <v>13</v>
      </c>
      <c r="U85" s="124">
        <v>1.4999999999999999E-2</v>
      </c>
      <c r="V85" s="126">
        <v>75</v>
      </c>
      <c r="W85" s="126">
        <v>-75</v>
      </c>
      <c r="X85" s="124">
        <v>50</v>
      </c>
      <c r="Y85" s="124">
        <v>5</v>
      </c>
      <c r="Z85" s="128" t="b">
        <v>1</v>
      </c>
      <c r="AA85" s="127" t="s">
        <v>1867</v>
      </c>
      <c r="AB85" s="133">
        <v>2</v>
      </c>
      <c r="AC85" s="137" t="b">
        <v>0</v>
      </c>
      <c r="AE85" s="137" t="b">
        <v>0</v>
      </c>
      <c r="AG85" s="135" t="b">
        <v>1</v>
      </c>
      <c r="AH85" s="125">
        <v>5</v>
      </c>
      <c r="AI85" s="125">
        <v>13</v>
      </c>
      <c r="AJ85" s="125">
        <v>34</v>
      </c>
      <c r="AK85" s="125">
        <v>89</v>
      </c>
      <c r="AL85" s="129" t="b">
        <v>0</v>
      </c>
      <c r="AM85" s="128" t="b">
        <v>1</v>
      </c>
      <c r="AN85" s="131" t="s">
        <v>1469</v>
      </c>
      <c r="AO85" s="141">
        <v>1.0000000000000001E-5</v>
      </c>
      <c r="AP85" s="128" t="b">
        <v>1</v>
      </c>
      <c r="AQ85" s="141">
        <v>1.0000000000000001E-5</v>
      </c>
      <c r="AR85" s="137">
        <v>5</v>
      </c>
      <c r="AS85" s="137">
        <v>13</v>
      </c>
      <c r="AT85" s="137">
        <v>5</v>
      </c>
      <c r="AU85" s="128" t="b">
        <v>1</v>
      </c>
      <c r="AV85" s="124">
        <v>3</v>
      </c>
      <c r="AW85" s="146">
        <v>5</v>
      </c>
      <c r="AX85" s="124">
        <v>1</v>
      </c>
      <c r="AY85" s="128" t="b">
        <v>1</v>
      </c>
      <c r="AZ85" s="122" t="s">
        <v>1586</v>
      </c>
      <c r="BA85" s="122">
        <v>4</v>
      </c>
      <c r="BB85" s="126">
        <v>0.05</v>
      </c>
      <c r="BC85" s="126">
        <v>0.5</v>
      </c>
      <c r="BD85" s="129" t="b">
        <v>0</v>
      </c>
      <c r="BE85" s="122" t="s">
        <v>1873</v>
      </c>
      <c r="BF85" s="128" t="b">
        <v>1</v>
      </c>
      <c r="BG85" s="122" t="s">
        <v>1578</v>
      </c>
      <c r="BH85" s="133">
        <v>0.02</v>
      </c>
      <c r="BI85" s="156" t="s">
        <v>403</v>
      </c>
      <c r="BJ85" s="128" t="b">
        <v>1</v>
      </c>
      <c r="BK85" s="161">
        <v>1.5</v>
      </c>
      <c r="BL85" s="129" t="b">
        <v>0</v>
      </c>
      <c r="BM85" s="156" t="s">
        <v>412</v>
      </c>
      <c r="BN85" s="128" t="b">
        <v>1</v>
      </c>
      <c r="BO85" s="156" t="s">
        <v>1382</v>
      </c>
      <c r="BP85" s="157">
        <v>1</v>
      </c>
      <c r="BQ85" s="157">
        <v>0.5</v>
      </c>
      <c r="BR85" s="166" t="str">
        <f t="shared" ref="BR85" si="161">AH85&amp;"/ "&amp;AI85&amp;"/ "&amp;AJ85&amp;"/ "&amp;AK85</f>
        <v>5/ 13/ 34/ 89</v>
      </c>
      <c r="BS85" s="166" t="str">
        <f t="shared" si="147"/>
        <v>5 / 13 / 5</v>
      </c>
      <c r="BT85" s="166" t="str">
        <f t="shared" si="148"/>
        <v>0.05 / 0.5</v>
      </c>
      <c r="BU85" s="66">
        <v>427</v>
      </c>
      <c r="BV85" s="66">
        <v>256</v>
      </c>
      <c r="BW85" s="66">
        <v>203</v>
      </c>
      <c r="BX85" s="99">
        <f t="shared" si="149"/>
        <v>53</v>
      </c>
      <c r="BY85" s="66">
        <v>48</v>
      </c>
      <c r="BZ85" s="92">
        <f t="shared" si="150"/>
        <v>123</v>
      </c>
      <c r="CA85" s="204">
        <f t="shared" ref="CA85:CA91" si="162">IF(BU85=0,0,BV85/BU85)</f>
        <v>0.59953161592505855</v>
      </c>
      <c r="CB85" s="205">
        <f t="shared" ref="CB85:CB91" si="163">IF(BU85=0,0,BY85/BU85)</f>
        <v>0.11241217798594848</v>
      </c>
      <c r="CC85" s="87">
        <v>6.47</v>
      </c>
      <c r="CD85" s="87">
        <v>28.57</v>
      </c>
      <c r="CE85" s="87">
        <v>0.45</v>
      </c>
      <c r="CF85" s="170">
        <f t="shared" si="151"/>
        <v>1.5</v>
      </c>
      <c r="CG85" s="87">
        <v>0.7</v>
      </c>
      <c r="CH85" s="87">
        <v>0.52</v>
      </c>
      <c r="CI85" s="93">
        <v>7691.5</v>
      </c>
      <c r="CJ85" s="87">
        <v>30.04</v>
      </c>
      <c r="CK85" s="87">
        <v>27.61</v>
      </c>
      <c r="CL85" s="87">
        <v>-4.17</v>
      </c>
      <c r="CM85" s="165">
        <v>1000</v>
      </c>
      <c r="CN85" s="93">
        <v>12197.25</v>
      </c>
      <c r="CO85" s="108">
        <f t="shared" si="152"/>
        <v>13197.25</v>
      </c>
      <c r="CP85" s="108">
        <f t="shared" si="153"/>
        <v>1219.7249999999999</v>
      </c>
      <c r="CR85" s="82">
        <f t="shared" si="154"/>
        <v>12</v>
      </c>
      <c r="CS85" s="80">
        <f t="shared" si="155"/>
        <v>640.95833333333337</v>
      </c>
      <c r="CT85" s="80">
        <f t="shared" si="156"/>
        <v>1016.4375</v>
      </c>
      <c r="CU85" s="80">
        <f t="shared" si="157"/>
        <v>101.64375</v>
      </c>
      <c r="CW85" s="80">
        <f t="shared" si="158"/>
        <v>7691.5</v>
      </c>
      <c r="CX85" s="80">
        <f t="shared" si="159"/>
        <v>12197.25</v>
      </c>
      <c r="CY85" s="80">
        <f t="shared" si="160"/>
        <v>1219.7249999999999</v>
      </c>
    </row>
    <row r="86" spans="1:103" outlineLevel="1" x14ac:dyDescent="0.2">
      <c r="A86" s="120"/>
      <c r="C86" s="57" t="s">
        <v>1387</v>
      </c>
      <c r="D86" s="57" t="s">
        <v>1888</v>
      </c>
      <c r="E86" s="65" t="s">
        <v>1389</v>
      </c>
      <c r="F86" s="57" t="s">
        <v>1454</v>
      </c>
      <c r="G86" s="62" t="s">
        <v>1556</v>
      </c>
      <c r="H86" s="129" t="b">
        <v>0</v>
      </c>
      <c r="J86" s="123" t="s">
        <v>1866</v>
      </c>
      <c r="K86" s="123" t="s">
        <v>1866</v>
      </c>
      <c r="L86" s="123" t="s">
        <v>1866</v>
      </c>
      <c r="M86" s="137" t="b">
        <v>0</v>
      </c>
      <c r="Q86" s="128" t="b">
        <v>1</v>
      </c>
      <c r="R86" s="127" t="s">
        <v>1559</v>
      </c>
      <c r="S86" s="135" t="b">
        <v>1</v>
      </c>
      <c r="T86" s="126">
        <v>13</v>
      </c>
      <c r="U86" s="124">
        <v>1.4999999999999999E-2</v>
      </c>
      <c r="V86" s="126">
        <v>75</v>
      </c>
      <c r="W86" s="126">
        <v>-75</v>
      </c>
      <c r="X86" s="124">
        <v>50</v>
      </c>
      <c r="Y86" s="124">
        <v>5</v>
      </c>
      <c r="Z86" s="128" t="b">
        <v>1</v>
      </c>
      <c r="AA86" s="127" t="s">
        <v>1867</v>
      </c>
      <c r="AB86" s="133">
        <v>2</v>
      </c>
      <c r="AC86" s="137" t="b">
        <v>0</v>
      </c>
      <c r="AE86" s="137" t="b">
        <v>0</v>
      </c>
      <c r="AG86" s="135" t="b">
        <v>1</v>
      </c>
      <c r="AH86" s="125">
        <v>5</v>
      </c>
      <c r="AI86" s="125">
        <v>13</v>
      </c>
      <c r="AJ86" s="125">
        <v>34</v>
      </c>
      <c r="AK86" s="125">
        <v>89</v>
      </c>
      <c r="AL86" s="129" t="b">
        <v>0</v>
      </c>
      <c r="AM86" s="128" t="b">
        <v>1</v>
      </c>
      <c r="AN86" s="131" t="s">
        <v>1469</v>
      </c>
      <c r="AO86" s="141">
        <v>1.0000000000000001E-5</v>
      </c>
      <c r="AP86" s="128" t="b">
        <v>1</v>
      </c>
      <c r="AQ86" s="141">
        <v>1.0000000000000001E-5</v>
      </c>
      <c r="AR86" s="137">
        <v>5</v>
      </c>
      <c r="AS86" s="137">
        <v>13</v>
      </c>
      <c r="AT86" s="137">
        <v>8</v>
      </c>
      <c r="AU86" s="128" t="b">
        <v>1</v>
      </c>
      <c r="AV86" s="124">
        <v>3</v>
      </c>
      <c r="AW86" s="146">
        <v>5</v>
      </c>
      <c r="AX86" s="124">
        <v>1</v>
      </c>
      <c r="AY86" s="128" t="b">
        <v>1</v>
      </c>
      <c r="AZ86" s="122" t="s">
        <v>1586</v>
      </c>
      <c r="BA86" s="122">
        <v>4</v>
      </c>
      <c r="BB86" s="126">
        <v>0.05</v>
      </c>
      <c r="BC86" s="126">
        <v>0.5</v>
      </c>
      <c r="BD86" s="129" t="b">
        <v>0</v>
      </c>
      <c r="BE86" s="122" t="s">
        <v>1873</v>
      </c>
      <c r="BF86" s="128" t="b">
        <v>1</v>
      </c>
      <c r="BG86" s="122" t="s">
        <v>1578</v>
      </c>
      <c r="BH86" s="133">
        <v>0.02</v>
      </c>
      <c r="BI86" s="156" t="s">
        <v>403</v>
      </c>
      <c r="BJ86" s="128" t="b">
        <v>1</v>
      </c>
      <c r="BK86" s="161">
        <v>1.5</v>
      </c>
      <c r="BL86" s="129" t="b">
        <v>0</v>
      </c>
      <c r="BM86" s="156" t="s">
        <v>412</v>
      </c>
      <c r="BN86" s="128" t="b">
        <v>1</v>
      </c>
      <c r="BO86" s="156" t="s">
        <v>1382</v>
      </c>
      <c r="BP86" s="157">
        <v>1</v>
      </c>
      <c r="BQ86" s="157">
        <v>0.5</v>
      </c>
      <c r="BR86" s="166" t="str">
        <f t="shared" ref="BR86" si="164">AH86&amp;"/ "&amp;AI86&amp;"/ "&amp;AJ86&amp;"/ "&amp;AK86</f>
        <v>5/ 13/ 34/ 89</v>
      </c>
      <c r="BS86" s="166" t="str">
        <f t="shared" si="147"/>
        <v>5 / 13 / 8</v>
      </c>
      <c r="BT86" s="166" t="str">
        <f t="shared" si="148"/>
        <v>0.05 / 0.5</v>
      </c>
      <c r="BU86" s="66">
        <v>425</v>
      </c>
      <c r="BV86" s="66">
        <v>260</v>
      </c>
      <c r="BW86" s="66">
        <v>204</v>
      </c>
      <c r="BX86" s="99">
        <f t="shared" si="149"/>
        <v>56</v>
      </c>
      <c r="BY86" s="66">
        <v>47</v>
      </c>
      <c r="BZ86" s="92">
        <f t="shared" si="150"/>
        <v>118</v>
      </c>
      <c r="CA86" s="204">
        <f t="shared" si="162"/>
        <v>0.61176470588235299</v>
      </c>
      <c r="CB86" s="205">
        <f t="shared" si="163"/>
        <v>0.11058823529411765</v>
      </c>
      <c r="CC86" s="87">
        <v>6.7</v>
      </c>
      <c r="CD86" s="87">
        <v>30.24</v>
      </c>
      <c r="CE86" s="87">
        <v>0.47</v>
      </c>
      <c r="CF86" s="170">
        <f t="shared" si="151"/>
        <v>1.5</v>
      </c>
      <c r="CG86" s="87">
        <v>0.7</v>
      </c>
      <c r="CH86" s="87">
        <v>0.51</v>
      </c>
      <c r="CI86" s="93">
        <v>7842.4</v>
      </c>
      <c r="CJ86" s="87">
        <v>30.16</v>
      </c>
      <c r="CK86" s="87">
        <v>27.9</v>
      </c>
      <c r="CL86" s="87">
        <v>-5.6</v>
      </c>
      <c r="CM86" s="165">
        <v>1000</v>
      </c>
      <c r="CN86" s="93">
        <v>12850.28</v>
      </c>
      <c r="CO86" s="108">
        <f t="shared" si="152"/>
        <v>13850.28</v>
      </c>
      <c r="CP86" s="108">
        <f t="shared" si="153"/>
        <v>1285.028</v>
      </c>
      <c r="CR86" s="82">
        <f t="shared" si="154"/>
        <v>12</v>
      </c>
      <c r="CS86" s="80">
        <f t="shared" si="155"/>
        <v>653.5333333333333</v>
      </c>
      <c r="CT86" s="80">
        <f t="shared" si="156"/>
        <v>1070.8566666666668</v>
      </c>
      <c r="CU86" s="80">
        <f t="shared" si="157"/>
        <v>107.08566666666668</v>
      </c>
      <c r="CW86" s="80">
        <f t="shared" si="158"/>
        <v>7842.4</v>
      </c>
      <c r="CX86" s="80">
        <f t="shared" si="159"/>
        <v>12850.28</v>
      </c>
      <c r="CY86" s="80">
        <f t="shared" si="160"/>
        <v>1285.028</v>
      </c>
    </row>
    <row r="87" spans="1:103" outlineLevel="1" x14ac:dyDescent="0.2">
      <c r="A87" s="120"/>
      <c r="B87" s="72"/>
      <c r="C87" s="57" t="s">
        <v>1387</v>
      </c>
      <c r="D87" s="57" t="s">
        <v>1888</v>
      </c>
      <c r="E87" s="65" t="s">
        <v>1389</v>
      </c>
      <c r="F87" s="57" t="s">
        <v>1454</v>
      </c>
      <c r="G87" s="62" t="s">
        <v>1556</v>
      </c>
      <c r="H87" s="129" t="b">
        <v>0</v>
      </c>
      <c r="J87" s="123" t="s">
        <v>1866</v>
      </c>
      <c r="K87" s="123" t="s">
        <v>1866</v>
      </c>
      <c r="L87" s="123" t="s">
        <v>1866</v>
      </c>
      <c r="M87" s="137" t="b">
        <v>0</v>
      </c>
      <c r="Q87" s="128" t="b">
        <v>1</v>
      </c>
      <c r="R87" s="127" t="s">
        <v>1559</v>
      </c>
      <c r="S87" s="135" t="b">
        <v>1</v>
      </c>
      <c r="T87" s="126">
        <v>13</v>
      </c>
      <c r="U87" s="124">
        <v>1.4999999999999999E-2</v>
      </c>
      <c r="V87" s="126">
        <v>75</v>
      </c>
      <c r="W87" s="126">
        <v>-75</v>
      </c>
      <c r="X87" s="124">
        <v>50</v>
      </c>
      <c r="Y87" s="124">
        <v>5</v>
      </c>
      <c r="Z87" s="128" t="b">
        <v>1</v>
      </c>
      <c r="AA87" s="127" t="s">
        <v>1867</v>
      </c>
      <c r="AB87" s="133">
        <v>2</v>
      </c>
      <c r="AC87" s="137" t="b">
        <v>0</v>
      </c>
      <c r="AE87" s="137" t="b">
        <v>0</v>
      </c>
      <c r="AG87" s="135" t="b">
        <v>1</v>
      </c>
      <c r="AH87" s="125">
        <v>5</v>
      </c>
      <c r="AI87" s="125">
        <v>13</v>
      </c>
      <c r="AJ87" s="125">
        <v>34</v>
      </c>
      <c r="AK87" s="125">
        <v>89</v>
      </c>
      <c r="AL87" s="129" t="b">
        <v>0</v>
      </c>
      <c r="AM87" s="128" t="b">
        <v>1</v>
      </c>
      <c r="AN87" s="131" t="s">
        <v>1469</v>
      </c>
      <c r="AO87" s="141">
        <v>1.0000000000000001E-5</v>
      </c>
      <c r="AP87" s="128" t="b">
        <v>1</v>
      </c>
      <c r="AQ87" s="141">
        <v>1.0000000000000001E-5</v>
      </c>
      <c r="AR87" s="149">
        <v>8</v>
      </c>
      <c r="AS87" s="149">
        <v>13</v>
      </c>
      <c r="AT87" s="149">
        <v>8</v>
      </c>
      <c r="AU87" s="128" t="b">
        <v>1</v>
      </c>
      <c r="AV87" s="124">
        <v>3</v>
      </c>
      <c r="AW87" s="146">
        <v>5</v>
      </c>
      <c r="AX87" s="124">
        <v>1</v>
      </c>
      <c r="AY87" s="128" t="b">
        <v>1</v>
      </c>
      <c r="AZ87" s="122" t="s">
        <v>1586</v>
      </c>
      <c r="BA87" s="122">
        <v>4</v>
      </c>
      <c r="BB87" s="126">
        <v>0.05</v>
      </c>
      <c r="BC87" s="126">
        <v>0.5</v>
      </c>
      <c r="BD87" s="129" t="b">
        <v>0</v>
      </c>
      <c r="BE87" s="122" t="s">
        <v>1873</v>
      </c>
      <c r="BF87" s="128" t="b">
        <v>1</v>
      </c>
      <c r="BG87" s="122" t="s">
        <v>1578</v>
      </c>
      <c r="BH87" s="133">
        <v>0.02</v>
      </c>
      <c r="BI87" s="156" t="s">
        <v>403</v>
      </c>
      <c r="BJ87" s="128" t="b">
        <v>1</v>
      </c>
      <c r="BK87" s="161">
        <v>1.5</v>
      </c>
      <c r="BL87" s="129" t="b">
        <v>0</v>
      </c>
      <c r="BM87" s="156" t="s">
        <v>412</v>
      </c>
      <c r="BN87" s="128" t="b">
        <v>1</v>
      </c>
      <c r="BO87" s="156" t="s">
        <v>1382</v>
      </c>
      <c r="BP87" s="157">
        <v>1</v>
      </c>
      <c r="BQ87" s="157">
        <v>0.5</v>
      </c>
      <c r="BR87" s="166" t="str">
        <f t="shared" ref="BR87" si="165">AH87&amp;"/ "&amp;AI87&amp;"/ "&amp;AJ87&amp;"/ "&amp;AK87</f>
        <v>5/ 13/ 34/ 89</v>
      </c>
      <c r="BS87" s="166" t="str">
        <f t="shared" si="147"/>
        <v>8 / 13 / 8</v>
      </c>
      <c r="BT87" s="166" t="str">
        <f t="shared" si="148"/>
        <v>0.05 / 0.5</v>
      </c>
      <c r="BU87" s="66">
        <v>425</v>
      </c>
      <c r="BV87" s="66">
        <v>260</v>
      </c>
      <c r="BW87" s="66">
        <v>204</v>
      </c>
      <c r="BX87" s="99">
        <f t="shared" si="149"/>
        <v>56</v>
      </c>
      <c r="BY87" s="66">
        <v>47</v>
      </c>
      <c r="BZ87" s="92">
        <f t="shared" si="150"/>
        <v>118</v>
      </c>
      <c r="CA87" s="204">
        <f t="shared" si="162"/>
        <v>0.61176470588235299</v>
      </c>
      <c r="CB87" s="205">
        <f t="shared" si="163"/>
        <v>0.11058823529411765</v>
      </c>
      <c r="CC87" s="87">
        <v>6.7</v>
      </c>
      <c r="CD87" s="87">
        <v>30.24</v>
      </c>
      <c r="CE87" s="87">
        <v>0.47</v>
      </c>
      <c r="CF87" s="170">
        <f t="shared" si="151"/>
        <v>1.5</v>
      </c>
      <c r="CG87" s="87">
        <v>0.7</v>
      </c>
      <c r="CH87" s="87">
        <v>0.51</v>
      </c>
      <c r="CI87" s="93">
        <v>7842.4</v>
      </c>
      <c r="CJ87" s="87">
        <v>30.16</v>
      </c>
      <c r="CK87" s="87">
        <v>27.9</v>
      </c>
      <c r="CL87" s="87">
        <v>-5.6</v>
      </c>
      <c r="CM87" s="165">
        <v>1000</v>
      </c>
      <c r="CN87" s="93">
        <v>12850.28</v>
      </c>
      <c r="CO87" s="108">
        <f t="shared" si="152"/>
        <v>13850.28</v>
      </c>
      <c r="CP87" s="108">
        <f t="shared" si="153"/>
        <v>1285.028</v>
      </c>
      <c r="CR87" s="82">
        <f t="shared" si="154"/>
        <v>12</v>
      </c>
      <c r="CS87" s="80">
        <f t="shared" si="155"/>
        <v>653.5333333333333</v>
      </c>
      <c r="CT87" s="80">
        <f t="shared" si="156"/>
        <v>1070.8566666666668</v>
      </c>
      <c r="CU87" s="80">
        <f t="shared" si="157"/>
        <v>107.08566666666668</v>
      </c>
      <c r="CW87" s="80">
        <f t="shared" si="158"/>
        <v>7842.4</v>
      </c>
      <c r="CX87" s="80">
        <f t="shared" si="159"/>
        <v>12850.28</v>
      </c>
      <c r="CY87" s="80">
        <f t="shared" si="160"/>
        <v>1285.028</v>
      </c>
    </row>
    <row r="88" spans="1:103" outlineLevel="1" x14ac:dyDescent="0.2">
      <c r="A88" s="120"/>
      <c r="B88" s="72"/>
      <c r="C88" s="57" t="s">
        <v>1387</v>
      </c>
      <c r="D88" s="57" t="s">
        <v>1888</v>
      </c>
      <c r="E88" s="65" t="s">
        <v>1389</v>
      </c>
      <c r="F88" s="57" t="s">
        <v>1454</v>
      </c>
      <c r="G88" s="62" t="s">
        <v>1556</v>
      </c>
      <c r="H88" s="129" t="b">
        <v>0</v>
      </c>
      <c r="J88" s="123" t="s">
        <v>1866</v>
      </c>
      <c r="K88" s="123" t="s">
        <v>1866</v>
      </c>
      <c r="L88" s="123" t="s">
        <v>1866</v>
      </c>
      <c r="M88" s="137" t="b">
        <v>0</v>
      </c>
      <c r="Q88" s="128" t="b">
        <v>1</v>
      </c>
      <c r="R88" s="127" t="s">
        <v>1559</v>
      </c>
      <c r="S88" s="135" t="b">
        <v>1</v>
      </c>
      <c r="T88" s="126">
        <v>13</v>
      </c>
      <c r="U88" s="124">
        <v>1.4999999999999999E-2</v>
      </c>
      <c r="V88" s="126">
        <v>75</v>
      </c>
      <c r="W88" s="126">
        <v>-75</v>
      </c>
      <c r="X88" s="124">
        <v>50</v>
      </c>
      <c r="Y88" s="124">
        <v>5</v>
      </c>
      <c r="Z88" s="128" t="b">
        <v>1</v>
      </c>
      <c r="AA88" s="127" t="s">
        <v>1867</v>
      </c>
      <c r="AB88" s="133">
        <v>2</v>
      </c>
      <c r="AC88" s="137" t="b">
        <v>0</v>
      </c>
      <c r="AE88" s="137" t="b">
        <v>0</v>
      </c>
      <c r="AG88" s="135" t="b">
        <v>1</v>
      </c>
      <c r="AH88" s="125">
        <v>5</v>
      </c>
      <c r="AI88" s="125">
        <v>13</v>
      </c>
      <c r="AJ88" s="125">
        <v>34</v>
      </c>
      <c r="AK88" s="125">
        <v>89</v>
      </c>
      <c r="AL88" s="129" t="b">
        <v>0</v>
      </c>
      <c r="AM88" s="128" t="b">
        <v>1</v>
      </c>
      <c r="AN88" s="131" t="s">
        <v>1469</v>
      </c>
      <c r="AO88" s="141">
        <v>1.0000000000000001E-5</v>
      </c>
      <c r="AP88" s="128" t="b">
        <v>1</v>
      </c>
      <c r="AQ88" s="141">
        <v>1.0000000000000001E-5</v>
      </c>
      <c r="AR88" s="149">
        <v>8</v>
      </c>
      <c r="AS88" s="149">
        <v>13</v>
      </c>
      <c r="AT88" s="149">
        <v>11</v>
      </c>
      <c r="AU88" s="128" t="b">
        <v>1</v>
      </c>
      <c r="AV88" s="124">
        <v>3</v>
      </c>
      <c r="AW88" s="146">
        <v>5</v>
      </c>
      <c r="AX88" s="124">
        <v>1</v>
      </c>
      <c r="AY88" s="128" t="b">
        <v>1</v>
      </c>
      <c r="AZ88" s="122" t="s">
        <v>1586</v>
      </c>
      <c r="BA88" s="122">
        <v>4</v>
      </c>
      <c r="BB88" s="126">
        <v>0.05</v>
      </c>
      <c r="BC88" s="126">
        <v>0.5</v>
      </c>
      <c r="BD88" s="129" t="b">
        <v>0</v>
      </c>
      <c r="BE88" s="122" t="s">
        <v>1873</v>
      </c>
      <c r="BF88" s="128" t="b">
        <v>1</v>
      </c>
      <c r="BG88" s="122" t="s">
        <v>1578</v>
      </c>
      <c r="BH88" s="133">
        <v>0.02</v>
      </c>
      <c r="BI88" s="156" t="s">
        <v>403</v>
      </c>
      <c r="BJ88" s="128" t="b">
        <v>1</v>
      </c>
      <c r="BK88" s="161">
        <v>1.5</v>
      </c>
      <c r="BL88" s="129" t="b">
        <v>0</v>
      </c>
      <c r="BM88" s="156" t="s">
        <v>412</v>
      </c>
      <c r="BN88" s="128" t="b">
        <v>1</v>
      </c>
      <c r="BO88" s="156" t="s">
        <v>1382</v>
      </c>
      <c r="BP88" s="157">
        <v>1</v>
      </c>
      <c r="BQ88" s="157">
        <v>0.5</v>
      </c>
      <c r="BR88" s="166" t="str">
        <f t="shared" ref="BR88" si="166">AH88&amp;"/ "&amp;AI88&amp;"/ "&amp;AJ88&amp;"/ "&amp;AK88</f>
        <v>5/ 13/ 34/ 89</v>
      </c>
      <c r="BS88" s="166" t="str">
        <f t="shared" si="147"/>
        <v>8 / 13 / 11</v>
      </c>
      <c r="BT88" s="166" t="str">
        <f t="shared" si="148"/>
        <v>0.05 / 0.5</v>
      </c>
      <c r="BU88" s="66">
        <v>422</v>
      </c>
      <c r="BV88" s="66">
        <v>259</v>
      </c>
      <c r="BW88" s="66">
        <v>203</v>
      </c>
      <c r="BX88" s="99">
        <f t="shared" si="149"/>
        <v>56</v>
      </c>
      <c r="BY88" s="66">
        <v>45</v>
      </c>
      <c r="BZ88" s="92">
        <f t="shared" si="150"/>
        <v>118</v>
      </c>
      <c r="CA88" s="204">
        <f t="shared" si="162"/>
        <v>0.61374407582938384</v>
      </c>
      <c r="CB88" s="205">
        <f t="shared" si="163"/>
        <v>0.1066350710900474</v>
      </c>
      <c r="CC88" s="87">
        <v>7.13</v>
      </c>
      <c r="CD88" s="87">
        <v>31.3</v>
      </c>
      <c r="CE88" s="87">
        <v>0.48</v>
      </c>
      <c r="CF88" s="170">
        <f t="shared" si="151"/>
        <v>1.5</v>
      </c>
      <c r="CG88" s="87">
        <v>0.71</v>
      </c>
      <c r="CH88" s="87">
        <v>0.52</v>
      </c>
      <c r="CI88" s="93">
        <v>7776.3</v>
      </c>
      <c r="CJ88" s="87">
        <v>30.02</v>
      </c>
      <c r="CK88" s="87">
        <v>27.5</v>
      </c>
      <c r="CL88" s="87">
        <v>-4.57</v>
      </c>
      <c r="CM88" s="165">
        <v>1000</v>
      </c>
      <c r="CN88" s="208">
        <v>13207.55</v>
      </c>
      <c r="CO88" s="209">
        <f t="shared" si="152"/>
        <v>14207.55</v>
      </c>
      <c r="CP88" s="209">
        <f t="shared" si="153"/>
        <v>1320.7549999999999</v>
      </c>
      <c r="CR88" s="82">
        <f t="shared" si="154"/>
        <v>12</v>
      </c>
      <c r="CS88" s="80">
        <f t="shared" si="155"/>
        <v>648.02499999999998</v>
      </c>
      <c r="CT88" s="80">
        <f t="shared" si="156"/>
        <v>1100.6291666666666</v>
      </c>
      <c r="CU88" s="80">
        <f t="shared" si="157"/>
        <v>110.06291666666667</v>
      </c>
      <c r="CW88" s="80">
        <f t="shared" si="158"/>
        <v>7776.3</v>
      </c>
      <c r="CX88" s="80">
        <f t="shared" si="159"/>
        <v>13207.55</v>
      </c>
      <c r="CY88" s="80">
        <f t="shared" si="160"/>
        <v>1320.7549999999999</v>
      </c>
    </row>
    <row r="89" spans="1:103" outlineLevel="1" x14ac:dyDescent="0.2">
      <c r="A89" s="120"/>
      <c r="B89" s="72"/>
      <c r="C89" s="57" t="s">
        <v>1387</v>
      </c>
      <c r="D89" s="57" t="s">
        <v>1888</v>
      </c>
      <c r="E89" s="65" t="s">
        <v>1389</v>
      </c>
      <c r="F89" s="57" t="s">
        <v>1454</v>
      </c>
      <c r="G89" s="62" t="s">
        <v>1556</v>
      </c>
      <c r="H89" s="129" t="b">
        <v>0</v>
      </c>
      <c r="J89" s="123" t="s">
        <v>1866</v>
      </c>
      <c r="K89" s="123" t="s">
        <v>1866</v>
      </c>
      <c r="L89" s="123" t="s">
        <v>1866</v>
      </c>
      <c r="M89" s="137" t="b">
        <v>0</v>
      </c>
      <c r="Q89" s="128" t="b">
        <v>1</v>
      </c>
      <c r="R89" s="127" t="s">
        <v>1559</v>
      </c>
      <c r="S89" s="135" t="b">
        <v>1</v>
      </c>
      <c r="T89" s="126">
        <v>13</v>
      </c>
      <c r="U89" s="124">
        <v>1.4999999999999999E-2</v>
      </c>
      <c r="V89" s="126">
        <v>75</v>
      </c>
      <c r="W89" s="126">
        <v>-75</v>
      </c>
      <c r="X89" s="124">
        <v>50</v>
      </c>
      <c r="Y89" s="124">
        <v>5</v>
      </c>
      <c r="Z89" s="128" t="b">
        <v>1</v>
      </c>
      <c r="AA89" s="127" t="s">
        <v>1867</v>
      </c>
      <c r="AB89" s="133">
        <v>2</v>
      </c>
      <c r="AC89" s="137" t="b">
        <v>0</v>
      </c>
      <c r="AE89" s="137" t="b">
        <v>0</v>
      </c>
      <c r="AG89" s="135" t="b">
        <v>1</v>
      </c>
      <c r="AH89" s="125">
        <v>5</v>
      </c>
      <c r="AI89" s="125">
        <v>13</v>
      </c>
      <c r="AJ89" s="125">
        <v>34</v>
      </c>
      <c r="AK89" s="125">
        <v>89</v>
      </c>
      <c r="AL89" s="129" t="b">
        <v>0</v>
      </c>
      <c r="AM89" s="128" t="b">
        <v>1</v>
      </c>
      <c r="AN89" s="131" t="s">
        <v>1469</v>
      </c>
      <c r="AO89" s="141">
        <v>1.0000000000000001E-5</v>
      </c>
      <c r="AP89" s="128" t="b">
        <v>1</v>
      </c>
      <c r="AQ89" s="141">
        <v>1.0000000000000001E-5</v>
      </c>
      <c r="AR89" s="150">
        <v>8</v>
      </c>
      <c r="AS89" s="150">
        <v>17</v>
      </c>
      <c r="AT89" s="150">
        <v>9</v>
      </c>
      <c r="AU89" s="128" t="b">
        <v>1</v>
      </c>
      <c r="AV89" s="124">
        <v>3</v>
      </c>
      <c r="AW89" s="146">
        <v>5</v>
      </c>
      <c r="AX89" s="124">
        <v>1</v>
      </c>
      <c r="AY89" s="128" t="b">
        <v>1</v>
      </c>
      <c r="AZ89" s="122" t="s">
        <v>1586</v>
      </c>
      <c r="BA89" s="122">
        <v>4</v>
      </c>
      <c r="BB89" s="126">
        <v>0.05</v>
      </c>
      <c r="BC89" s="126">
        <v>0.5</v>
      </c>
      <c r="BD89" s="129" t="b">
        <v>0</v>
      </c>
      <c r="BE89" s="122" t="s">
        <v>1873</v>
      </c>
      <c r="BF89" s="128" t="b">
        <v>1</v>
      </c>
      <c r="BG89" s="122" t="s">
        <v>1578</v>
      </c>
      <c r="BH89" s="133">
        <v>0.02</v>
      </c>
      <c r="BI89" s="156" t="s">
        <v>403</v>
      </c>
      <c r="BJ89" s="128" t="b">
        <v>1</v>
      </c>
      <c r="BK89" s="161">
        <v>1.5</v>
      </c>
      <c r="BL89" s="129" t="b">
        <v>0</v>
      </c>
      <c r="BM89" s="156" t="s">
        <v>412</v>
      </c>
      <c r="BN89" s="128" t="b">
        <v>1</v>
      </c>
      <c r="BO89" s="156" t="s">
        <v>1382</v>
      </c>
      <c r="BP89" s="157">
        <v>1</v>
      </c>
      <c r="BQ89" s="157">
        <v>0.5</v>
      </c>
      <c r="BR89" s="166" t="str">
        <f t="shared" ref="BR89" si="167">AH89&amp;"/ "&amp;AI89&amp;"/ "&amp;AJ89&amp;"/ "&amp;AK89</f>
        <v>5/ 13/ 34/ 89</v>
      </c>
      <c r="BS89" s="166" t="str">
        <f t="shared" si="147"/>
        <v>8 / 17 / 9</v>
      </c>
      <c r="BT89" s="166" t="str">
        <f t="shared" si="148"/>
        <v>0.05 / 0.5</v>
      </c>
      <c r="BU89" s="66">
        <v>413</v>
      </c>
      <c r="BV89" s="66">
        <v>254</v>
      </c>
      <c r="BW89" s="66">
        <v>203</v>
      </c>
      <c r="BX89" s="99">
        <f t="shared" si="149"/>
        <v>51</v>
      </c>
      <c r="BY89" s="66">
        <v>46</v>
      </c>
      <c r="BZ89" s="92">
        <f t="shared" si="150"/>
        <v>113</v>
      </c>
      <c r="CA89" s="204">
        <f t="shared" si="162"/>
        <v>0.61501210653753025</v>
      </c>
      <c r="CB89" s="205">
        <f t="shared" si="163"/>
        <v>0.11138014527845036</v>
      </c>
      <c r="CC89" s="87">
        <v>7.16</v>
      </c>
      <c r="CD89" s="87">
        <v>29.54</v>
      </c>
      <c r="CE89" s="87">
        <v>0.48</v>
      </c>
      <c r="CF89" s="170">
        <f t="shared" si="151"/>
        <v>1.5</v>
      </c>
      <c r="CG89" s="87">
        <v>0.69</v>
      </c>
      <c r="CH89" s="87">
        <v>0.51</v>
      </c>
      <c r="CI89" s="93">
        <v>7585.4</v>
      </c>
      <c r="CJ89" s="87">
        <v>29.86</v>
      </c>
      <c r="CK89" s="87">
        <v>27.56</v>
      </c>
      <c r="CL89" s="87">
        <v>-6.03</v>
      </c>
      <c r="CM89" s="165">
        <v>1000</v>
      </c>
      <c r="CN89" s="93">
        <v>12201.2</v>
      </c>
      <c r="CO89" s="108">
        <f t="shared" si="152"/>
        <v>13201.2</v>
      </c>
      <c r="CP89" s="108">
        <f t="shared" si="153"/>
        <v>1220.1200000000001</v>
      </c>
      <c r="CR89" s="82">
        <f t="shared" si="154"/>
        <v>12</v>
      </c>
      <c r="CS89" s="80">
        <f t="shared" si="155"/>
        <v>632.11666666666667</v>
      </c>
      <c r="CT89" s="80">
        <f t="shared" si="156"/>
        <v>1016.7666666666668</v>
      </c>
      <c r="CU89" s="80">
        <f t="shared" si="157"/>
        <v>101.67666666666668</v>
      </c>
      <c r="CW89" s="80">
        <f t="shared" si="158"/>
        <v>7585.4</v>
      </c>
      <c r="CX89" s="80">
        <f t="shared" si="159"/>
        <v>12201.2</v>
      </c>
      <c r="CY89" s="80">
        <f t="shared" si="160"/>
        <v>1220.1200000000001</v>
      </c>
    </row>
    <row r="90" spans="1:103" outlineLevel="1" x14ac:dyDescent="0.2">
      <c r="A90" s="120"/>
      <c r="B90" s="72"/>
      <c r="C90" s="57" t="s">
        <v>1387</v>
      </c>
      <c r="D90" s="57" t="s">
        <v>1888</v>
      </c>
      <c r="E90" s="65" t="s">
        <v>1389</v>
      </c>
      <c r="F90" s="57" t="s">
        <v>1454</v>
      </c>
      <c r="G90" s="62" t="s">
        <v>1556</v>
      </c>
      <c r="H90" s="129" t="b">
        <v>0</v>
      </c>
      <c r="J90" s="123" t="s">
        <v>1866</v>
      </c>
      <c r="K90" s="123" t="s">
        <v>1866</v>
      </c>
      <c r="L90" s="123" t="s">
        <v>1866</v>
      </c>
      <c r="M90" s="137" t="b">
        <v>0</v>
      </c>
      <c r="Q90" s="128" t="b">
        <v>1</v>
      </c>
      <c r="R90" s="127" t="s">
        <v>1559</v>
      </c>
      <c r="S90" s="135" t="b">
        <v>1</v>
      </c>
      <c r="T90" s="126">
        <v>13</v>
      </c>
      <c r="U90" s="124">
        <v>1.4999999999999999E-2</v>
      </c>
      <c r="V90" s="126">
        <v>75</v>
      </c>
      <c r="W90" s="126">
        <v>-75</v>
      </c>
      <c r="X90" s="124">
        <v>50</v>
      </c>
      <c r="Y90" s="124">
        <v>5</v>
      </c>
      <c r="Z90" s="128" t="b">
        <v>1</v>
      </c>
      <c r="AA90" s="127" t="s">
        <v>1867</v>
      </c>
      <c r="AB90" s="133">
        <v>2</v>
      </c>
      <c r="AC90" s="137" t="b">
        <v>0</v>
      </c>
      <c r="AE90" s="137" t="b">
        <v>0</v>
      </c>
      <c r="AG90" s="135" t="b">
        <v>1</v>
      </c>
      <c r="AH90" s="125">
        <v>5</v>
      </c>
      <c r="AI90" s="125">
        <v>13</v>
      </c>
      <c r="AJ90" s="125">
        <v>34</v>
      </c>
      <c r="AK90" s="125">
        <v>89</v>
      </c>
      <c r="AL90" s="129" t="b">
        <v>0</v>
      </c>
      <c r="AM90" s="128" t="b">
        <v>1</v>
      </c>
      <c r="AN90" s="131" t="s">
        <v>1469</v>
      </c>
      <c r="AO90" s="141">
        <v>1.0000000000000001E-5</v>
      </c>
      <c r="AP90" s="128" t="b">
        <v>1</v>
      </c>
      <c r="AQ90" s="141">
        <v>1.0000000000000001E-5</v>
      </c>
      <c r="AR90" s="152">
        <v>12</v>
      </c>
      <c r="AS90" s="152">
        <v>26</v>
      </c>
      <c r="AT90" s="152">
        <v>9</v>
      </c>
      <c r="AU90" s="128" t="b">
        <v>1</v>
      </c>
      <c r="AV90" s="124">
        <v>3</v>
      </c>
      <c r="AW90" s="146">
        <v>5</v>
      </c>
      <c r="AX90" s="124">
        <v>1</v>
      </c>
      <c r="AY90" s="128" t="b">
        <v>1</v>
      </c>
      <c r="AZ90" s="122" t="s">
        <v>1586</v>
      </c>
      <c r="BA90" s="122">
        <v>4</v>
      </c>
      <c r="BB90" s="126">
        <v>0.05</v>
      </c>
      <c r="BC90" s="126">
        <v>0.5</v>
      </c>
      <c r="BD90" s="129" t="b">
        <v>0</v>
      </c>
      <c r="BE90" s="122" t="s">
        <v>1873</v>
      </c>
      <c r="BF90" s="128" t="b">
        <v>1</v>
      </c>
      <c r="BG90" s="122" t="s">
        <v>1578</v>
      </c>
      <c r="BH90" s="133">
        <v>0.02</v>
      </c>
      <c r="BI90" s="156" t="s">
        <v>403</v>
      </c>
      <c r="BJ90" s="128" t="b">
        <v>1</v>
      </c>
      <c r="BK90" s="161">
        <v>1.5</v>
      </c>
      <c r="BL90" s="129" t="b">
        <v>0</v>
      </c>
      <c r="BM90" s="156" t="s">
        <v>412</v>
      </c>
      <c r="BN90" s="128" t="b">
        <v>1</v>
      </c>
      <c r="BO90" s="156" t="s">
        <v>1382</v>
      </c>
      <c r="BP90" s="157">
        <v>1</v>
      </c>
      <c r="BQ90" s="157">
        <v>0.5</v>
      </c>
      <c r="BR90" s="166" t="str">
        <f t="shared" ref="BR90:BR91" si="168">AH90&amp;"/ "&amp;AI90&amp;"/ "&amp;AJ90&amp;"/ "&amp;AK90</f>
        <v>5/ 13/ 34/ 89</v>
      </c>
      <c r="BS90" s="166" t="str">
        <f t="shared" si="147"/>
        <v>12 / 26 / 9</v>
      </c>
      <c r="BT90" s="166" t="str">
        <f t="shared" si="148"/>
        <v>0.05 / 0.5</v>
      </c>
      <c r="BU90" s="66">
        <v>420</v>
      </c>
      <c r="BV90" s="66">
        <v>250</v>
      </c>
      <c r="BW90" s="66">
        <v>196</v>
      </c>
      <c r="BX90" s="99">
        <f t="shared" si="149"/>
        <v>54</v>
      </c>
      <c r="BY90" s="66">
        <v>48</v>
      </c>
      <c r="BZ90" s="92">
        <f t="shared" si="150"/>
        <v>122</v>
      </c>
      <c r="CA90" s="204">
        <f t="shared" si="162"/>
        <v>0.59523809523809523</v>
      </c>
      <c r="CB90" s="205">
        <f t="shared" si="163"/>
        <v>0.11428571428571428</v>
      </c>
      <c r="CC90" s="87">
        <v>6.15</v>
      </c>
      <c r="CD90" s="87">
        <v>30.01</v>
      </c>
      <c r="CE90" s="87">
        <v>0.45</v>
      </c>
      <c r="CF90" s="170">
        <f t="shared" si="151"/>
        <v>1.5</v>
      </c>
      <c r="CG90" s="87">
        <v>0.72</v>
      </c>
      <c r="CH90" s="87">
        <v>0.51</v>
      </c>
      <c r="CI90" s="93">
        <v>7467.3</v>
      </c>
      <c r="CJ90" s="87">
        <v>29.87</v>
      </c>
      <c r="CK90" s="87">
        <v>27.26</v>
      </c>
      <c r="CL90" s="87">
        <v>-4.3899999999999997</v>
      </c>
      <c r="CM90" s="165">
        <v>1000</v>
      </c>
      <c r="CN90" s="93">
        <v>12605.36</v>
      </c>
      <c r="CO90" s="108">
        <f t="shared" si="152"/>
        <v>13605.36</v>
      </c>
      <c r="CP90" s="108">
        <f t="shared" si="153"/>
        <v>1260.5360000000001</v>
      </c>
      <c r="CR90" s="82">
        <f t="shared" si="154"/>
        <v>12</v>
      </c>
      <c r="CS90" s="80">
        <f t="shared" si="155"/>
        <v>622.27499999999998</v>
      </c>
      <c r="CT90" s="80">
        <f t="shared" si="156"/>
        <v>1050.4466666666667</v>
      </c>
      <c r="CU90" s="80">
        <f t="shared" si="157"/>
        <v>105.04466666666667</v>
      </c>
      <c r="CW90" s="80">
        <f t="shared" si="158"/>
        <v>7467.3</v>
      </c>
      <c r="CX90" s="80">
        <f t="shared" si="159"/>
        <v>12605.36</v>
      </c>
      <c r="CY90" s="80">
        <f t="shared" si="160"/>
        <v>1260.5360000000001</v>
      </c>
    </row>
    <row r="91" spans="1:103" outlineLevel="1" x14ac:dyDescent="0.2">
      <c r="A91" s="120"/>
      <c r="B91" s="72"/>
      <c r="C91" s="57" t="s">
        <v>1387</v>
      </c>
      <c r="D91" s="57" t="s">
        <v>1888</v>
      </c>
      <c r="E91" s="65" t="s">
        <v>1389</v>
      </c>
      <c r="F91" s="57" t="s">
        <v>1454</v>
      </c>
      <c r="G91" s="62" t="s">
        <v>1556</v>
      </c>
      <c r="H91" s="129" t="b">
        <v>0</v>
      </c>
      <c r="J91" s="123" t="s">
        <v>1866</v>
      </c>
      <c r="K91" s="123" t="s">
        <v>1866</v>
      </c>
      <c r="L91" s="123" t="s">
        <v>1866</v>
      </c>
      <c r="M91" s="137" t="b">
        <v>0</v>
      </c>
      <c r="Q91" s="128" t="b">
        <v>1</v>
      </c>
      <c r="R91" s="127" t="s">
        <v>1559</v>
      </c>
      <c r="S91" s="135" t="b">
        <v>1</v>
      </c>
      <c r="T91" s="126">
        <v>13</v>
      </c>
      <c r="U91" s="124">
        <v>1.4999999999999999E-2</v>
      </c>
      <c r="V91" s="126">
        <v>75</v>
      </c>
      <c r="W91" s="126">
        <v>-75</v>
      </c>
      <c r="X91" s="124">
        <v>50</v>
      </c>
      <c r="Y91" s="124">
        <v>5</v>
      </c>
      <c r="Z91" s="128" t="b">
        <v>1</v>
      </c>
      <c r="AA91" s="127" t="s">
        <v>1867</v>
      </c>
      <c r="AB91" s="133">
        <v>2</v>
      </c>
      <c r="AC91" s="137" t="b">
        <v>0</v>
      </c>
      <c r="AE91" s="137" t="b">
        <v>0</v>
      </c>
      <c r="AG91" s="135" t="b">
        <v>1</v>
      </c>
      <c r="AH91" s="125">
        <v>5</v>
      </c>
      <c r="AI91" s="125">
        <v>13</v>
      </c>
      <c r="AJ91" s="125">
        <v>34</v>
      </c>
      <c r="AK91" s="125">
        <v>89</v>
      </c>
      <c r="AL91" s="129" t="b">
        <v>0</v>
      </c>
      <c r="AM91" s="128" t="b">
        <v>1</v>
      </c>
      <c r="AN91" s="131" t="s">
        <v>1469</v>
      </c>
      <c r="AO91" s="141">
        <v>1.0000000000000001E-5</v>
      </c>
      <c r="AP91" s="128" t="b">
        <v>1</v>
      </c>
      <c r="AQ91" s="141">
        <v>1.0000000000000001E-5</v>
      </c>
      <c r="AR91" s="137">
        <v>21</v>
      </c>
      <c r="AS91" s="137">
        <v>34</v>
      </c>
      <c r="AT91" s="137">
        <v>9</v>
      </c>
      <c r="AU91" s="128" t="b">
        <v>1</v>
      </c>
      <c r="AV91" s="124">
        <v>3</v>
      </c>
      <c r="AW91" s="146">
        <v>5</v>
      </c>
      <c r="AX91" s="124">
        <v>1</v>
      </c>
      <c r="AY91" s="128" t="b">
        <v>1</v>
      </c>
      <c r="AZ91" s="122" t="s">
        <v>1586</v>
      </c>
      <c r="BA91" s="122">
        <v>4</v>
      </c>
      <c r="BB91" s="126">
        <v>0.05</v>
      </c>
      <c r="BC91" s="126">
        <v>0.5</v>
      </c>
      <c r="BD91" s="129" t="b">
        <v>0</v>
      </c>
      <c r="BE91" s="122" t="s">
        <v>1873</v>
      </c>
      <c r="BF91" s="128" t="b">
        <v>1</v>
      </c>
      <c r="BG91" s="122" t="s">
        <v>1578</v>
      </c>
      <c r="BH91" s="133">
        <v>0.02</v>
      </c>
      <c r="BI91" s="156" t="s">
        <v>403</v>
      </c>
      <c r="BJ91" s="128" t="b">
        <v>1</v>
      </c>
      <c r="BK91" s="161">
        <v>1.5</v>
      </c>
      <c r="BL91" s="129" t="b">
        <v>0</v>
      </c>
      <c r="BM91" s="156" t="s">
        <v>412</v>
      </c>
      <c r="BN91" s="128" t="b">
        <v>1</v>
      </c>
      <c r="BO91" s="156" t="s">
        <v>1382</v>
      </c>
      <c r="BP91" s="157">
        <v>1</v>
      </c>
      <c r="BQ91" s="157">
        <v>0.5</v>
      </c>
      <c r="BR91" s="166" t="str">
        <f t="shared" si="168"/>
        <v>5/ 13/ 34/ 89</v>
      </c>
      <c r="BS91" s="166" t="str">
        <f t="shared" si="147"/>
        <v>21 / 34 / 9</v>
      </c>
      <c r="BT91" s="166" t="str">
        <f t="shared" si="148"/>
        <v>0.05 / 0.5</v>
      </c>
      <c r="BU91" s="66">
        <v>419</v>
      </c>
      <c r="BV91" s="66">
        <v>242</v>
      </c>
      <c r="BW91" s="66">
        <v>190</v>
      </c>
      <c r="BX91" s="99">
        <f t="shared" si="149"/>
        <v>52</v>
      </c>
      <c r="BY91" s="66">
        <v>51</v>
      </c>
      <c r="BZ91" s="92">
        <f t="shared" si="150"/>
        <v>126</v>
      </c>
      <c r="CA91" s="204">
        <f t="shared" si="162"/>
        <v>0.57756563245823389</v>
      </c>
      <c r="CB91" s="205">
        <f t="shared" si="163"/>
        <v>0.12171837708830549</v>
      </c>
      <c r="CC91" s="87">
        <v>5.39</v>
      </c>
      <c r="CD91" s="87">
        <v>28.11</v>
      </c>
      <c r="CE91" s="87">
        <v>0.43</v>
      </c>
      <c r="CF91" s="170">
        <f t="shared" si="151"/>
        <v>1.5</v>
      </c>
      <c r="CG91" s="87">
        <v>0.72</v>
      </c>
      <c r="CH91" s="87">
        <v>0.56000000000000005</v>
      </c>
      <c r="CI91" s="93">
        <v>7278.7</v>
      </c>
      <c r="CJ91" s="87">
        <v>30.08</v>
      </c>
      <c r="CK91" s="87">
        <v>27.74</v>
      </c>
      <c r="CL91" s="87">
        <v>-6.3</v>
      </c>
      <c r="CM91" s="165">
        <v>1000</v>
      </c>
      <c r="CN91" s="93">
        <v>11776.98</v>
      </c>
      <c r="CO91" s="108">
        <f t="shared" si="152"/>
        <v>12776.98</v>
      </c>
      <c r="CP91" s="108">
        <f t="shared" si="153"/>
        <v>1177.6979999999999</v>
      </c>
      <c r="CR91" s="82">
        <f t="shared" si="154"/>
        <v>12</v>
      </c>
      <c r="CS91" s="80">
        <f t="shared" si="155"/>
        <v>606.55833333333328</v>
      </c>
      <c r="CT91" s="80">
        <f t="shared" si="156"/>
        <v>981.41499999999996</v>
      </c>
      <c r="CU91" s="80">
        <f t="shared" si="157"/>
        <v>98.141499999999994</v>
      </c>
      <c r="CW91" s="80">
        <f t="shared" si="158"/>
        <v>7278.7</v>
      </c>
      <c r="CX91" s="80">
        <f t="shared" si="159"/>
        <v>11776.98</v>
      </c>
      <c r="CY91" s="80">
        <f t="shared" si="160"/>
        <v>1177.6979999999999</v>
      </c>
    </row>
    <row r="92" spans="1:103" s="111" customFormat="1" x14ac:dyDescent="0.2">
      <c r="G92" s="210"/>
      <c r="H92" s="190"/>
      <c r="I92" s="190"/>
      <c r="J92" s="191"/>
      <c r="K92" s="191"/>
      <c r="L92" s="191"/>
      <c r="M92" s="147"/>
      <c r="N92" s="147"/>
      <c r="O92" s="147"/>
      <c r="P92" s="147"/>
      <c r="Q92" s="190"/>
      <c r="R92" s="190"/>
      <c r="S92" s="147"/>
      <c r="T92" s="147"/>
      <c r="U92" s="147"/>
      <c r="V92" s="147"/>
      <c r="W92" s="147"/>
      <c r="X92" s="147"/>
      <c r="Y92" s="147"/>
      <c r="Z92" s="190"/>
      <c r="AA92" s="190"/>
      <c r="AB92" s="190"/>
      <c r="AC92" s="192"/>
      <c r="AD92" s="192"/>
      <c r="AE92" s="192"/>
      <c r="AF92" s="147"/>
      <c r="AG92" s="147"/>
      <c r="AH92" s="147"/>
      <c r="AI92" s="147"/>
      <c r="AJ92" s="147"/>
      <c r="AK92" s="147"/>
      <c r="AL92" s="190"/>
      <c r="AM92" s="190"/>
      <c r="AN92" s="190"/>
      <c r="AO92" s="190"/>
      <c r="AP92" s="190"/>
      <c r="AQ92" s="190"/>
      <c r="AR92" s="190"/>
      <c r="AS92" s="194"/>
      <c r="AT92" s="195"/>
      <c r="AU92" s="190"/>
      <c r="AV92" s="147"/>
      <c r="AW92" s="147"/>
      <c r="AX92" s="147"/>
      <c r="AY92" s="190"/>
      <c r="AZ92" s="190"/>
      <c r="BA92" s="190"/>
      <c r="BB92" s="195"/>
      <c r="BC92" s="196"/>
      <c r="BD92" s="190"/>
      <c r="BE92" s="190"/>
      <c r="BF92" s="190"/>
      <c r="BG92" s="190"/>
      <c r="BH92" s="190"/>
      <c r="BI92" s="196"/>
      <c r="BJ92" s="190"/>
      <c r="BK92" s="197"/>
      <c r="BL92" s="190"/>
      <c r="BM92" s="196"/>
      <c r="BN92" s="190"/>
      <c r="BO92" s="196"/>
      <c r="BP92" s="198"/>
      <c r="BQ92" s="198"/>
      <c r="BS92" s="199"/>
      <c r="BT92" s="199"/>
      <c r="BU92" s="200"/>
      <c r="CB92" s="203"/>
      <c r="CF92" s="201"/>
    </row>
    <row r="93" spans="1:103" x14ac:dyDescent="0.2">
      <c r="A93" s="120">
        <v>250706</v>
      </c>
      <c r="B93" s="72" t="s">
        <v>1904</v>
      </c>
      <c r="C93" s="57" t="s">
        <v>1387</v>
      </c>
      <c r="D93" s="57" t="s">
        <v>1440</v>
      </c>
      <c r="E93" s="65" t="s">
        <v>1389</v>
      </c>
      <c r="F93" s="57" t="s">
        <v>1454</v>
      </c>
      <c r="G93" s="62" t="s">
        <v>1556</v>
      </c>
      <c r="H93" s="129" t="b">
        <v>0</v>
      </c>
      <c r="J93" s="123" t="s">
        <v>1866</v>
      </c>
      <c r="K93" s="123" t="s">
        <v>1866</v>
      </c>
      <c r="L93" s="123" t="s">
        <v>1866</v>
      </c>
      <c r="M93" s="137" t="b">
        <v>0</v>
      </c>
      <c r="Q93" s="128" t="b">
        <v>1</v>
      </c>
      <c r="R93" s="127" t="s">
        <v>1559</v>
      </c>
      <c r="S93" s="135" t="b">
        <v>1</v>
      </c>
      <c r="T93" s="126">
        <v>13</v>
      </c>
      <c r="U93" s="124">
        <v>1.4999999999999999E-2</v>
      </c>
      <c r="V93" s="126">
        <v>75</v>
      </c>
      <c r="W93" s="126">
        <v>-75</v>
      </c>
      <c r="X93" s="124">
        <v>50</v>
      </c>
      <c r="Y93" s="124">
        <v>5</v>
      </c>
      <c r="Z93" s="128" t="b">
        <v>1</v>
      </c>
      <c r="AA93" s="127" t="s">
        <v>1867</v>
      </c>
      <c r="AB93" s="133">
        <v>2</v>
      </c>
      <c r="AC93" s="137" t="b">
        <v>0</v>
      </c>
      <c r="AE93" s="137" t="b">
        <v>0</v>
      </c>
      <c r="AG93" s="135" t="b">
        <v>1</v>
      </c>
      <c r="AH93" s="125">
        <v>5</v>
      </c>
      <c r="AI93" s="125">
        <v>13</v>
      </c>
      <c r="AJ93" s="125">
        <v>34</v>
      </c>
      <c r="AK93" s="125">
        <v>89</v>
      </c>
      <c r="AL93" s="129" t="b">
        <v>0</v>
      </c>
      <c r="AM93" s="128" t="b">
        <v>1</v>
      </c>
      <c r="AN93" s="131" t="s">
        <v>1469</v>
      </c>
      <c r="AO93" s="141">
        <v>1.0000000000000001E-5</v>
      </c>
      <c r="AP93" s="128" t="b">
        <v>1</v>
      </c>
      <c r="AQ93" s="141">
        <v>1.0000000000000001E-5</v>
      </c>
      <c r="AR93" s="126">
        <v>5</v>
      </c>
      <c r="AS93" s="126">
        <v>8</v>
      </c>
      <c r="AT93" s="126">
        <v>5</v>
      </c>
      <c r="AU93" s="128" t="b">
        <v>1</v>
      </c>
      <c r="AV93" s="124">
        <v>3</v>
      </c>
      <c r="AW93" s="146">
        <v>5</v>
      </c>
      <c r="AX93" s="124">
        <v>1</v>
      </c>
      <c r="AY93" s="128" t="b">
        <v>1</v>
      </c>
      <c r="AZ93" s="122" t="s">
        <v>1586</v>
      </c>
      <c r="BA93" s="122">
        <v>4</v>
      </c>
      <c r="BB93" s="126">
        <v>0.05</v>
      </c>
      <c r="BC93" s="126">
        <v>0.5</v>
      </c>
      <c r="BD93" s="129" t="b">
        <v>0</v>
      </c>
      <c r="BE93" s="122" t="s">
        <v>1873</v>
      </c>
      <c r="BF93" s="128" t="b">
        <v>1</v>
      </c>
      <c r="BG93" s="122" t="s">
        <v>1578</v>
      </c>
      <c r="BH93" s="133">
        <v>0.02</v>
      </c>
      <c r="BI93" s="156" t="s">
        <v>403</v>
      </c>
      <c r="BJ93" s="128" t="b">
        <v>1</v>
      </c>
      <c r="BK93" s="161">
        <v>1.5</v>
      </c>
      <c r="BL93" s="129" t="b">
        <v>0</v>
      </c>
      <c r="BM93" s="156" t="s">
        <v>412</v>
      </c>
      <c r="BN93" s="128" t="b">
        <v>1</v>
      </c>
      <c r="BO93" s="156" t="s">
        <v>1382</v>
      </c>
      <c r="BP93" s="157">
        <v>1</v>
      </c>
      <c r="BQ93" s="157">
        <v>0.5</v>
      </c>
      <c r="BR93" s="166" t="str">
        <f t="shared" ref="BR93" si="169">AH93&amp;"/ "&amp;AI93&amp;"/ "&amp;AJ93&amp;"/ "&amp;AK93</f>
        <v>5/ 13/ 34/ 89</v>
      </c>
      <c r="BS93" s="166" t="str">
        <f t="shared" ref="BS93:BS100" si="170">AR93&amp;" / "&amp;AS93&amp;" / "&amp;AT93</f>
        <v>5 / 8 / 5</v>
      </c>
      <c r="BT93" s="166" t="str">
        <f t="shared" ref="BT93:BT100" si="171">BB93&amp;" / "&amp;BC93</f>
        <v>0.05 / 0.5</v>
      </c>
      <c r="BU93" s="66">
        <v>1654</v>
      </c>
      <c r="BV93" s="66">
        <v>1010</v>
      </c>
      <c r="BW93" s="66">
        <v>834</v>
      </c>
      <c r="BX93" s="99">
        <f t="shared" ref="BX93:BX100" si="172">BV93-BW93</f>
        <v>176</v>
      </c>
      <c r="BY93" s="66">
        <v>160</v>
      </c>
      <c r="BZ93" s="92">
        <f t="shared" ref="BZ93:BZ100" si="173">BU93-SUM(BW93:BY93)</f>
        <v>484</v>
      </c>
      <c r="CA93" s="204">
        <f>IF(BU93=0,0,BV93/BU93)</f>
        <v>0.61064087061668681</v>
      </c>
      <c r="CB93" s="205">
        <f>IF(BU93=0,0,BY93/BU93)</f>
        <v>9.6735187424425634E-2</v>
      </c>
      <c r="CC93" s="87">
        <v>5.54</v>
      </c>
      <c r="CD93" s="87">
        <v>44.26</v>
      </c>
      <c r="CE93" s="87">
        <v>0.5</v>
      </c>
      <c r="CF93" s="170">
        <f t="shared" ref="CF93:CF100" si="174">BK93</f>
        <v>1.5</v>
      </c>
      <c r="CG93" s="87">
        <v>0.66</v>
      </c>
      <c r="CH93" s="87">
        <v>0.52</v>
      </c>
      <c r="CI93" s="93">
        <v>14285.8</v>
      </c>
      <c r="CJ93" s="87">
        <v>14.14</v>
      </c>
      <c r="CK93" s="87">
        <v>13.92</v>
      </c>
      <c r="CL93" s="87">
        <v>-5.47</v>
      </c>
      <c r="CM93" s="165">
        <v>1000</v>
      </c>
      <c r="CN93" s="93">
        <v>73205.37</v>
      </c>
      <c r="CO93" s="108">
        <f t="shared" ref="CO93:CO100" si="175">CM93+CN93</f>
        <v>74205.37</v>
      </c>
      <c r="CP93" s="108">
        <f t="shared" ref="CP93:CP100" si="176">CN93/10</f>
        <v>7320.5369999999994</v>
      </c>
      <c r="CR93" s="82">
        <f t="shared" ref="CR93:CR100" si="177">CR$4</f>
        <v>12</v>
      </c>
      <c r="CS93" s="80">
        <f t="shared" ref="CS93:CS100" si="178">CI93/CR93</f>
        <v>1190.4833333333333</v>
      </c>
      <c r="CT93" s="80">
        <f t="shared" ref="CT93:CT100" si="179">CN93/CR93</f>
        <v>6100.4474999999993</v>
      </c>
      <c r="CU93" s="80">
        <f t="shared" ref="CU93:CU100" si="180">CT93/10</f>
        <v>610.04474999999991</v>
      </c>
      <c r="CW93" s="80">
        <f t="shared" ref="CW93:CW100" si="181">CI93</f>
        <v>14285.8</v>
      </c>
      <c r="CX93" s="80">
        <f t="shared" ref="CX93:CX100" si="182">CN93</f>
        <v>73205.37</v>
      </c>
      <c r="CY93" s="80">
        <f t="shared" ref="CY93:CY100" si="183">CP93</f>
        <v>7320.5369999999994</v>
      </c>
    </row>
    <row r="94" spans="1:103" x14ac:dyDescent="0.2">
      <c r="A94" s="120"/>
      <c r="B94" s="72"/>
      <c r="C94" s="57" t="s">
        <v>1387</v>
      </c>
      <c r="D94" s="57" t="s">
        <v>1440</v>
      </c>
      <c r="E94" s="65" t="s">
        <v>1389</v>
      </c>
      <c r="F94" s="57" t="s">
        <v>1454</v>
      </c>
      <c r="G94" s="62" t="s">
        <v>1556</v>
      </c>
      <c r="H94" s="129" t="b">
        <v>0</v>
      </c>
      <c r="J94" s="123" t="s">
        <v>1866</v>
      </c>
      <c r="K94" s="123" t="s">
        <v>1866</v>
      </c>
      <c r="L94" s="123" t="s">
        <v>1866</v>
      </c>
      <c r="M94" s="137" t="b">
        <v>0</v>
      </c>
      <c r="Q94" s="128" t="b">
        <v>1</v>
      </c>
      <c r="R94" s="127" t="s">
        <v>1559</v>
      </c>
      <c r="S94" s="135" t="b">
        <v>1</v>
      </c>
      <c r="T94" s="126">
        <v>13</v>
      </c>
      <c r="U94" s="124">
        <v>1.4999999999999999E-2</v>
      </c>
      <c r="V94" s="126">
        <v>75</v>
      </c>
      <c r="W94" s="126">
        <v>-75</v>
      </c>
      <c r="X94" s="124">
        <v>50</v>
      </c>
      <c r="Y94" s="124">
        <v>5</v>
      </c>
      <c r="Z94" s="128" t="b">
        <v>1</v>
      </c>
      <c r="AA94" s="127" t="s">
        <v>1867</v>
      </c>
      <c r="AB94" s="133">
        <v>2</v>
      </c>
      <c r="AC94" s="137" t="b">
        <v>0</v>
      </c>
      <c r="AE94" s="137" t="b">
        <v>0</v>
      </c>
      <c r="AG94" s="135" t="b">
        <v>1</v>
      </c>
      <c r="AH94" s="125">
        <v>5</v>
      </c>
      <c r="AI94" s="125">
        <v>13</v>
      </c>
      <c r="AJ94" s="125">
        <v>34</v>
      </c>
      <c r="AK94" s="125">
        <v>89</v>
      </c>
      <c r="AL94" s="129" t="b">
        <v>0</v>
      </c>
      <c r="AM94" s="128" t="b">
        <v>1</v>
      </c>
      <c r="AN94" s="131" t="s">
        <v>1469</v>
      </c>
      <c r="AO94" s="141">
        <v>1.0000000000000001E-5</v>
      </c>
      <c r="AP94" s="128" t="b">
        <v>1</v>
      </c>
      <c r="AQ94" s="141">
        <v>1.0000000000000001E-5</v>
      </c>
      <c r="AR94" s="137">
        <v>5</v>
      </c>
      <c r="AS94" s="137">
        <v>13</v>
      </c>
      <c r="AT94" s="137">
        <v>5</v>
      </c>
      <c r="AU94" s="128" t="b">
        <v>1</v>
      </c>
      <c r="AV94" s="124">
        <v>3</v>
      </c>
      <c r="AW94" s="146">
        <v>5</v>
      </c>
      <c r="AX94" s="124">
        <v>1</v>
      </c>
      <c r="AY94" s="128" t="b">
        <v>1</v>
      </c>
      <c r="AZ94" s="122" t="s">
        <v>1586</v>
      </c>
      <c r="BA94" s="122">
        <v>4</v>
      </c>
      <c r="BB94" s="126">
        <v>0.05</v>
      </c>
      <c r="BC94" s="126">
        <v>0.5</v>
      </c>
      <c r="BD94" s="129" t="b">
        <v>0</v>
      </c>
      <c r="BE94" s="122" t="s">
        <v>1873</v>
      </c>
      <c r="BF94" s="128" t="b">
        <v>1</v>
      </c>
      <c r="BG94" s="122" t="s">
        <v>1578</v>
      </c>
      <c r="BH94" s="133">
        <v>0.02</v>
      </c>
      <c r="BI94" s="156" t="s">
        <v>403</v>
      </c>
      <c r="BJ94" s="128" t="b">
        <v>1</v>
      </c>
      <c r="BK94" s="161">
        <v>1.5</v>
      </c>
      <c r="BL94" s="129" t="b">
        <v>0</v>
      </c>
      <c r="BM94" s="156" t="s">
        <v>412</v>
      </c>
      <c r="BN94" s="128" t="b">
        <v>1</v>
      </c>
      <c r="BO94" s="156" t="s">
        <v>1382</v>
      </c>
      <c r="BP94" s="157">
        <v>1</v>
      </c>
      <c r="BQ94" s="157">
        <v>0.5</v>
      </c>
      <c r="BR94" s="166" t="str">
        <f>AH94&amp;"/ "&amp;AI94&amp;"/ "&amp;AJ94&amp;"/ "&amp;AK94</f>
        <v>5/ 13/ 34/ 89</v>
      </c>
      <c r="BS94" s="166" t="str">
        <f t="shared" si="170"/>
        <v>5 / 13 / 5</v>
      </c>
      <c r="BT94" s="166" t="str">
        <f t="shared" si="171"/>
        <v>0.05 / 0.5</v>
      </c>
      <c r="BU94" s="66"/>
      <c r="BV94" s="66"/>
      <c r="BW94" s="66"/>
      <c r="BX94" s="99">
        <f t="shared" si="172"/>
        <v>0</v>
      </c>
      <c r="BY94" s="66"/>
      <c r="BZ94" s="92">
        <f t="shared" si="173"/>
        <v>0</v>
      </c>
      <c r="CA94" s="204">
        <f t="shared" ref="CA94:CA100" si="184">IF(BU94=0,0,BV94/BU94)</f>
        <v>0</v>
      </c>
      <c r="CB94" s="205">
        <f>IF(BU94=0,0,BY94/BU94)</f>
        <v>0</v>
      </c>
      <c r="CC94" s="87"/>
      <c r="CD94" s="87"/>
      <c r="CE94" s="87"/>
      <c r="CF94" s="170">
        <f t="shared" si="174"/>
        <v>1.5</v>
      </c>
      <c r="CG94" s="87"/>
      <c r="CH94" s="87"/>
      <c r="CI94" s="93"/>
      <c r="CJ94" s="87"/>
      <c r="CK94" s="87"/>
      <c r="CL94" s="87"/>
      <c r="CM94" s="165">
        <v>1000</v>
      </c>
      <c r="CN94" s="93"/>
      <c r="CO94" s="108">
        <f t="shared" si="175"/>
        <v>1000</v>
      </c>
      <c r="CP94" s="108">
        <f t="shared" si="176"/>
        <v>0</v>
      </c>
      <c r="CR94" s="82">
        <f t="shared" si="177"/>
        <v>12</v>
      </c>
      <c r="CS94" s="80">
        <f t="shared" si="178"/>
        <v>0</v>
      </c>
      <c r="CT94" s="80">
        <f t="shared" si="179"/>
        <v>0</v>
      </c>
      <c r="CU94" s="80">
        <f t="shared" si="180"/>
        <v>0</v>
      </c>
      <c r="CW94" s="80">
        <f t="shared" si="181"/>
        <v>0</v>
      </c>
      <c r="CX94" s="80">
        <f t="shared" si="182"/>
        <v>0</v>
      </c>
      <c r="CY94" s="80">
        <f t="shared" si="183"/>
        <v>0</v>
      </c>
    </row>
    <row r="95" spans="1:103" x14ac:dyDescent="0.2">
      <c r="A95" s="120"/>
      <c r="B95" s="72"/>
      <c r="C95" s="57" t="s">
        <v>1387</v>
      </c>
      <c r="D95" s="57" t="s">
        <v>1440</v>
      </c>
      <c r="E95" s="65" t="s">
        <v>1389</v>
      </c>
      <c r="F95" s="57" t="s">
        <v>1454</v>
      </c>
      <c r="G95" s="62" t="s">
        <v>1556</v>
      </c>
      <c r="H95" s="129" t="b">
        <v>0</v>
      </c>
      <c r="J95" s="123" t="s">
        <v>1866</v>
      </c>
      <c r="K95" s="123" t="s">
        <v>1866</v>
      </c>
      <c r="L95" s="123" t="s">
        <v>1866</v>
      </c>
      <c r="M95" s="137" t="b">
        <v>0</v>
      </c>
      <c r="Q95" s="128" t="b">
        <v>1</v>
      </c>
      <c r="R95" s="127" t="s">
        <v>1559</v>
      </c>
      <c r="S95" s="135" t="b">
        <v>1</v>
      </c>
      <c r="T95" s="126">
        <v>13</v>
      </c>
      <c r="U95" s="124">
        <v>1.4999999999999999E-2</v>
      </c>
      <c r="V95" s="126">
        <v>75</v>
      </c>
      <c r="W95" s="126">
        <v>-75</v>
      </c>
      <c r="X95" s="124">
        <v>50</v>
      </c>
      <c r="Y95" s="124">
        <v>5</v>
      </c>
      <c r="Z95" s="128" t="b">
        <v>1</v>
      </c>
      <c r="AA95" s="127" t="s">
        <v>1867</v>
      </c>
      <c r="AB95" s="133">
        <v>2</v>
      </c>
      <c r="AC95" s="137" t="b">
        <v>0</v>
      </c>
      <c r="AE95" s="137" t="b">
        <v>0</v>
      </c>
      <c r="AG95" s="135" t="b">
        <v>1</v>
      </c>
      <c r="AH95" s="125">
        <v>5</v>
      </c>
      <c r="AI95" s="125">
        <v>13</v>
      </c>
      <c r="AJ95" s="125">
        <v>34</v>
      </c>
      <c r="AK95" s="125">
        <v>89</v>
      </c>
      <c r="AL95" s="129" t="b">
        <v>0</v>
      </c>
      <c r="AM95" s="128" t="b">
        <v>1</v>
      </c>
      <c r="AN95" s="131" t="s">
        <v>1469</v>
      </c>
      <c r="AO95" s="141">
        <v>1.0000000000000001E-5</v>
      </c>
      <c r="AP95" s="128" t="b">
        <v>1</v>
      </c>
      <c r="AQ95" s="141">
        <v>1.0000000000000001E-5</v>
      </c>
      <c r="AR95" s="137">
        <v>5</v>
      </c>
      <c r="AS95" s="137">
        <v>13</v>
      </c>
      <c r="AT95" s="137">
        <v>8</v>
      </c>
      <c r="AU95" s="128" t="b">
        <v>1</v>
      </c>
      <c r="AV95" s="124">
        <v>3</v>
      </c>
      <c r="AW95" s="146">
        <v>5</v>
      </c>
      <c r="AX95" s="124">
        <v>1</v>
      </c>
      <c r="AY95" s="128" t="b">
        <v>1</v>
      </c>
      <c r="AZ95" s="122" t="s">
        <v>1586</v>
      </c>
      <c r="BA95" s="122">
        <v>4</v>
      </c>
      <c r="BB95" s="126">
        <v>0.05</v>
      </c>
      <c r="BC95" s="126">
        <v>0.5</v>
      </c>
      <c r="BD95" s="129" t="b">
        <v>0</v>
      </c>
      <c r="BE95" s="122" t="s">
        <v>1873</v>
      </c>
      <c r="BF95" s="128" t="b">
        <v>1</v>
      </c>
      <c r="BG95" s="122" t="s">
        <v>1578</v>
      </c>
      <c r="BH95" s="133">
        <v>0.02</v>
      </c>
      <c r="BI95" s="156" t="s">
        <v>403</v>
      </c>
      <c r="BJ95" s="128" t="b">
        <v>1</v>
      </c>
      <c r="BK95" s="161">
        <v>1.5</v>
      </c>
      <c r="BL95" s="129" t="b">
        <v>0</v>
      </c>
      <c r="BM95" s="156" t="s">
        <v>412</v>
      </c>
      <c r="BN95" s="128" t="b">
        <v>1</v>
      </c>
      <c r="BO95" s="156" t="s">
        <v>1382</v>
      </c>
      <c r="BP95" s="157">
        <v>1</v>
      </c>
      <c r="BQ95" s="157">
        <v>0.5</v>
      </c>
      <c r="BR95" s="166" t="str">
        <f>AH95&amp;"/ "&amp;AI95&amp;"/ "&amp;AJ95&amp;"/ "&amp;AK95</f>
        <v>5/ 13/ 34/ 89</v>
      </c>
      <c r="BS95" s="166" t="str">
        <f t="shared" si="170"/>
        <v>5 / 13 / 8</v>
      </c>
      <c r="BT95" s="166" t="str">
        <f t="shared" si="171"/>
        <v>0.05 / 0.5</v>
      </c>
      <c r="BU95" s="66"/>
      <c r="BV95" s="66"/>
      <c r="BW95" s="66"/>
      <c r="BX95" s="99">
        <f t="shared" si="172"/>
        <v>0</v>
      </c>
      <c r="BY95" s="66"/>
      <c r="BZ95" s="92">
        <f t="shared" si="173"/>
        <v>0</v>
      </c>
      <c r="CA95" s="204">
        <f t="shared" si="184"/>
        <v>0</v>
      </c>
      <c r="CB95" s="205">
        <f>IF(BU95=0,0,BY95/BU95)</f>
        <v>0</v>
      </c>
      <c r="CC95" s="87"/>
      <c r="CD95" s="87"/>
      <c r="CE95" s="87"/>
      <c r="CF95" s="170">
        <f t="shared" si="174"/>
        <v>1.5</v>
      </c>
      <c r="CG95" s="87"/>
      <c r="CH95" s="87"/>
      <c r="CI95" s="93"/>
      <c r="CJ95" s="87"/>
      <c r="CK95" s="87"/>
      <c r="CL95" s="87"/>
      <c r="CM95" s="165">
        <v>1000</v>
      </c>
      <c r="CN95" s="93"/>
      <c r="CO95" s="108">
        <f t="shared" si="175"/>
        <v>1000</v>
      </c>
      <c r="CP95" s="108">
        <f t="shared" si="176"/>
        <v>0</v>
      </c>
      <c r="CR95" s="82">
        <f t="shared" si="177"/>
        <v>12</v>
      </c>
      <c r="CS95" s="80">
        <f t="shared" si="178"/>
        <v>0</v>
      </c>
      <c r="CT95" s="80">
        <f t="shared" si="179"/>
        <v>0</v>
      </c>
      <c r="CU95" s="80">
        <f t="shared" si="180"/>
        <v>0</v>
      </c>
      <c r="CW95" s="80">
        <f t="shared" si="181"/>
        <v>0</v>
      </c>
      <c r="CX95" s="80">
        <f t="shared" si="182"/>
        <v>0</v>
      </c>
      <c r="CY95" s="80">
        <f t="shared" si="183"/>
        <v>0</v>
      </c>
    </row>
    <row r="96" spans="1:103" x14ac:dyDescent="0.2">
      <c r="A96" s="120"/>
      <c r="B96" s="72"/>
      <c r="C96" s="57" t="s">
        <v>1387</v>
      </c>
      <c r="D96" s="57" t="s">
        <v>1440</v>
      </c>
      <c r="E96" s="65" t="s">
        <v>1389</v>
      </c>
      <c r="F96" s="57" t="s">
        <v>1454</v>
      </c>
      <c r="G96" s="62" t="s">
        <v>1556</v>
      </c>
      <c r="H96" s="129" t="b">
        <v>0</v>
      </c>
      <c r="J96" s="123" t="s">
        <v>1866</v>
      </c>
      <c r="K96" s="123" t="s">
        <v>1866</v>
      </c>
      <c r="L96" s="123" t="s">
        <v>1866</v>
      </c>
      <c r="M96" s="137" t="b">
        <v>0</v>
      </c>
      <c r="Q96" s="128" t="b">
        <v>1</v>
      </c>
      <c r="R96" s="127" t="s">
        <v>1559</v>
      </c>
      <c r="S96" s="135" t="b">
        <v>1</v>
      </c>
      <c r="T96" s="126">
        <v>13</v>
      </c>
      <c r="U96" s="124">
        <v>1.4999999999999999E-2</v>
      </c>
      <c r="V96" s="126">
        <v>75</v>
      </c>
      <c r="W96" s="126">
        <v>-75</v>
      </c>
      <c r="X96" s="124">
        <v>50</v>
      </c>
      <c r="Y96" s="124">
        <v>5</v>
      </c>
      <c r="Z96" s="128" t="b">
        <v>1</v>
      </c>
      <c r="AA96" s="127" t="s">
        <v>1867</v>
      </c>
      <c r="AB96" s="133">
        <v>2</v>
      </c>
      <c r="AC96" s="137" t="b">
        <v>0</v>
      </c>
      <c r="AE96" s="137" t="b">
        <v>0</v>
      </c>
      <c r="AG96" s="135" t="b">
        <v>1</v>
      </c>
      <c r="AH96" s="125">
        <v>5</v>
      </c>
      <c r="AI96" s="125">
        <v>13</v>
      </c>
      <c r="AJ96" s="125">
        <v>34</v>
      </c>
      <c r="AK96" s="125">
        <v>89</v>
      </c>
      <c r="AL96" s="129" t="b">
        <v>0</v>
      </c>
      <c r="AM96" s="128" t="b">
        <v>1</v>
      </c>
      <c r="AN96" s="131" t="s">
        <v>1469</v>
      </c>
      <c r="AO96" s="141">
        <v>1.0000000000000001E-5</v>
      </c>
      <c r="AP96" s="128" t="b">
        <v>1</v>
      </c>
      <c r="AQ96" s="141">
        <v>1.0000000000000001E-5</v>
      </c>
      <c r="AR96" s="149">
        <v>8</v>
      </c>
      <c r="AS96" s="149">
        <v>13</v>
      </c>
      <c r="AT96" s="149">
        <v>8</v>
      </c>
      <c r="AU96" s="128" t="b">
        <v>1</v>
      </c>
      <c r="AV96" s="124">
        <v>3</v>
      </c>
      <c r="AW96" s="146">
        <v>5</v>
      </c>
      <c r="AX96" s="124">
        <v>1</v>
      </c>
      <c r="AY96" s="128" t="b">
        <v>1</v>
      </c>
      <c r="AZ96" s="122" t="s">
        <v>1586</v>
      </c>
      <c r="BA96" s="122">
        <v>4</v>
      </c>
      <c r="BB96" s="126">
        <v>0.05</v>
      </c>
      <c r="BC96" s="126">
        <v>0.5</v>
      </c>
      <c r="BD96" s="129" t="b">
        <v>0</v>
      </c>
      <c r="BE96" s="122" t="s">
        <v>1873</v>
      </c>
      <c r="BF96" s="128" t="b">
        <v>1</v>
      </c>
      <c r="BG96" s="122" t="s">
        <v>1578</v>
      </c>
      <c r="BH96" s="133">
        <v>0.02</v>
      </c>
      <c r="BI96" s="156" t="s">
        <v>403</v>
      </c>
      <c r="BJ96" s="128" t="b">
        <v>1</v>
      </c>
      <c r="BK96" s="161">
        <v>1.5</v>
      </c>
      <c r="BL96" s="129" t="b">
        <v>0</v>
      </c>
      <c r="BM96" s="156" t="s">
        <v>412</v>
      </c>
      <c r="BN96" s="128" t="b">
        <v>1</v>
      </c>
      <c r="BO96" s="156" t="s">
        <v>1382</v>
      </c>
      <c r="BP96" s="157">
        <v>1</v>
      </c>
      <c r="BQ96" s="157">
        <v>0.5</v>
      </c>
      <c r="BR96" s="166" t="str">
        <f t="shared" ref="BR96:BR100" si="185">AH96&amp;"/ "&amp;AI96&amp;"/ "&amp;AJ96&amp;"/ "&amp;AK96</f>
        <v>5/ 13/ 34/ 89</v>
      </c>
      <c r="BS96" s="166" t="str">
        <f t="shared" si="170"/>
        <v>8 / 13 / 8</v>
      </c>
      <c r="BT96" s="166" t="str">
        <f t="shared" si="171"/>
        <v>0.05 / 0.5</v>
      </c>
      <c r="BU96" s="66"/>
      <c r="BV96" s="66"/>
      <c r="BW96" s="66"/>
      <c r="BX96" s="99">
        <f t="shared" si="172"/>
        <v>0</v>
      </c>
      <c r="BY96" s="66"/>
      <c r="BZ96" s="92">
        <f t="shared" si="173"/>
        <v>0</v>
      </c>
      <c r="CA96" s="204">
        <f t="shared" si="184"/>
        <v>0</v>
      </c>
      <c r="CB96" s="205">
        <f t="shared" ref="CB96:CB100" si="186">IF(BU96=0,0,BY96/BU96)</f>
        <v>0</v>
      </c>
      <c r="CC96" s="87"/>
      <c r="CD96" s="87"/>
      <c r="CE96" s="87"/>
      <c r="CF96" s="170">
        <f t="shared" si="174"/>
        <v>1.5</v>
      </c>
      <c r="CG96" s="87"/>
      <c r="CH96" s="87"/>
      <c r="CI96" s="93"/>
      <c r="CJ96" s="87"/>
      <c r="CK96" s="87"/>
      <c r="CL96" s="87"/>
      <c r="CM96" s="165">
        <v>1000</v>
      </c>
      <c r="CN96" s="93"/>
      <c r="CO96" s="108">
        <f t="shared" si="175"/>
        <v>1000</v>
      </c>
      <c r="CP96" s="108">
        <f t="shared" si="176"/>
        <v>0</v>
      </c>
      <c r="CR96" s="82">
        <f t="shared" si="177"/>
        <v>12</v>
      </c>
      <c r="CS96" s="80">
        <f t="shared" si="178"/>
        <v>0</v>
      </c>
      <c r="CT96" s="80">
        <f t="shared" si="179"/>
        <v>0</v>
      </c>
      <c r="CU96" s="80">
        <f t="shared" si="180"/>
        <v>0</v>
      </c>
      <c r="CW96" s="80">
        <f t="shared" si="181"/>
        <v>0</v>
      </c>
      <c r="CX96" s="80">
        <f t="shared" si="182"/>
        <v>0</v>
      </c>
      <c r="CY96" s="80">
        <f t="shared" si="183"/>
        <v>0</v>
      </c>
    </row>
    <row r="97" spans="1:103" x14ac:dyDescent="0.2">
      <c r="A97" s="120"/>
      <c r="B97" s="72"/>
      <c r="C97" s="57" t="s">
        <v>1387</v>
      </c>
      <c r="D97" s="57" t="s">
        <v>1440</v>
      </c>
      <c r="E97" s="65" t="s">
        <v>1389</v>
      </c>
      <c r="F97" s="57" t="s">
        <v>1454</v>
      </c>
      <c r="G97" s="62" t="s">
        <v>1556</v>
      </c>
      <c r="H97" s="129" t="b">
        <v>0</v>
      </c>
      <c r="J97" s="123" t="s">
        <v>1866</v>
      </c>
      <c r="K97" s="123" t="s">
        <v>1866</v>
      </c>
      <c r="L97" s="123" t="s">
        <v>1866</v>
      </c>
      <c r="M97" s="137" t="b">
        <v>0</v>
      </c>
      <c r="Q97" s="128" t="b">
        <v>1</v>
      </c>
      <c r="R97" s="127" t="s">
        <v>1559</v>
      </c>
      <c r="S97" s="135" t="b">
        <v>1</v>
      </c>
      <c r="T97" s="126">
        <v>13</v>
      </c>
      <c r="U97" s="124">
        <v>1.4999999999999999E-2</v>
      </c>
      <c r="V97" s="126">
        <v>75</v>
      </c>
      <c r="W97" s="126">
        <v>-75</v>
      </c>
      <c r="X97" s="124">
        <v>50</v>
      </c>
      <c r="Y97" s="124">
        <v>5</v>
      </c>
      <c r="Z97" s="128" t="b">
        <v>1</v>
      </c>
      <c r="AA97" s="127" t="s">
        <v>1867</v>
      </c>
      <c r="AB97" s="133">
        <v>2</v>
      </c>
      <c r="AC97" s="137" t="b">
        <v>0</v>
      </c>
      <c r="AE97" s="137" t="b">
        <v>0</v>
      </c>
      <c r="AG97" s="135" t="b">
        <v>1</v>
      </c>
      <c r="AH97" s="125">
        <v>5</v>
      </c>
      <c r="AI97" s="125">
        <v>13</v>
      </c>
      <c r="AJ97" s="125">
        <v>34</v>
      </c>
      <c r="AK97" s="125">
        <v>89</v>
      </c>
      <c r="AL97" s="129" t="b">
        <v>0</v>
      </c>
      <c r="AM97" s="128" t="b">
        <v>1</v>
      </c>
      <c r="AN97" s="131" t="s">
        <v>1469</v>
      </c>
      <c r="AO97" s="141">
        <v>1.0000000000000001E-5</v>
      </c>
      <c r="AP97" s="128" t="b">
        <v>1</v>
      </c>
      <c r="AQ97" s="141">
        <v>1.0000000000000001E-5</v>
      </c>
      <c r="AR97" s="149">
        <v>8</v>
      </c>
      <c r="AS97" s="149">
        <v>13</v>
      </c>
      <c r="AT97" s="149">
        <v>11</v>
      </c>
      <c r="AU97" s="128" t="b">
        <v>1</v>
      </c>
      <c r="AV97" s="124">
        <v>3</v>
      </c>
      <c r="AW97" s="146">
        <v>5</v>
      </c>
      <c r="AX97" s="124">
        <v>1</v>
      </c>
      <c r="AY97" s="128" t="b">
        <v>1</v>
      </c>
      <c r="AZ97" s="122" t="s">
        <v>1586</v>
      </c>
      <c r="BA97" s="122">
        <v>4</v>
      </c>
      <c r="BB97" s="126">
        <v>0.05</v>
      </c>
      <c r="BC97" s="126">
        <v>0.5</v>
      </c>
      <c r="BD97" s="129" t="b">
        <v>0</v>
      </c>
      <c r="BE97" s="122" t="s">
        <v>1873</v>
      </c>
      <c r="BF97" s="128" t="b">
        <v>1</v>
      </c>
      <c r="BG97" s="122" t="s">
        <v>1578</v>
      </c>
      <c r="BH97" s="133">
        <v>0.02</v>
      </c>
      <c r="BI97" s="156" t="s">
        <v>403</v>
      </c>
      <c r="BJ97" s="128" t="b">
        <v>1</v>
      </c>
      <c r="BK97" s="161">
        <v>1.5</v>
      </c>
      <c r="BL97" s="129" t="b">
        <v>0</v>
      </c>
      <c r="BM97" s="156" t="s">
        <v>412</v>
      </c>
      <c r="BN97" s="128" t="b">
        <v>1</v>
      </c>
      <c r="BO97" s="156" t="s">
        <v>1382</v>
      </c>
      <c r="BP97" s="157">
        <v>1</v>
      </c>
      <c r="BQ97" s="157">
        <v>0.5</v>
      </c>
      <c r="BR97" s="166" t="str">
        <f t="shared" si="185"/>
        <v>5/ 13/ 34/ 89</v>
      </c>
      <c r="BS97" s="166" t="str">
        <f t="shared" si="170"/>
        <v>8 / 13 / 11</v>
      </c>
      <c r="BT97" s="166" t="str">
        <f t="shared" si="171"/>
        <v>0.05 / 0.5</v>
      </c>
      <c r="BU97" s="66"/>
      <c r="BV97" s="66"/>
      <c r="BW97" s="66"/>
      <c r="BX97" s="99">
        <f t="shared" si="172"/>
        <v>0</v>
      </c>
      <c r="BY97" s="66"/>
      <c r="BZ97" s="92">
        <f t="shared" si="173"/>
        <v>0</v>
      </c>
      <c r="CA97" s="204">
        <f t="shared" si="184"/>
        <v>0</v>
      </c>
      <c r="CB97" s="205">
        <f t="shared" si="186"/>
        <v>0</v>
      </c>
      <c r="CC97" s="87"/>
      <c r="CD97" s="87"/>
      <c r="CE97" s="87"/>
      <c r="CF97" s="170">
        <f t="shared" si="174"/>
        <v>1.5</v>
      </c>
      <c r="CG97" s="87"/>
      <c r="CH97" s="87"/>
      <c r="CI97" s="93"/>
      <c r="CJ97" s="87"/>
      <c r="CK97" s="87"/>
      <c r="CL97" s="87"/>
      <c r="CM97" s="165">
        <v>1000</v>
      </c>
      <c r="CN97" s="93"/>
      <c r="CO97" s="108">
        <f t="shared" si="175"/>
        <v>1000</v>
      </c>
      <c r="CP97" s="108">
        <f t="shared" si="176"/>
        <v>0</v>
      </c>
      <c r="CR97" s="82">
        <f t="shared" si="177"/>
        <v>12</v>
      </c>
      <c r="CS97" s="80">
        <f t="shared" si="178"/>
        <v>0</v>
      </c>
      <c r="CT97" s="80">
        <f t="shared" si="179"/>
        <v>0</v>
      </c>
      <c r="CU97" s="80">
        <f t="shared" si="180"/>
        <v>0</v>
      </c>
      <c r="CW97" s="80">
        <f t="shared" si="181"/>
        <v>0</v>
      </c>
      <c r="CX97" s="80">
        <f t="shared" si="182"/>
        <v>0</v>
      </c>
      <c r="CY97" s="80">
        <f t="shared" si="183"/>
        <v>0</v>
      </c>
    </row>
    <row r="98" spans="1:103" x14ac:dyDescent="0.2">
      <c r="A98" s="120"/>
      <c r="B98" s="72"/>
      <c r="C98" s="57" t="s">
        <v>1387</v>
      </c>
      <c r="D98" s="57" t="s">
        <v>1440</v>
      </c>
      <c r="E98" s="65" t="s">
        <v>1389</v>
      </c>
      <c r="F98" s="57" t="s">
        <v>1454</v>
      </c>
      <c r="G98" s="62" t="s">
        <v>1556</v>
      </c>
      <c r="H98" s="129" t="b">
        <v>0</v>
      </c>
      <c r="J98" s="123" t="s">
        <v>1866</v>
      </c>
      <c r="K98" s="123" t="s">
        <v>1866</v>
      </c>
      <c r="L98" s="123" t="s">
        <v>1866</v>
      </c>
      <c r="M98" s="137" t="b">
        <v>0</v>
      </c>
      <c r="Q98" s="128" t="b">
        <v>1</v>
      </c>
      <c r="R98" s="127" t="s">
        <v>1559</v>
      </c>
      <c r="S98" s="135" t="b">
        <v>1</v>
      </c>
      <c r="T98" s="126">
        <v>13</v>
      </c>
      <c r="U98" s="124">
        <v>1.4999999999999999E-2</v>
      </c>
      <c r="V98" s="126">
        <v>75</v>
      </c>
      <c r="W98" s="126">
        <v>-75</v>
      </c>
      <c r="X98" s="124">
        <v>50</v>
      </c>
      <c r="Y98" s="124">
        <v>5</v>
      </c>
      <c r="Z98" s="128" t="b">
        <v>1</v>
      </c>
      <c r="AA98" s="127" t="s">
        <v>1867</v>
      </c>
      <c r="AB98" s="133">
        <v>2</v>
      </c>
      <c r="AC98" s="137" t="b">
        <v>0</v>
      </c>
      <c r="AE98" s="137" t="b">
        <v>0</v>
      </c>
      <c r="AG98" s="135" t="b">
        <v>1</v>
      </c>
      <c r="AH98" s="125">
        <v>5</v>
      </c>
      <c r="AI98" s="125">
        <v>13</v>
      </c>
      <c r="AJ98" s="125">
        <v>34</v>
      </c>
      <c r="AK98" s="125">
        <v>89</v>
      </c>
      <c r="AL98" s="129" t="b">
        <v>0</v>
      </c>
      <c r="AM98" s="128" t="b">
        <v>1</v>
      </c>
      <c r="AN98" s="131" t="s">
        <v>1469</v>
      </c>
      <c r="AO98" s="141">
        <v>1.0000000000000001E-5</v>
      </c>
      <c r="AP98" s="128" t="b">
        <v>1</v>
      </c>
      <c r="AQ98" s="141">
        <v>1.0000000000000001E-5</v>
      </c>
      <c r="AR98" s="150">
        <v>8</v>
      </c>
      <c r="AS98" s="150">
        <v>17</v>
      </c>
      <c r="AT98" s="150">
        <v>9</v>
      </c>
      <c r="AU98" s="128" t="b">
        <v>1</v>
      </c>
      <c r="AV98" s="124">
        <v>3</v>
      </c>
      <c r="AW98" s="146">
        <v>5</v>
      </c>
      <c r="AX98" s="124">
        <v>1</v>
      </c>
      <c r="AY98" s="128" t="b">
        <v>1</v>
      </c>
      <c r="AZ98" s="122" t="s">
        <v>1586</v>
      </c>
      <c r="BA98" s="122">
        <v>4</v>
      </c>
      <c r="BB98" s="126">
        <v>0.05</v>
      </c>
      <c r="BC98" s="126">
        <v>0.5</v>
      </c>
      <c r="BD98" s="129" t="b">
        <v>0</v>
      </c>
      <c r="BE98" s="122" t="s">
        <v>1873</v>
      </c>
      <c r="BF98" s="128" t="b">
        <v>1</v>
      </c>
      <c r="BG98" s="122" t="s">
        <v>1578</v>
      </c>
      <c r="BH98" s="133">
        <v>0.02</v>
      </c>
      <c r="BI98" s="156" t="s">
        <v>403</v>
      </c>
      <c r="BJ98" s="128" t="b">
        <v>1</v>
      </c>
      <c r="BK98" s="161">
        <v>1.5</v>
      </c>
      <c r="BL98" s="129" t="b">
        <v>0</v>
      </c>
      <c r="BM98" s="156" t="s">
        <v>412</v>
      </c>
      <c r="BN98" s="128" t="b">
        <v>1</v>
      </c>
      <c r="BO98" s="156" t="s">
        <v>1382</v>
      </c>
      <c r="BP98" s="157">
        <v>1</v>
      </c>
      <c r="BQ98" s="157">
        <v>0.5</v>
      </c>
      <c r="BR98" s="166" t="str">
        <f t="shared" si="185"/>
        <v>5/ 13/ 34/ 89</v>
      </c>
      <c r="BS98" s="166" t="str">
        <f t="shared" si="170"/>
        <v>8 / 17 / 9</v>
      </c>
      <c r="BT98" s="166" t="str">
        <f t="shared" si="171"/>
        <v>0.05 / 0.5</v>
      </c>
      <c r="BU98" s="66"/>
      <c r="BV98" s="66"/>
      <c r="BW98" s="66"/>
      <c r="BX98" s="99">
        <f t="shared" si="172"/>
        <v>0</v>
      </c>
      <c r="BY98" s="66"/>
      <c r="BZ98" s="92">
        <f t="shared" si="173"/>
        <v>0</v>
      </c>
      <c r="CA98" s="204">
        <f t="shared" si="184"/>
        <v>0</v>
      </c>
      <c r="CB98" s="205">
        <f t="shared" si="186"/>
        <v>0</v>
      </c>
      <c r="CC98" s="87"/>
      <c r="CD98" s="87"/>
      <c r="CE98" s="87"/>
      <c r="CF98" s="170">
        <f t="shared" si="174"/>
        <v>1.5</v>
      </c>
      <c r="CG98" s="87"/>
      <c r="CH98" s="87"/>
      <c r="CI98" s="93"/>
      <c r="CJ98" s="87"/>
      <c r="CK98" s="87"/>
      <c r="CL98" s="87"/>
      <c r="CM98" s="165">
        <v>1000</v>
      </c>
      <c r="CN98" s="93"/>
      <c r="CO98" s="108">
        <f t="shared" si="175"/>
        <v>1000</v>
      </c>
      <c r="CP98" s="108">
        <f t="shared" si="176"/>
        <v>0</v>
      </c>
      <c r="CR98" s="82">
        <f t="shared" si="177"/>
        <v>12</v>
      </c>
      <c r="CS98" s="80">
        <f t="shared" si="178"/>
        <v>0</v>
      </c>
      <c r="CT98" s="80">
        <f t="shared" si="179"/>
        <v>0</v>
      </c>
      <c r="CU98" s="80">
        <f t="shared" si="180"/>
        <v>0</v>
      </c>
      <c r="CW98" s="80">
        <f t="shared" si="181"/>
        <v>0</v>
      </c>
      <c r="CX98" s="80">
        <f t="shared" si="182"/>
        <v>0</v>
      </c>
      <c r="CY98" s="80">
        <f t="shared" si="183"/>
        <v>0</v>
      </c>
    </row>
    <row r="99" spans="1:103" x14ac:dyDescent="0.2">
      <c r="A99" s="120"/>
      <c r="B99" s="72"/>
      <c r="C99" s="57" t="s">
        <v>1387</v>
      </c>
      <c r="D99" s="57" t="s">
        <v>1440</v>
      </c>
      <c r="E99" s="65" t="s">
        <v>1389</v>
      </c>
      <c r="F99" s="57" t="s">
        <v>1454</v>
      </c>
      <c r="G99" s="62" t="s">
        <v>1556</v>
      </c>
      <c r="H99" s="129" t="b">
        <v>0</v>
      </c>
      <c r="J99" s="123" t="s">
        <v>1866</v>
      </c>
      <c r="K99" s="123" t="s">
        <v>1866</v>
      </c>
      <c r="L99" s="123" t="s">
        <v>1866</v>
      </c>
      <c r="M99" s="137" t="b">
        <v>0</v>
      </c>
      <c r="Q99" s="128" t="b">
        <v>1</v>
      </c>
      <c r="R99" s="127" t="s">
        <v>1559</v>
      </c>
      <c r="S99" s="135" t="b">
        <v>1</v>
      </c>
      <c r="T99" s="126">
        <v>13</v>
      </c>
      <c r="U99" s="124">
        <v>1.4999999999999999E-2</v>
      </c>
      <c r="V99" s="126">
        <v>75</v>
      </c>
      <c r="W99" s="126">
        <v>-75</v>
      </c>
      <c r="X99" s="124">
        <v>50</v>
      </c>
      <c r="Y99" s="124">
        <v>5</v>
      </c>
      <c r="Z99" s="128" t="b">
        <v>1</v>
      </c>
      <c r="AA99" s="127" t="s">
        <v>1867</v>
      </c>
      <c r="AB99" s="133">
        <v>2</v>
      </c>
      <c r="AC99" s="137" t="b">
        <v>0</v>
      </c>
      <c r="AE99" s="137" t="b">
        <v>0</v>
      </c>
      <c r="AG99" s="135" t="b">
        <v>1</v>
      </c>
      <c r="AH99" s="125">
        <v>5</v>
      </c>
      <c r="AI99" s="125">
        <v>13</v>
      </c>
      <c r="AJ99" s="125">
        <v>34</v>
      </c>
      <c r="AK99" s="125">
        <v>89</v>
      </c>
      <c r="AL99" s="129" t="b">
        <v>0</v>
      </c>
      <c r="AM99" s="128" t="b">
        <v>1</v>
      </c>
      <c r="AN99" s="131" t="s">
        <v>1469</v>
      </c>
      <c r="AO99" s="141">
        <v>1.0000000000000001E-5</v>
      </c>
      <c r="AP99" s="128" t="b">
        <v>1</v>
      </c>
      <c r="AQ99" s="141">
        <v>1.0000000000000001E-5</v>
      </c>
      <c r="AR99" s="152">
        <v>12</v>
      </c>
      <c r="AS99" s="152">
        <v>26</v>
      </c>
      <c r="AT99" s="152">
        <v>9</v>
      </c>
      <c r="AU99" s="128" t="b">
        <v>1</v>
      </c>
      <c r="AV99" s="124">
        <v>3</v>
      </c>
      <c r="AW99" s="146">
        <v>5</v>
      </c>
      <c r="AX99" s="124">
        <v>1</v>
      </c>
      <c r="AY99" s="128" t="b">
        <v>1</v>
      </c>
      <c r="AZ99" s="122" t="s">
        <v>1586</v>
      </c>
      <c r="BA99" s="122">
        <v>4</v>
      </c>
      <c r="BB99" s="126">
        <v>0.05</v>
      </c>
      <c r="BC99" s="126">
        <v>0.5</v>
      </c>
      <c r="BD99" s="129" t="b">
        <v>0</v>
      </c>
      <c r="BE99" s="122" t="s">
        <v>1873</v>
      </c>
      <c r="BF99" s="128" t="b">
        <v>1</v>
      </c>
      <c r="BG99" s="122" t="s">
        <v>1578</v>
      </c>
      <c r="BH99" s="133">
        <v>0.02</v>
      </c>
      <c r="BI99" s="156" t="s">
        <v>403</v>
      </c>
      <c r="BJ99" s="128" t="b">
        <v>1</v>
      </c>
      <c r="BK99" s="161">
        <v>1.5</v>
      </c>
      <c r="BL99" s="129" t="b">
        <v>0</v>
      </c>
      <c r="BM99" s="156" t="s">
        <v>412</v>
      </c>
      <c r="BN99" s="128" t="b">
        <v>1</v>
      </c>
      <c r="BO99" s="156" t="s">
        <v>1382</v>
      </c>
      <c r="BP99" s="157">
        <v>1</v>
      </c>
      <c r="BQ99" s="157">
        <v>0.5</v>
      </c>
      <c r="BR99" s="166" t="str">
        <f t="shared" si="185"/>
        <v>5/ 13/ 34/ 89</v>
      </c>
      <c r="BS99" s="166" t="str">
        <f t="shared" si="170"/>
        <v>12 / 26 / 9</v>
      </c>
      <c r="BT99" s="166" t="str">
        <f t="shared" si="171"/>
        <v>0.05 / 0.5</v>
      </c>
      <c r="BU99" s="66"/>
      <c r="BV99" s="66"/>
      <c r="BW99" s="66"/>
      <c r="BX99" s="99">
        <f t="shared" si="172"/>
        <v>0</v>
      </c>
      <c r="BY99" s="66"/>
      <c r="BZ99" s="92">
        <f t="shared" si="173"/>
        <v>0</v>
      </c>
      <c r="CA99" s="204">
        <f t="shared" si="184"/>
        <v>0</v>
      </c>
      <c r="CB99" s="205">
        <f t="shared" si="186"/>
        <v>0</v>
      </c>
      <c r="CC99" s="87"/>
      <c r="CD99" s="87"/>
      <c r="CE99" s="87"/>
      <c r="CF99" s="170">
        <f t="shared" si="174"/>
        <v>1.5</v>
      </c>
      <c r="CG99" s="87"/>
      <c r="CH99" s="87"/>
      <c r="CI99" s="93"/>
      <c r="CJ99" s="87"/>
      <c r="CK99" s="87"/>
      <c r="CL99" s="87"/>
      <c r="CM99" s="165">
        <v>1000</v>
      </c>
      <c r="CN99" s="93"/>
      <c r="CO99" s="108">
        <f t="shared" si="175"/>
        <v>1000</v>
      </c>
      <c r="CP99" s="108">
        <f t="shared" si="176"/>
        <v>0</v>
      </c>
      <c r="CR99" s="82">
        <f t="shared" si="177"/>
        <v>12</v>
      </c>
      <c r="CS99" s="80">
        <f t="shared" si="178"/>
        <v>0</v>
      </c>
      <c r="CT99" s="80">
        <f t="shared" si="179"/>
        <v>0</v>
      </c>
      <c r="CU99" s="80">
        <f t="shared" si="180"/>
        <v>0</v>
      </c>
      <c r="CW99" s="80">
        <f t="shared" si="181"/>
        <v>0</v>
      </c>
      <c r="CX99" s="80">
        <f t="shared" si="182"/>
        <v>0</v>
      </c>
      <c r="CY99" s="80">
        <f t="shared" si="183"/>
        <v>0</v>
      </c>
    </row>
    <row r="100" spans="1:103" x14ac:dyDescent="0.2">
      <c r="A100" s="120"/>
      <c r="B100" s="72"/>
      <c r="C100" s="57" t="s">
        <v>1387</v>
      </c>
      <c r="D100" s="57" t="s">
        <v>1440</v>
      </c>
      <c r="E100" s="65" t="s">
        <v>1389</v>
      </c>
      <c r="F100" s="57" t="s">
        <v>1454</v>
      </c>
      <c r="G100" s="62" t="s">
        <v>1556</v>
      </c>
      <c r="H100" s="129" t="b">
        <v>0</v>
      </c>
      <c r="J100" s="123" t="s">
        <v>1866</v>
      </c>
      <c r="K100" s="123" t="s">
        <v>1866</v>
      </c>
      <c r="L100" s="123" t="s">
        <v>1866</v>
      </c>
      <c r="M100" s="137" t="b">
        <v>0</v>
      </c>
      <c r="Q100" s="128" t="b">
        <v>1</v>
      </c>
      <c r="R100" s="127" t="s">
        <v>1559</v>
      </c>
      <c r="S100" s="135" t="b">
        <v>1</v>
      </c>
      <c r="T100" s="126">
        <v>13</v>
      </c>
      <c r="U100" s="124">
        <v>1.4999999999999999E-2</v>
      </c>
      <c r="V100" s="126">
        <v>75</v>
      </c>
      <c r="W100" s="126">
        <v>-75</v>
      </c>
      <c r="X100" s="124">
        <v>50</v>
      </c>
      <c r="Y100" s="124">
        <v>5</v>
      </c>
      <c r="Z100" s="128" t="b">
        <v>1</v>
      </c>
      <c r="AA100" s="127" t="s">
        <v>1867</v>
      </c>
      <c r="AB100" s="133">
        <v>2</v>
      </c>
      <c r="AC100" s="137" t="b">
        <v>0</v>
      </c>
      <c r="AE100" s="137" t="b">
        <v>0</v>
      </c>
      <c r="AG100" s="135" t="b">
        <v>1</v>
      </c>
      <c r="AH100" s="125">
        <v>5</v>
      </c>
      <c r="AI100" s="125">
        <v>13</v>
      </c>
      <c r="AJ100" s="125">
        <v>34</v>
      </c>
      <c r="AK100" s="125">
        <v>89</v>
      </c>
      <c r="AL100" s="129" t="b">
        <v>0</v>
      </c>
      <c r="AM100" s="128" t="b">
        <v>1</v>
      </c>
      <c r="AN100" s="131" t="s">
        <v>1469</v>
      </c>
      <c r="AO100" s="141">
        <v>1.0000000000000001E-5</v>
      </c>
      <c r="AP100" s="128" t="b">
        <v>1</v>
      </c>
      <c r="AQ100" s="141">
        <v>1.0000000000000001E-5</v>
      </c>
      <c r="AR100" s="137">
        <v>21</v>
      </c>
      <c r="AS100" s="137">
        <v>34</v>
      </c>
      <c r="AT100" s="137">
        <v>9</v>
      </c>
      <c r="AU100" s="128" t="b">
        <v>1</v>
      </c>
      <c r="AV100" s="124">
        <v>3</v>
      </c>
      <c r="AW100" s="146">
        <v>5</v>
      </c>
      <c r="AX100" s="124">
        <v>1</v>
      </c>
      <c r="AY100" s="128" t="b">
        <v>1</v>
      </c>
      <c r="AZ100" s="122" t="s">
        <v>1586</v>
      </c>
      <c r="BA100" s="122">
        <v>4</v>
      </c>
      <c r="BB100" s="126">
        <v>0.05</v>
      </c>
      <c r="BC100" s="126">
        <v>0.5</v>
      </c>
      <c r="BD100" s="129" t="b">
        <v>0</v>
      </c>
      <c r="BE100" s="122" t="s">
        <v>1873</v>
      </c>
      <c r="BF100" s="128" t="b">
        <v>1</v>
      </c>
      <c r="BG100" s="122" t="s">
        <v>1578</v>
      </c>
      <c r="BH100" s="133">
        <v>0.02</v>
      </c>
      <c r="BI100" s="156" t="s">
        <v>403</v>
      </c>
      <c r="BJ100" s="128" t="b">
        <v>1</v>
      </c>
      <c r="BK100" s="161">
        <v>1.5</v>
      </c>
      <c r="BL100" s="129" t="b">
        <v>0</v>
      </c>
      <c r="BM100" s="156" t="s">
        <v>412</v>
      </c>
      <c r="BN100" s="128" t="b">
        <v>1</v>
      </c>
      <c r="BO100" s="156" t="s">
        <v>1382</v>
      </c>
      <c r="BP100" s="157">
        <v>1</v>
      </c>
      <c r="BQ100" s="157">
        <v>0.5</v>
      </c>
      <c r="BR100" s="166" t="str">
        <f t="shared" si="185"/>
        <v>5/ 13/ 34/ 89</v>
      </c>
      <c r="BS100" s="166" t="str">
        <f t="shared" si="170"/>
        <v>21 / 34 / 9</v>
      </c>
      <c r="BT100" s="166" t="str">
        <f t="shared" si="171"/>
        <v>0.05 / 0.5</v>
      </c>
      <c r="BU100" s="66"/>
      <c r="BV100" s="66"/>
      <c r="BW100" s="66"/>
      <c r="BX100" s="99">
        <f t="shared" si="172"/>
        <v>0</v>
      </c>
      <c r="BY100" s="66"/>
      <c r="BZ100" s="92">
        <f t="shared" si="173"/>
        <v>0</v>
      </c>
      <c r="CA100" s="204">
        <f t="shared" si="184"/>
        <v>0</v>
      </c>
      <c r="CB100" s="205">
        <f t="shared" si="186"/>
        <v>0</v>
      </c>
      <c r="CC100" s="87"/>
      <c r="CD100" s="87"/>
      <c r="CE100" s="87"/>
      <c r="CF100" s="170">
        <f t="shared" si="174"/>
        <v>1.5</v>
      </c>
      <c r="CG100" s="87"/>
      <c r="CH100" s="87"/>
      <c r="CI100" s="93"/>
      <c r="CJ100" s="87"/>
      <c r="CK100" s="87"/>
      <c r="CL100" s="87"/>
      <c r="CM100" s="165">
        <v>1000</v>
      </c>
      <c r="CN100" s="93"/>
      <c r="CO100" s="108">
        <f t="shared" si="175"/>
        <v>1000</v>
      </c>
      <c r="CP100" s="108">
        <f t="shared" si="176"/>
        <v>0</v>
      </c>
      <c r="CR100" s="82">
        <f t="shared" si="177"/>
        <v>12</v>
      </c>
      <c r="CS100" s="80">
        <f t="shared" si="178"/>
        <v>0</v>
      </c>
      <c r="CT100" s="80">
        <f t="shared" si="179"/>
        <v>0</v>
      </c>
      <c r="CU100" s="80">
        <f t="shared" si="180"/>
        <v>0</v>
      </c>
      <c r="CW100" s="80">
        <f t="shared" si="181"/>
        <v>0</v>
      </c>
      <c r="CX100" s="80">
        <f t="shared" si="182"/>
        <v>0</v>
      </c>
      <c r="CY100" s="80">
        <f t="shared" si="183"/>
        <v>0</v>
      </c>
    </row>
    <row r="101" spans="1:103" x14ac:dyDescent="0.2">
      <c r="B101" s="45"/>
    </row>
    <row r="103" spans="1:103" x14ac:dyDescent="0.2">
      <c r="B103" s="45"/>
    </row>
    <row r="105" spans="1:103" x14ac:dyDescent="0.2">
      <c r="B105" s="45"/>
    </row>
    <row r="107" spans="1:103" x14ac:dyDescent="0.2">
      <c r="B107" s="45"/>
    </row>
    <row r="109" spans="1:103" x14ac:dyDescent="0.2">
      <c r="B109" s="45"/>
    </row>
    <row r="111" spans="1:103" x14ac:dyDescent="0.2">
      <c r="B111" s="45"/>
    </row>
    <row r="113" spans="2:2" x14ac:dyDescent="0.2">
      <c r="B113" s="45"/>
    </row>
    <row r="115" spans="2:2" x14ac:dyDescent="0.2">
      <c r="B115" s="45"/>
    </row>
    <row r="117" spans="2:2" x14ac:dyDescent="0.2">
      <c r="B117" s="45"/>
    </row>
    <row r="119" spans="2:2" x14ac:dyDescent="0.2">
      <c r="B119" s="45"/>
    </row>
    <row r="123" spans="2:2" x14ac:dyDescent="0.2">
      <c r="B123" s="45"/>
    </row>
    <row r="125" spans="2:2" x14ac:dyDescent="0.2">
      <c r="B125" s="45"/>
    </row>
    <row r="127" spans="2:2" x14ac:dyDescent="0.2">
      <c r="B127" s="45"/>
    </row>
    <row r="129" spans="2:25" x14ac:dyDescent="0.2">
      <c r="B129" s="45"/>
    </row>
    <row r="131" spans="2:25" x14ac:dyDescent="0.2">
      <c r="B131" s="45"/>
    </row>
    <row r="134" spans="2:25" x14ac:dyDescent="0.2">
      <c r="I134" s="138"/>
      <c r="J134" s="139"/>
      <c r="K134" s="139"/>
      <c r="L134" s="139"/>
      <c r="U134" s="140"/>
      <c r="X134" s="140"/>
      <c r="Y134" s="140"/>
    </row>
    <row r="135" spans="2:25" x14ac:dyDescent="0.2">
      <c r="H135" s="138"/>
      <c r="I135" s="138"/>
      <c r="J135" s="139"/>
      <c r="K135" s="139"/>
      <c r="L135" s="139"/>
      <c r="U135" s="140"/>
      <c r="X135" s="140"/>
      <c r="Y135" s="140"/>
    </row>
    <row r="136" spans="2:25" x14ac:dyDescent="0.2">
      <c r="H136" s="138"/>
      <c r="I136" s="138"/>
      <c r="J136" s="139"/>
      <c r="K136" s="139"/>
      <c r="L136" s="139"/>
      <c r="U136" s="140"/>
      <c r="X136" s="140"/>
      <c r="Y136" s="140"/>
    </row>
    <row r="139" spans="2:25" ht="19" x14ac:dyDescent="0.25">
      <c r="B139" s="44"/>
    </row>
    <row r="141" spans="2:25" x14ac:dyDescent="0.2">
      <c r="B141" s="45"/>
    </row>
    <row r="143" spans="2:25" x14ac:dyDescent="0.2">
      <c r="B143" s="45"/>
    </row>
    <row r="145" spans="2:2" x14ac:dyDescent="0.2">
      <c r="B145" s="45"/>
    </row>
    <row r="155" spans="2:2" x14ac:dyDescent="0.2">
      <c r="B155" s="79"/>
    </row>
    <row r="157" spans="2:2" x14ac:dyDescent="0.2">
      <c r="B157" s="61"/>
    </row>
    <row r="167" spans="2:2" ht="19" x14ac:dyDescent="0.25">
      <c r="B167" s="44"/>
    </row>
    <row r="169" spans="2:2" x14ac:dyDescent="0.2">
      <c r="B169" s="45"/>
    </row>
    <row r="171" spans="2:2" x14ac:dyDescent="0.2">
      <c r="B171" s="45"/>
    </row>
    <row r="173" spans="2:2" x14ac:dyDescent="0.2">
      <c r="B173" s="45"/>
    </row>
    <row r="175" spans="2:2" x14ac:dyDescent="0.2">
      <c r="B175" s="45"/>
    </row>
    <row r="177" spans="2:2" x14ac:dyDescent="0.2">
      <c r="B177" s="45"/>
    </row>
    <row r="179" spans="2:2" x14ac:dyDescent="0.2">
      <c r="B179" s="45"/>
    </row>
    <row r="181" spans="2:2" x14ac:dyDescent="0.2">
      <c r="B181" s="45"/>
    </row>
    <row r="183" spans="2:2" x14ac:dyDescent="0.2">
      <c r="B183" s="45"/>
    </row>
    <row r="185" spans="2:2" x14ac:dyDescent="0.2">
      <c r="B185" s="45"/>
    </row>
    <row r="187" spans="2:2" x14ac:dyDescent="0.2">
      <c r="B187" s="45"/>
    </row>
    <row r="189" spans="2:2" x14ac:dyDescent="0.2">
      <c r="B189" s="45"/>
    </row>
    <row r="191" spans="2:2" x14ac:dyDescent="0.2">
      <c r="B191" s="45"/>
    </row>
    <row r="200" spans="2:2" ht="19" x14ac:dyDescent="0.25">
      <c r="B200" s="44"/>
    </row>
    <row r="202" spans="2:2" x14ac:dyDescent="0.2">
      <c r="B202" s="45"/>
    </row>
    <row r="204" spans="2:2" x14ac:dyDescent="0.2">
      <c r="B204" s="45"/>
    </row>
    <row r="206" spans="2:2" x14ac:dyDescent="0.2">
      <c r="B206" s="45"/>
    </row>
    <row r="209" spans="2:2" x14ac:dyDescent="0.2">
      <c r="B209" s="45"/>
    </row>
    <row r="211" spans="2:2" x14ac:dyDescent="0.2">
      <c r="B211" s="45"/>
    </row>
    <row r="213" spans="2:2" x14ac:dyDescent="0.2">
      <c r="B213" s="45"/>
    </row>
    <row r="219" spans="2:2" x14ac:dyDescent="0.2">
      <c r="B219" s="45"/>
    </row>
    <row r="221" spans="2:2" x14ac:dyDescent="0.2">
      <c r="B221" s="45"/>
    </row>
    <row r="223" spans="2:2" x14ac:dyDescent="0.2">
      <c r="B223" s="45"/>
    </row>
  </sheetData>
  <phoneticPr fontId="26" type="noConversion"/>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31F1-B0FA-0343-A2BD-0EC2CCA62522}">
  <sheetPr codeName="Sheet12"/>
  <dimension ref="A1:CY356"/>
  <sheetViews>
    <sheetView zoomScale="90" zoomScaleNormal="90" workbookViewId="0">
      <pane ySplit="4" topLeftCell="A137" activePane="bottomLeft" state="frozen"/>
      <selection pane="bottomLeft" activeCell="CO149" sqref="CO149"/>
    </sheetView>
  </sheetViews>
  <sheetFormatPr baseColWidth="10" defaultRowHeight="16" outlineLevelRow="1" outlineLevelCol="2" x14ac:dyDescent="0.2"/>
  <cols>
    <col min="5" max="5" width="11.83203125" customWidth="1"/>
    <col min="6" max="6" width="10.83203125" hidden="1" customWidth="1" outlineLevel="1"/>
    <col min="7" max="7" width="10.83203125" style="114" hidden="1" customWidth="1" outlineLevel="2"/>
    <col min="8" max="8" width="10.83203125" style="122" hidden="1" customWidth="1" outlineLevel="1" collapsed="1"/>
    <col min="9" max="9" width="10.83203125" style="122" hidden="1" customWidth="1" outlineLevel="2"/>
    <col min="10" max="12" width="10.83203125" style="123" hidden="1" customWidth="1" outlineLevel="2"/>
    <col min="13" max="13" width="10.83203125" style="124" hidden="1" customWidth="1" outlineLevel="1" collapsed="1"/>
    <col min="14" max="16" width="10.83203125" style="124" hidden="1" customWidth="1" outlineLevel="2"/>
    <col min="17" max="17" width="10.83203125" style="122" hidden="1" customWidth="1" outlineLevel="1" collapsed="1"/>
    <col min="18" max="18" width="10.83203125" style="122" hidden="1" customWidth="1" outlineLevel="2"/>
    <col min="19" max="19" width="10.83203125" style="124" hidden="1" customWidth="1" outlineLevel="1" collapsed="1"/>
    <col min="20" max="25" width="10.83203125" style="124" hidden="1" customWidth="1" outlineLevel="2"/>
    <col min="26" max="26" width="10.83203125" style="122" hidden="1" customWidth="1" outlineLevel="1" collapsed="1"/>
    <col min="27" max="27" width="10.83203125" style="122" hidden="1" customWidth="1" outlineLevel="2"/>
    <col min="28" max="28" width="10.83203125" style="122" hidden="1" customWidth="1" outlineLevel="1" collapsed="1"/>
    <col min="29" max="29" width="10.83203125" style="125" hidden="1" customWidth="1" outlineLevel="1"/>
    <col min="30" max="30" width="10.83203125" style="125" hidden="1" customWidth="1" outlineLevel="2"/>
    <col min="31" max="31" width="10.83203125" style="125" hidden="1" customWidth="1" outlineLevel="1" collapsed="1"/>
    <col min="32" max="32" width="10.83203125" style="124" hidden="1" customWidth="1" outlineLevel="2"/>
    <col min="33" max="33" width="10.83203125" style="124" hidden="1" customWidth="1" outlineLevel="1" collapsed="1"/>
    <col min="34" max="34" width="5.83203125" style="124" customWidth="1" collapsed="1"/>
    <col min="35" max="37" width="5.83203125" style="124" customWidth="1"/>
    <col min="38" max="38" width="10.83203125" style="122" hidden="1" customWidth="1" outlineLevel="1"/>
    <col min="39" max="39" width="10.83203125" style="122" hidden="1" customWidth="1" outlineLevel="1" collapsed="1"/>
    <col min="40" max="41" width="10.83203125" style="122" hidden="1" customWidth="1" outlineLevel="2"/>
    <col min="42" max="42" width="10.83203125" style="122" hidden="1" customWidth="1" outlineLevel="2" collapsed="1"/>
    <col min="43" max="43" width="10.83203125" style="122" hidden="1" customWidth="1" outlineLevel="1" collapsed="1"/>
    <col min="44" max="44" width="5.83203125" style="122" customWidth="1" collapsed="1"/>
    <col min="45" max="45" width="5.83203125" style="148" customWidth="1"/>
    <col min="46" max="46" width="5.83203125" style="118" customWidth="1"/>
    <col min="47" max="47" width="10.83203125" style="122" hidden="1" customWidth="1" outlineLevel="1"/>
    <col min="48" max="50" width="10.83203125" style="124" hidden="1" customWidth="1" outlineLevel="2"/>
    <col min="51" max="51" width="10.83203125" style="122" hidden="1" customWidth="1" outlineLevel="1" collapsed="1"/>
    <col min="52" max="53" width="10.83203125" style="122" hidden="1" customWidth="1" outlineLevel="2"/>
    <col min="54" max="54" width="10.83203125" style="118" hidden="1" customWidth="1" outlineLevel="2"/>
    <col min="55" max="55" width="10.83203125" style="154" hidden="1" customWidth="1" outlineLevel="2"/>
    <col min="56" max="56" width="10.83203125" style="122" hidden="1" customWidth="1" outlineLevel="1" collapsed="1"/>
    <col min="57" max="57" width="10.83203125" style="122" hidden="1" customWidth="1" outlineLevel="2"/>
    <col min="58" max="58" width="10.83203125" style="122" hidden="1" customWidth="1" outlineLevel="1" collapsed="1"/>
    <col min="59" max="60" width="10.83203125" style="122" hidden="1" customWidth="1" outlineLevel="2"/>
    <col min="61" max="61" width="10.83203125" style="154" hidden="1" customWidth="1" outlineLevel="1" collapsed="1"/>
    <col min="62" max="62" width="10.83203125" style="122" hidden="1" customWidth="1" outlineLevel="1"/>
    <col min="63" max="63" width="10.83203125" style="155" hidden="1" customWidth="1" outlineLevel="2"/>
    <col min="64" max="64" width="10.83203125" style="122" hidden="1" customWidth="1" outlineLevel="1" collapsed="1"/>
    <col min="65" max="65" width="10.83203125" style="154" hidden="1" customWidth="1" outlineLevel="2"/>
    <col min="66" max="66" width="10.83203125" style="122" hidden="1" customWidth="1" outlineLevel="1" collapsed="1"/>
    <col min="67" max="67" width="10.83203125" style="154" hidden="1" customWidth="1" outlineLevel="1"/>
    <col min="68" max="69" width="10.83203125" style="162" hidden="1" customWidth="1" outlineLevel="1"/>
    <col min="70" max="70" width="13.83203125" customWidth="1" collapsed="1"/>
    <col min="71" max="72" width="10.83203125" style="166"/>
    <col min="73" max="73" width="10.83203125" style="99"/>
    <col min="80" max="80" width="10.83203125" style="83"/>
    <col min="84" max="84" width="10.83203125" style="106"/>
    <col min="96" max="103" width="10.83203125" customWidth="1" outlineLevel="1"/>
  </cols>
  <sheetData>
    <row r="1" spans="2:103" x14ac:dyDescent="0.2">
      <c r="AF1" s="125"/>
      <c r="AG1" s="125"/>
      <c r="AR1" s="118"/>
      <c r="AS1" s="122"/>
      <c r="AT1" s="148"/>
      <c r="BP1" s="154"/>
      <c r="BV1" s="99"/>
    </row>
    <row r="2" spans="2:103" x14ac:dyDescent="0.2">
      <c r="B2" s="69" t="s">
        <v>1335</v>
      </c>
      <c r="C2" t="s">
        <v>1560</v>
      </c>
      <c r="D2" t="s">
        <v>1560</v>
      </c>
      <c r="E2" t="s">
        <v>1560</v>
      </c>
      <c r="F2" s="97" t="s">
        <v>1495</v>
      </c>
      <c r="G2" s="121" t="s">
        <v>1555</v>
      </c>
      <c r="H2" s="123" t="s">
        <v>1555</v>
      </c>
      <c r="I2" s="123" t="s">
        <v>1555</v>
      </c>
      <c r="J2" s="123" t="s">
        <v>1555</v>
      </c>
      <c r="K2" s="123" t="s">
        <v>1555</v>
      </c>
      <c r="L2" s="123" t="s">
        <v>1555</v>
      </c>
      <c r="M2" s="125" t="s">
        <v>1483</v>
      </c>
      <c r="N2" s="125" t="s">
        <v>1483</v>
      </c>
      <c r="O2" s="125" t="s">
        <v>1483</v>
      </c>
      <c r="P2" s="125" t="s">
        <v>1483</v>
      </c>
      <c r="Q2" s="122" t="s">
        <v>1555</v>
      </c>
      <c r="R2" s="122" t="s">
        <v>1555</v>
      </c>
      <c r="S2" s="124" t="s">
        <v>1483</v>
      </c>
      <c r="T2" s="126" t="s">
        <v>1483</v>
      </c>
      <c r="U2" s="126" t="s">
        <v>1483</v>
      </c>
      <c r="V2" s="126" t="s">
        <v>1483</v>
      </c>
      <c r="W2" s="126" t="s">
        <v>1483</v>
      </c>
      <c r="X2" s="126" t="s">
        <v>1483</v>
      </c>
      <c r="Y2" s="126" t="s">
        <v>1483</v>
      </c>
      <c r="Z2" s="122" t="s">
        <v>1555</v>
      </c>
      <c r="AA2" s="122" t="s">
        <v>1555</v>
      </c>
      <c r="AB2" s="122" t="s">
        <v>1555</v>
      </c>
      <c r="AC2" s="126" t="s">
        <v>1483</v>
      </c>
      <c r="AD2" s="126" t="s">
        <v>1483</v>
      </c>
      <c r="AE2" s="126" t="s">
        <v>1483</v>
      </c>
      <c r="AF2" s="126" t="s">
        <v>1483</v>
      </c>
      <c r="AG2" s="126" t="s">
        <v>1483</v>
      </c>
      <c r="AH2" s="126" t="s">
        <v>1483</v>
      </c>
      <c r="AI2" s="126" t="s">
        <v>1483</v>
      </c>
      <c r="AJ2" s="126" t="s">
        <v>1483</v>
      </c>
      <c r="AK2" s="126" t="s">
        <v>1483</v>
      </c>
      <c r="AL2" s="122" t="s">
        <v>1555</v>
      </c>
      <c r="AM2" s="122" t="s">
        <v>1555</v>
      </c>
      <c r="AN2" s="122" t="s">
        <v>1555</v>
      </c>
      <c r="AO2" s="122" t="s">
        <v>1555</v>
      </c>
      <c r="AP2" s="122" t="s">
        <v>1555</v>
      </c>
      <c r="AQ2" s="122" t="s">
        <v>1555</v>
      </c>
      <c r="AR2" s="126" t="s">
        <v>1483</v>
      </c>
      <c r="AS2" s="126" t="s">
        <v>1483</v>
      </c>
      <c r="AT2" s="126" t="s">
        <v>1483</v>
      </c>
      <c r="AU2" s="122" t="s">
        <v>1555</v>
      </c>
      <c r="AV2" s="126" t="s">
        <v>1483</v>
      </c>
      <c r="AW2" s="126" t="s">
        <v>1483</v>
      </c>
      <c r="AX2" s="126" t="s">
        <v>1483</v>
      </c>
      <c r="AY2" s="122" t="s">
        <v>1555</v>
      </c>
      <c r="AZ2" s="122" t="s">
        <v>1555</v>
      </c>
      <c r="BA2" s="122" t="s">
        <v>1555</v>
      </c>
      <c r="BB2" s="126" t="s">
        <v>1483</v>
      </c>
      <c r="BC2" s="126" t="s">
        <v>1483</v>
      </c>
      <c r="BD2" s="122" t="s">
        <v>1555</v>
      </c>
      <c r="BE2" s="122" t="s">
        <v>1555</v>
      </c>
      <c r="BF2" s="122" t="s">
        <v>1555</v>
      </c>
      <c r="BG2" s="122" t="s">
        <v>1555</v>
      </c>
      <c r="BH2" s="122" t="s">
        <v>1555</v>
      </c>
      <c r="BI2" s="154" t="s">
        <v>1501</v>
      </c>
      <c r="BJ2" s="122" t="s">
        <v>1501</v>
      </c>
      <c r="BK2" s="154" t="s">
        <v>1501</v>
      </c>
      <c r="BL2" s="122" t="s">
        <v>1501</v>
      </c>
      <c r="BM2" s="154" t="s">
        <v>1501</v>
      </c>
      <c r="BN2" s="122" t="s">
        <v>1501</v>
      </c>
      <c r="BO2" s="154" t="s">
        <v>1501</v>
      </c>
      <c r="BP2" s="154" t="s">
        <v>1501</v>
      </c>
      <c r="BQ2" s="154" t="s">
        <v>1501</v>
      </c>
      <c r="BR2" s="166" t="s">
        <v>1585</v>
      </c>
      <c r="BS2" s="166" t="s">
        <v>1585</v>
      </c>
      <c r="BT2" s="166" t="s">
        <v>1585</v>
      </c>
      <c r="BU2" s="115" t="s">
        <v>1585</v>
      </c>
      <c r="BV2" s="115" t="s">
        <v>1585</v>
      </c>
      <c r="BW2" s="115" t="s">
        <v>1585</v>
      </c>
      <c r="BX2" s="115" t="s">
        <v>1585</v>
      </c>
      <c r="BY2" s="115" t="s">
        <v>1585</v>
      </c>
      <c r="BZ2" s="115" t="s">
        <v>1585</v>
      </c>
      <c r="CA2" s="115" t="s">
        <v>1585</v>
      </c>
      <c r="CB2" s="96" t="s">
        <v>1585</v>
      </c>
      <c r="CC2" s="115" t="s">
        <v>1585</v>
      </c>
      <c r="CD2" s="115" t="s">
        <v>1585</v>
      </c>
      <c r="CE2" s="115" t="s">
        <v>1585</v>
      </c>
      <c r="CF2" s="166" t="s">
        <v>1585</v>
      </c>
      <c r="CG2" s="115" t="s">
        <v>1585</v>
      </c>
      <c r="CH2" s="115" t="s">
        <v>1585</v>
      </c>
      <c r="CI2" s="115" t="s">
        <v>1585</v>
      </c>
      <c r="CJ2" s="115" t="s">
        <v>1585</v>
      </c>
      <c r="CK2" s="115" t="s">
        <v>1585</v>
      </c>
      <c r="CL2" s="115" t="s">
        <v>1585</v>
      </c>
      <c r="CM2" s="115" t="s">
        <v>1585</v>
      </c>
      <c r="CN2" s="115" t="s">
        <v>1585</v>
      </c>
      <c r="CO2" s="115" t="s">
        <v>1585</v>
      </c>
      <c r="CP2" s="115" t="s">
        <v>1585</v>
      </c>
      <c r="CR2" s="115" t="s">
        <v>1890</v>
      </c>
      <c r="CS2" s="115" t="s">
        <v>1585</v>
      </c>
      <c r="CT2" s="115" t="s">
        <v>1585</v>
      </c>
      <c r="CU2" s="115" t="s">
        <v>1585</v>
      </c>
      <c r="CV2" s="115" t="s">
        <v>1890</v>
      </c>
      <c r="CW2" s="115" t="s">
        <v>1585</v>
      </c>
      <c r="CX2" s="115" t="s">
        <v>1585</v>
      </c>
      <c r="CY2" s="115" t="s">
        <v>1585</v>
      </c>
    </row>
    <row r="3" spans="2:103" x14ac:dyDescent="0.2">
      <c r="B3" s="69" t="s">
        <v>1561</v>
      </c>
      <c r="C3" s="57" t="s">
        <v>1386</v>
      </c>
      <c r="D3" s="57" t="s">
        <v>1183</v>
      </c>
      <c r="E3" s="57" t="s">
        <v>1388</v>
      </c>
      <c r="F3" s="97" t="s">
        <v>1554</v>
      </c>
      <c r="G3" s="98" t="s">
        <v>1557</v>
      </c>
      <c r="H3" s="123" t="s">
        <v>1570</v>
      </c>
      <c r="I3" s="123" t="s">
        <v>1575</v>
      </c>
      <c r="J3" s="123" t="s">
        <v>1609</v>
      </c>
      <c r="K3" s="123" t="s">
        <v>1610</v>
      </c>
      <c r="L3" s="123" t="s">
        <v>1611</v>
      </c>
      <c r="M3" s="125" t="s">
        <v>1861</v>
      </c>
      <c r="N3" s="125" t="s">
        <v>1492</v>
      </c>
      <c r="O3" s="125" t="s">
        <v>1562</v>
      </c>
      <c r="P3" s="125" t="s">
        <v>1559</v>
      </c>
      <c r="Q3" s="122" t="s">
        <v>1570</v>
      </c>
      <c r="R3" s="122" t="s">
        <v>1575</v>
      </c>
      <c r="S3" s="124" t="s">
        <v>1861</v>
      </c>
      <c r="T3" s="126" t="s">
        <v>1492</v>
      </c>
      <c r="U3" s="124" t="s">
        <v>1862</v>
      </c>
      <c r="V3" s="126" t="s">
        <v>1493</v>
      </c>
      <c r="W3" s="126" t="s">
        <v>1494</v>
      </c>
      <c r="X3" s="124" t="s">
        <v>1863</v>
      </c>
      <c r="Y3" s="124" t="s">
        <v>1864</v>
      </c>
      <c r="Z3" s="122" t="s">
        <v>1570</v>
      </c>
      <c r="AA3" s="122" t="s">
        <v>1575</v>
      </c>
      <c r="AB3" s="122" t="s">
        <v>1577</v>
      </c>
      <c r="AC3" s="126" t="s">
        <v>1484</v>
      </c>
      <c r="AD3" s="126" t="s">
        <v>1484</v>
      </c>
      <c r="AE3" s="126" t="s">
        <v>1558</v>
      </c>
      <c r="AF3" s="126" t="s">
        <v>1558</v>
      </c>
      <c r="AG3" s="126" t="s">
        <v>1861</v>
      </c>
      <c r="AH3" s="126" t="s">
        <v>1492</v>
      </c>
      <c r="AI3" s="126" t="s">
        <v>1492</v>
      </c>
      <c r="AJ3" s="126" t="s">
        <v>1492</v>
      </c>
      <c r="AK3" s="126" t="s">
        <v>1492</v>
      </c>
      <c r="AL3" s="122" t="s">
        <v>1570</v>
      </c>
      <c r="AM3" s="122" t="s">
        <v>1570</v>
      </c>
      <c r="AN3" s="127" t="s">
        <v>1568</v>
      </c>
      <c r="AO3" s="127" t="s">
        <v>1855</v>
      </c>
      <c r="AP3" s="122" t="s">
        <v>1868</v>
      </c>
      <c r="AQ3" s="127" t="s">
        <v>1569</v>
      </c>
      <c r="AR3" s="126" t="s">
        <v>1563</v>
      </c>
      <c r="AS3" s="126" t="s">
        <v>1564</v>
      </c>
      <c r="AT3" s="126" t="s">
        <v>1565</v>
      </c>
      <c r="AU3" s="122" t="s">
        <v>1570</v>
      </c>
      <c r="AV3" s="126" t="s">
        <v>1498</v>
      </c>
      <c r="AW3" s="126" t="s">
        <v>1499</v>
      </c>
      <c r="AX3" s="126" t="s">
        <v>1500</v>
      </c>
      <c r="AY3" s="122" t="s">
        <v>1570</v>
      </c>
      <c r="AZ3" s="122" t="s">
        <v>1575</v>
      </c>
      <c r="BA3" s="122" t="s">
        <v>1856</v>
      </c>
      <c r="BB3" s="126" t="s">
        <v>1566</v>
      </c>
      <c r="BC3" s="126" t="s">
        <v>1567</v>
      </c>
      <c r="BD3" s="122" t="s">
        <v>1570</v>
      </c>
      <c r="BE3" s="122" t="s">
        <v>1575</v>
      </c>
      <c r="BF3" s="122" t="s">
        <v>1857</v>
      </c>
      <c r="BG3" s="122" t="s">
        <v>1858</v>
      </c>
      <c r="BH3" s="122" t="s">
        <v>1860</v>
      </c>
      <c r="BI3" s="156" t="s">
        <v>1859</v>
      </c>
      <c r="BJ3" s="127" t="s">
        <v>1875</v>
      </c>
      <c r="BK3" s="156" t="s">
        <v>1875</v>
      </c>
      <c r="BL3" s="127" t="s">
        <v>1877</v>
      </c>
      <c r="BM3" s="156" t="s">
        <v>1877</v>
      </c>
      <c r="BN3" s="127" t="s">
        <v>1878</v>
      </c>
      <c r="BO3" s="156" t="s">
        <v>1878</v>
      </c>
      <c r="BP3" s="156" t="s">
        <v>1878</v>
      </c>
      <c r="BQ3" s="156" t="s">
        <v>1878</v>
      </c>
      <c r="BR3" s="166"/>
      <c r="BU3"/>
      <c r="BV3" s="66"/>
      <c r="BW3" s="66"/>
      <c r="BX3" s="92"/>
      <c r="BY3" s="99"/>
      <c r="BZ3" s="92"/>
      <c r="CA3" s="66"/>
      <c r="CB3" s="96"/>
      <c r="CC3" s="85" t="s">
        <v>1405</v>
      </c>
      <c r="CD3" s="66"/>
      <c r="CE3" s="92"/>
      <c r="CF3" s="173" t="s">
        <v>1885</v>
      </c>
      <c r="CG3" s="85" t="s">
        <v>1882</v>
      </c>
      <c r="CH3" s="85" t="s">
        <v>1883</v>
      </c>
      <c r="CI3" s="84" t="s">
        <v>1881</v>
      </c>
      <c r="CJ3" s="84" t="s">
        <v>1882</v>
      </c>
      <c r="CK3" s="84" t="s">
        <v>1883</v>
      </c>
      <c r="CL3" s="92"/>
      <c r="CM3" s="66"/>
      <c r="CN3" s="66"/>
      <c r="CO3" s="106"/>
      <c r="CP3" s="105"/>
      <c r="CR3" s="66" t="s">
        <v>1893</v>
      </c>
      <c r="CS3" s="165" t="s">
        <v>1894</v>
      </c>
      <c r="CT3" s="165" t="s">
        <v>1894</v>
      </c>
      <c r="CU3" s="165" t="s">
        <v>1894</v>
      </c>
      <c r="CV3" s="66" t="s">
        <v>186</v>
      </c>
      <c r="CW3" s="165" t="s">
        <v>1891</v>
      </c>
      <c r="CX3" s="165" t="s">
        <v>1891</v>
      </c>
      <c r="CY3" s="165" t="s">
        <v>1891</v>
      </c>
    </row>
    <row r="4" spans="2:103" x14ac:dyDescent="0.2">
      <c r="B4" s="69"/>
      <c r="C4" s="57"/>
      <c r="D4" s="57"/>
      <c r="E4" s="57"/>
      <c r="F4" s="97"/>
      <c r="G4" s="121"/>
      <c r="H4" s="123" t="s">
        <v>1571</v>
      </c>
      <c r="I4" s="123" t="s">
        <v>1571</v>
      </c>
      <c r="J4" s="123" t="s">
        <v>1571</v>
      </c>
      <c r="K4" s="123" t="s">
        <v>1571</v>
      </c>
      <c r="L4" s="123" t="s">
        <v>1571</v>
      </c>
      <c r="M4" s="125" t="s">
        <v>1571</v>
      </c>
      <c r="N4" s="125" t="s">
        <v>1571</v>
      </c>
      <c r="O4" s="125" t="s">
        <v>1571</v>
      </c>
      <c r="P4" s="125" t="s">
        <v>1571</v>
      </c>
      <c r="Q4" s="122" t="s">
        <v>134</v>
      </c>
      <c r="R4" s="122" t="s">
        <v>134</v>
      </c>
      <c r="S4" s="124" t="s">
        <v>134</v>
      </c>
      <c r="T4" s="124" t="s">
        <v>134</v>
      </c>
      <c r="U4" s="124" t="s">
        <v>134</v>
      </c>
      <c r="V4" s="124" t="s">
        <v>134</v>
      </c>
      <c r="W4" s="124" t="s">
        <v>134</v>
      </c>
      <c r="X4" s="124" t="s">
        <v>134</v>
      </c>
      <c r="Y4" s="124" t="s">
        <v>134</v>
      </c>
      <c r="Z4" s="122" t="s">
        <v>1572</v>
      </c>
      <c r="AA4" s="122" t="s">
        <v>1572</v>
      </c>
      <c r="AB4" s="122" t="s">
        <v>1572</v>
      </c>
      <c r="AC4" s="126" t="s">
        <v>1861</v>
      </c>
      <c r="AD4" s="126" t="s">
        <v>1485</v>
      </c>
      <c r="AE4" s="126" t="s">
        <v>1861</v>
      </c>
      <c r="AF4" s="126" t="s">
        <v>1559</v>
      </c>
      <c r="AG4" s="126" t="s">
        <v>1482</v>
      </c>
      <c r="AH4" s="126" t="s">
        <v>1869</v>
      </c>
      <c r="AI4" s="126" t="s">
        <v>1870</v>
      </c>
      <c r="AJ4" s="126" t="s">
        <v>1871</v>
      </c>
      <c r="AK4" s="126" t="s">
        <v>1872</v>
      </c>
      <c r="AL4" s="122" t="s">
        <v>1573</v>
      </c>
      <c r="AM4" s="122" t="s">
        <v>33</v>
      </c>
      <c r="AN4" s="127" t="s">
        <v>33</v>
      </c>
      <c r="AO4" s="127" t="s">
        <v>33</v>
      </c>
      <c r="AP4" s="122" t="s">
        <v>33</v>
      </c>
      <c r="AQ4" s="127" t="s">
        <v>33</v>
      </c>
      <c r="AR4" s="126" t="s">
        <v>33</v>
      </c>
      <c r="AS4" s="126" t="s">
        <v>33</v>
      </c>
      <c r="AT4" s="126" t="s">
        <v>33</v>
      </c>
      <c r="AU4" s="122" t="s">
        <v>1574</v>
      </c>
      <c r="AV4" s="126" t="s">
        <v>1574</v>
      </c>
      <c r="AW4" s="126" t="s">
        <v>1574</v>
      </c>
      <c r="AX4" s="126" t="s">
        <v>1574</v>
      </c>
      <c r="AY4" s="122" t="s">
        <v>139</v>
      </c>
      <c r="AZ4" s="122" t="s">
        <v>139</v>
      </c>
      <c r="BA4" s="122" t="s">
        <v>139</v>
      </c>
      <c r="BB4" s="126" t="s">
        <v>139</v>
      </c>
      <c r="BC4" s="126" t="s">
        <v>139</v>
      </c>
      <c r="BD4" s="122" t="s">
        <v>147</v>
      </c>
      <c r="BE4" s="122" t="s">
        <v>147</v>
      </c>
      <c r="BF4" s="122" t="s">
        <v>1859</v>
      </c>
      <c r="BG4" s="122" t="s">
        <v>1859</v>
      </c>
      <c r="BH4" s="122" t="s">
        <v>1859</v>
      </c>
      <c r="BI4" s="156" t="s">
        <v>1874</v>
      </c>
      <c r="BJ4" s="127" t="s">
        <v>1876</v>
      </c>
      <c r="BK4" s="156" t="s">
        <v>1462</v>
      </c>
      <c r="BL4" s="127" t="s">
        <v>1876</v>
      </c>
      <c r="BM4" s="156" t="s">
        <v>1575</v>
      </c>
      <c r="BN4" s="127" t="s">
        <v>1876</v>
      </c>
      <c r="BO4" s="156" t="s">
        <v>1575</v>
      </c>
      <c r="BP4" s="156" t="s">
        <v>1879</v>
      </c>
      <c r="BQ4" s="156" t="s">
        <v>1880</v>
      </c>
      <c r="BR4" s="167" t="s">
        <v>1889</v>
      </c>
      <c r="BS4" s="167" t="s">
        <v>33</v>
      </c>
      <c r="BT4" s="167" t="s">
        <v>139</v>
      </c>
      <c r="BU4" s="85" t="s">
        <v>1403</v>
      </c>
      <c r="BV4" s="85" t="s">
        <v>1338</v>
      </c>
      <c r="BW4" s="85" t="s">
        <v>1465</v>
      </c>
      <c r="BX4" s="100" t="s">
        <v>1466</v>
      </c>
      <c r="BY4" s="85" t="s">
        <v>1459</v>
      </c>
      <c r="BZ4" s="86" t="s">
        <v>1460</v>
      </c>
      <c r="CA4" s="85" t="s">
        <v>1340</v>
      </c>
      <c r="CB4" s="95" t="s">
        <v>1341</v>
      </c>
      <c r="CC4" s="85" t="s">
        <v>1152</v>
      </c>
      <c r="CD4" s="85" t="s">
        <v>1154</v>
      </c>
      <c r="CE4" s="85" t="s">
        <v>1156</v>
      </c>
      <c r="CF4" s="107" t="s">
        <v>1462</v>
      </c>
      <c r="CG4" s="85" t="s">
        <v>1462</v>
      </c>
      <c r="CH4" s="85" t="s">
        <v>1462</v>
      </c>
      <c r="CI4" s="84" t="s">
        <v>1884</v>
      </c>
      <c r="CJ4" s="84" t="s">
        <v>1884</v>
      </c>
      <c r="CK4" s="84" t="s">
        <v>1884</v>
      </c>
      <c r="CL4" s="85" t="s">
        <v>1464</v>
      </c>
      <c r="CM4" s="84" t="s">
        <v>1481</v>
      </c>
      <c r="CN4" s="85" t="s">
        <v>1404</v>
      </c>
      <c r="CO4" s="107" t="s">
        <v>1467</v>
      </c>
      <c r="CP4" s="107" t="s">
        <v>1463</v>
      </c>
      <c r="CR4" s="120">
        <v>12</v>
      </c>
      <c r="CS4" s="84" t="s">
        <v>1895</v>
      </c>
      <c r="CT4" s="85" t="s">
        <v>1404</v>
      </c>
      <c r="CU4" s="107" t="s">
        <v>1463</v>
      </c>
      <c r="CV4" s="120">
        <v>12</v>
      </c>
      <c r="CW4" s="84" t="s">
        <v>1895</v>
      </c>
      <c r="CX4" s="85" t="s">
        <v>1404</v>
      </c>
      <c r="CY4" s="107" t="s">
        <v>1463</v>
      </c>
    </row>
    <row r="5" spans="2:103" s="81" customFormat="1" x14ac:dyDescent="0.2">
      <c r="B5" s="211"/>
      <c r="C5" s="75"/>
      <c r="D5" s="75"/>
      <c r="E5" s="75"/>
      <c r="F5" s="104"/>
      <c r="G5" s="212"/>
      <c r="H5" s="177"/>
      <c r="I5" s="177"/>
      <c r="J5" s="177"/>
      <c r="K5" s="177"/>
      <c r="L5" s="177"/>
      <c r="M5" s="179"/>
      <c r="N5" s="179"/>
      <c r="O5" s="179"/>
      <c r="P5" s="179"/>
      <c r="Q5" s="176"/>
      <c r="R5" s="176"/>
      <c r="S5" s="178"/>
      <c r="T5" s="178"/>
      <c r="U5" s="178"/>
      <c r="V5" s="178"/>
      <c r="W5" s="178"/>
      <c r="X5" s="178"/>
      <c r="Y5" s="178"/>
      <c r="Z5" s="176"/>
      <c r="AA5" s="176"/>
      <c r="AB5" s="176"/>
      <c r="AC5" s="213"/>
      <c r="AD5" s="213"/>
      <c r="AE5" s="213"/>
      <c r="AF5" s="213"/>
      <c r="AG5" s="213"/>
      <c r="AH5" s="213"/>
      <c r="AI5" s="213"/>
      <c r="AJ5" s="213"/>
      <c r="AK5" s="213"/>
      <c r="AL5" s="176"/>
      <c r="AM5" s="176"/>
      <c r="AN5" s="142"/>
      <c r="AO5" s="142"/>
      <c r="AP5" s="176"/>
      <c r="AQ5" s="142"/>
      <c r="AR5" s="213"/>
      <c r="AS5" s="213"/>
      <c r="AT5" s="213"/>
      <c r="AU5" s="176"/>
      <c r="AV5" s="213"/>
      <c r="AW5" s="213"/>
      <c r="AX5" s="213"/>
      <c r="AY5" s="176"/>
      <c r="AZ5" s="176"/>
      <c r="BA5" s="176"/>
      <c r="BB5" s="213"/>
      <c r="BC5" s="213"/>
      <c r="BD5" s="176"/>
      <c r="BE5" s="176"/>
      <c r="BF5" s="176"/>
      <c r="BG5" s="176"/>
      <c r="BH5" s="176"/>
      <c r="BI5" s="214"/>
      <c r="BJ5" s="142"/>
      <c r="BK5" s="214"/>
      <c r="BL5" s="142"/>
      <c r="BM5" s="214"/>
      <c r="BN5" s="142"/>
      <c r="BO5" s="214"/>
      <c r="BP5" s="214"/>
      <c r="BQ5" s="214"/>
      <c r="BR5" s="215"/>
      <c r="BS5" s="215"/>
      <c r="BT5" s="215"/>
      <c r="BU5" s="216"/>
      <c r="BV5" s="216"/>
      <c r="BW5" s="216"/>
      <c r="BX5" s="217"/>
      <c r="BY5" s="216"/>
      <c r="BZ5" s="218"/>
      <c r="CA5" s="216"/>
      <c r="CB5" s="219"/>
      <c r="CC5" s="216"/>
      <c r="CD5" s="216"/>
      <c r="CE5" s="216"/>
      <c r="CF5" s="220"/>
      <c r="CG5" s="216"/>
      <c r="CH5" s="216"/>
      <c r="CI5" s="221"/>
      <c r="CJ5" s="221"/>
      <c r="CK5" s="221"/>
      <c r="CL5" s="216"/>
      <c r="CM5" s="221"/>
      <c r="CN5" s="216"/>
      <c r="CO5" s="220"/>
      <c r="CP5" s="220"/>
      <c r="CS5" s="221"/>
      <c r="CT5" s="216"/>
      <c r="CU5" s="220"/>
      <c r="CW5" s="221"/>
      <c r="CX5" s="216"/>
      <c r="CY5" s="220"/>
    </row>
    <row r="6" spans="2:103" x14ac:dyDescent="0.2">
      <c r="B6" s="72" t="s">
        <v>1579</v>
      </c>
      <c r="C6" s="57" t="s">
        <v>1387</v>
      </c>
      <c r="D6" s="57" t="s">
        <v>1440</v>
      </c>
      <c r="E6" s="65" t="s">
        <v>1389</v>
      </c>
      <c r="F6" s="57" t="s">
        <v>1454</v>
      </c>
      <c r="G6" s="62" t="s">
        <v>1556</v>
      </c>
      <c r="H6" s="128" t="b">
        <v>1</v>
      </c>
      <c r="I6" s="122" t="s">
        <v>1865</v>
      </c>
      <c r="N6" s="124">
        <v>21</v>
      </c>
      <c r="O6" s="124">
        <v>0.8</v>
      </c>
      <c r="P6" s="124">
        <v>5</v>
      </c>
      <c r="Q6" s="128" t="b">
        <v>1</v>
      </c>
      <c r="R6" s="127" t="s">
        <v>1559</v>
      </c>
      <c r="T6" s="126">
        <v>13</v>
      </c>
      <c r="U6" s="124">
        <v>1.4999999999999999E-2</v>
      </c>
      <c r="V6" s="126">
        <v>75</v>
      </c>
      <c r="W6" s="126">
        <v>-75</v>
      </c>
      <c r="X6" s="124">
        <v>50</v>
      </c>
      <c r="Y6" s="124">
        <v>5</v>
      </c>
      <c r="Z6" s="128" t="b">
        <v>1</v>
      </c>
      <c r="AA6" s="127" t="s">
        <v>1867</v>
      </c>
      <c r="AB6" s="122">
        <v>3</v>
      </c>
      <c r="AC6" s="146"/>
      <c r="AD6" s="124">
        <v>20</v>
      </c>
      <c r="AE6" s="124"/>
      <c r="AF6" s="124">
        <v>5.0000000000000001E-4</v>
      </c>
      <c r="AG6" s="135" t="b">
        <v>1</v>
      </c>
      <c r="AH6" s="125">
        <v>5</v>
      </c>
      <c r="AI6" s="125">
        <v>13</v>
      </c>
      <c r="AJ6" s="125">
        <v>34</v>
      </c>
      <c r="AK6" s="125">
        <v>89</v>
      </c>
      <c r="AL6" s="129" t="b">
        <v>0</v>
      </c>
      <c r="AM6" s="128" t="b">
        <v>1</v>
      </c>
      <c r="AN6" s="127" t="s">
        <v>1468</v>
      </c>
      <c r="AO6" s="127">
        <v>1E-4</v>
      </c>
      <c r="AP6" s="128" t="b">
        <v>1</v>
      </c>
      <c r="AQ6" s="127">
        <v>1E-3</v>
      </c>
      <c r="AR6" s="126">
        <v>5</v>
      </c>
      <c r="AS6" s="126">
        <v>8</v>
      </c>
      <c r="AT6" s="126">
        <v>5</v>
      </c>
      <c r="AU6" s="128" t="b">
        <v>1</v>
      </c>
      <c r="AV6" s="124">
        <v>3</v>
      </c>
      <c r="AW6" s="146">
        <v>5</v>
      </c>
      <c r="AX6" s="124">
        <v>1</v>
      </c>
      <c r="AY6" s="128" t="b">
        <v>1</v>
      </c>
      <c r="AZ6" s="122" t="s">
        <v>1576</v>
      </c>
      <c r="BA6" s="122">
        <v>4</v>
      </c>
      <c r="BB6" s="126">
        <v>0.05</v>
      </c>
      <c r="BC6" s="126">
        <v>0.5</v>
      </c>
      <c r="BD6" s="129" t="b">
        <v>0</v>
      </c>
      <c r="BE6" s="122" t="s">
        <v>1873</v>
      </c>
      <c r="BF6" s="128" t="b">
        <v>1</v>
      </c>
      <c r="BG6" s="122" t="s">
        <v>1578</v>
      </c>
      <c r="BH6" s="122">
        <v>0.01</v>
      </c>
      <c r="BI6" s="156" t="s">
        <v>403</v>
      </c>
      <c r="BJ6" s="128" t="b">
        <v>1</v>
      </c>
      <c r="BK6" s="157">
        <v>2</v>
      </c>
      <c r="BL6" s="128" t="b">
        <v>1</v>
      </c>
      <c r="BM6" s="156" t="s">
        <v>412</v>
      </c>
      <c r="BN6" s="129" t="b">
        <v>0</v>
      </c>
      <c r="BO6" s="156" t="s">
        <v>1382</v>
      </c>
      <c r="BP6" s="157"/>
      <c r="BQ6" s="157"/>
      <c r="BR6" s="166" t="str">
        <f>AH6&amp;"/ "&amp;AI6&amp;"/ "&amp;AJ6&amp;"/ "&amp;AK6</f>
        <v>5/ 13/ 34/ 89</v>
      </c>
      <c r="BS6" s="166" t="str">
        <f t="shared" ref="BS6:BS11" si="0">AR6&amp;" / "&amp;AS6&amp;" / "&amp;AT6</f>
        <v>5 / 8 / 5</v>
      </c>
      <c r="BT6" s="166" t="str">
        <f t="shared" ref="BT6:BT11" si="1">BB6&amp;" / "&amp;BC6</f>
        <v>0.05 / 0.5</v>
      </c>
      <c r="BU6" s="66">
        <v>255</v>
      </c>
      <c r="BV6" s="66">
        <v>164</v>
      </c>
      <c r="BW6" s="66">
        <v>150</v>
      </c>
      <c r="BX6" s="99">
        <f t="shared" ref="BX6:BX11" si="2">BV6-BW6</f>
        <v>14</v>
      </c>
      <c r="BY6" s="66">
        <v>19</v>
      </c>
      <c r="BZ6" s="92">
        <f>BU6-SUM(BW6:BY6)</f>
        <v>72</v>
      </c>
      <c r="CA6" s="204">
        <f>IF(BU6=0,0,BV6/BU6)</f>
        <v>0.64313725490196083</v>
      </c>
      <c r="CB6" s="205">
        <f>IF(BU6=0,0,BY6/BU6)</f>
        <v>7.4509803921568626E-2</v>
      </c>
      <c r="CC6" s="87">
        <v>5.76</v>
      </c>
      <c r="CD6" s="66">
        <v>14.87</v>
      </c>
      <c r="CE6" s="66">
        <v>0.48</v>
      </c>
      <c r="CF6" s="170">
        <f t="shared" ref="CF6:CF11" si="3">BK6</f>
        <v>2</v>
      </c>
      <c r="CG6" s="87">
        <v>0.57999999999999996</v>
      </c>
      <c r="CH6" s="87">
        <v>0.41</v>
      </c>
      <c r="CI6" s="93">
        <v>3290.5</v>
      </c>
      <c r="CJ6" s="93"/>
      <c r="CK6" s="93"/>
      <c r="CL6" s="66">
        <v>-3.68</v>
      </c>
      <c r="CM6" s="66">
        <v>1000</v>
      </c>
      <c r="CN6" s="93">
        <v>3791.94</v>
      </c>
      <c r="CO6" s="108">
        <f t="shared" ref="CO6:CO11" si="4">CM6+CN6</f>
        <v>4791.9400000000005</v>
      </c>
      <c r="CP6" s="108">
        <f t="shared" ref="CP6:CP11" si="5">CN6/10</f>
        <v>379.19400000000002</v>
      </c>
    </row>
    <row r="7" spans="2:103" hidden="1" outlineLevel="1" x14ac:dyDescent="0.2">
      <c r="B7" s="72" t="s">
        <v>1580</v>
      </c>
      <c r="C7" s="57" t="s">
        <v>1387</v>
      </c>
      <c r="D7" s="57" t="s">
        <v>1440</v>
      </c>
      <c r="E7" s="65" t="s">
        <v>1389</v>
      </c>
      <c r="F7" s="57" t="s">
        <v>1454</v>
      </c>
      <c r="G7" s="62" t="s">
        <v>1556</v>
      </c>
      <c r="H7" s="128" t="b">
        <v>1</v>
      </c>
      <c r="I7" s="122" t="s">
        <v>1865</v>
      </c>
      <c r="N7" s="124">
        <v>21</v>
      </c>
      <c r="O7" s="124">
        <v>0.8</v>
      </c>
      <c r="P7" s="124">
        <v>5</v>
      </c>
      <c r="Q7" s="128" t="b">
        <v>1</v>
      </c>
      <c r="R7" s="127" t="s">
        <v>1559</v>
      </c>
      <c r="T7" s="126">
        <v>13</v>
      </c>
      <c r="U7" s="124">
        <v>1.4999999999999999E-2</v>
      </c>
      <c r="V7" s="126">
        <v>75</v>
      </c>
      <c r="W7" s="126">
        <v>-75</v>
      </c>
      <c r="X7" s="124">
        <v>50</v>
      </c>
      <c r="Y7" s="124">
        <v>5</v>
      </c>
      <c r="Z7" s="128" t="b">
        <v>1</v>
      </c>
      <c r="AA7" s="127" t="s">
        <v>1867</v>
      </c>
      <c r="AB7" s="122">
        <v>3</v>
      </c>
      <c r="AC7" s="146"/>
      <c r="AD7" s="124">
        <v>20</v>
      </c>
      <c r="AE7" s="124"/>
      <c r="AF7" s="124">
        <v>5.0000000000000001E-4</v>
      </c>
      <c r="AG7" s="135" t="b">
        <v>1</v>
      </c>
      <c r="AH7" s="125">
        <v>5</v>
      </c>
      <c r="AI7" s="125">
        <v>13</v>
      </c>
      <c r="AJ7" s="125">
        <v>34</v>
      </c>
      <c r="AK7" s="125">
        <v>89</v>
      </c>
      <c r="AL7" s="129" t="b">
        <v>0</v>
      </c>
      <c r="AM7" s="128" t="b">
        <v>1</v>
      </c>
      <c r="AN7" s="127" t="s">
        <v>1468</v>
      </c>
      <c r="AO7" s="127">
        <v>1E-4</v>
      </c>
      <c r="AP7" s="128" t="b">
        <v>1</v>
      </c>
      <c r="AQ7" s="127">
        <v>1E-3</v>
      </c>
      <c r="AR7" s="126">
        <v>5</v>
      </c>
      <c r="AS7" s="126">
        <v>8</v>
      </c>
      <c r="AT7" s="126">
        <v>5</v>
      </c>
      <c r="AU7" s="128" t="b">
        <v>1</v>
      </c>
      <c r="AV7" s="124">
        <v>3</v>
      </c>
      <c r="AW7" s="146">
        <v>5</v>
      </c>
      <c r="AX7" s="124">
        <v>1</v>
      </c>
      <c r="AY7" s="128" t="b">
        <v>1</v>
      </c>
      <c r="AZ7" s="122" t="s">
        <v>1576</v>
      </c>
      <c r="BA7" s="122">
        <v>4</v>
      </c>
      <c r="BB7" s="126">
        <v>0.05</v>
      </c>
      <c r="BC7" s="126">
        <v>0.5</v>
      </c>
      <c r="BD7" s="129" t="b">
        <v>0</v>
      </c>
      <c r="BE7" s="122" t="s">
        <v>1873</v>
      </c>
      <c r="BF7" s="128" t="b">
        <v>1</v>
      </c>
      <c r="BG7" s="122" t="s">
        <v>1578</v>
      </c>
      <c r="BH7" s="122">
        <v>0.01</v>
      </c>
      <c r="BI7" s="156" t="s">
        <v>403</v>
      </c>
      <c r="BJ7" s="128" t="b">
        <v>1</v>
      </c>
      <c r="BK7" s="158">
        <v>3</v>
      </c>
      <c r="BL7" s="128" t="b">
        <v>1</v>
      </c>
      <c r="BM7" s="156" t="s">
        <v>412</v>
      </c>
      <c r="BN7" s="129" t="b">
        <v>0</v>
      </c>
      <c r="BO7" s="156" t="s">
        <v>1382</v>
      </c>
      <c r="BP7" s="157"/>
      <c r="BQ7" s="157"/>
      <c r="BR7" s="166" t="str">
        <f t="shared" ref="BR7:BR27" si="6">AH7&amp;"/ "&amp;AI7&amp;"/ "&amp;AJ7&amp;"/ "&amp;AK7</f>
        <v>5/ 13/ 34/ 89</v>
      </c>
      <c r="BS7" s="166" t="str">
        <f t="shared" si="0"/>
        <v>5 / 8 / 5</v>
      </c>
      <c r="BT7" s="166" t="str">
        <f t="shared" si="1"/>
        <v>0.05 / 0.5</v>
      </c>
      <c r="BU7" s="66">
        <v>255</v>
      </c>
      <c r="BV7" s="66">
        <v>164</v>
      </c>
      <c r="BW7" s="66">
        <v>160</v>
      </c>
      <c r="BX7" s="99">
        <f t="shared" si="2"/>
        <v>4</v>
      </c>
      <c r="BY7" s="66">
        <v>19</v>
      </c>
      <c r="BZ7" s="92">
        <f t="shared" ref="BZ7:BZ11" si="7">BU7-SUM(BW7:BY7)</f>
        <v>72</v>
      </c>
      <c r="CA7" s="204">
        <f t="shared" ref="CA7:CA11" si="8">IF(BU7=0,0,BV7/BU7)</f>
        <v>0.64313725490196083</v>
      </c>
      <c r="CB7" s="205">
        <f t="shared" ref="CB7:CB11" si="9">IF(BU7=0,0,BY7/BU7)</f>
        <v>7.4509803921568626E-2</v>
      </c>
      <c r="CC7" s="87">
        <v>5.99</v>
      </c>
      <c r="CD7" s="66">
        <v>16.27</v>
      </c>
      <c r="CE7" s="66">
        <v>0.46</v>
      </c>
      <c r="CF7" s="171">
        <f t="shared" si="3"/>
        <v>3</v>
      </c>
      <c r="CG7" s="87">
        <v>0.6</v>
      </c>
      <c r="CH7" s="66">
        <v>0.41</v>
      </c>
      <c r="CI7" s="93">
        <v>3388</v>
      </c>
      <c r="CJ7" s="93"/>
      <c r="CK7" s="93"/>
      <c r="CL7" s="66">
        <v>-3.68</v>
      </c>
      <c r="CM7" s="66">
        <v>1000</v>
      </c>
      <c r="CN7" s="93">
        <v>4148.03</v>
      </c>
      <c r="CO7" s="108">
        <f t="shared" si="4"/>
        <v>5148.03</v>
      </c>
      <c r="CP7" s="108">
        <f t="shared" si="5"/>
        <v>414.803</v>
      </c>
    </row>
    <row r="8" spans="2:103" hidden="1" outlineLevel="1" x14ac:dyDescent="0.2">
      <c r="B8" s="72" t="s">
        <v>1581</v>
      </c>
      <c r="C8" s="57" t="s">
        <v>1387</v>
      </c>
      <c r="D8" s="57" t="s">
        <v>1440</v>
      </c>
      <c r="E8" s="65" t="s">
        <v>1389</v>
      </c>
      <c r="F8" s="57" t="s">
        <v>1454</v>
      </c>
      <c r="G8" s="62" t="s">
        <v>1556</v>
      </c>
      <c r="H8" s="128" t="b">
        <v>1</v>
      </c>
      <c r="I8" s="122" t="s">
        <v>1865</v>
      </c>
      <c r="N8" s="124">
        <v>21</v>
      </c>
      <c r="O8" s="124">
        <v>0.8</v>
      </c>
      <c r="P8" s="124">
        <v>5</v>
      </c>
      <c r="Q8" s="128" t="b">
        <v>1</v>
      </c>
      <c r="R8" s="127" t="s">
        <v>1559</v>
      </c>
      <c r="T8" s="126">
        <v>13</v>
      </c>
      <c r="U8" s="124">
        <v>1.4999999999999999E-2</v>
      </c>
      <c r="V8" s="126">
        <v>75</v>
      </c>
      <c r="W8" s="126">
        <v>-75</v>
      </c>
      <c r="X8" s="124">
        <v>50</v>
      </c>
      <c r="Y8" s="124">
        <v>5</v>
      </c>
      <c r="Z8" s="128" t="b">
        <v>1</v>
      </c>
      <c r="AA8" s="127" t="s">
        <v>1867</v>
      </c>
      <c r="AB8" s="122">
        <v>3</v>
      </c>
      <c r="AC8" s="146"/>
      <c r="AD8" s="124">
        <v>20</v>
      </c>
      <c r="AE8" s="124"/>
      <c r="AF8" s="124">
        <v>5.0000000000000001E-4</v>
      </c>
      <c r="AG8" s="135" t="b">
        <v>1</v>
      </c>
      <c r="AH8" s="125">
        <v>5</v>
      </c>
      <c r="AI8" s="125">
        <v>13</v>
      </c>
      <c r="AJ8" s="125">
        <v>34</v>
      </c>
      <c r="AK8" s="125">
        <v>89</v>
      </c>
      <c r="AL8" s="129" t="b">
        <v>0</v>
      </c>
      <c r="AM8" s="128" t="b">
        <v>1</v>
      </c>
      <c r="AN8" s="127" t="s">
        <v>1468</v>
      </c>
      <c r="AO8" s="127">
        <v>1E-4</v>
      </c>
      <c r="AP8" s="128" t="b">
        <v>1</v>
      </c>
      <c r="AQ8" s="127">
        <v>1E-3</v>
      </c>
      <c r="AR8" s="126">
        <v>5</v>
      </c>
      <c r="AS8" s="126">
        <v>8</v>
      </c>
      <c r="AT8" s="126">
        <v>5</v>
      </c>
      <c r="AU8" s="128" t="b">
        <v>1</v>
      </c>
      <c r="AV8" s="124">
        <v>3</v>
      </c>
      <c r="AW8" s="146">
        <v>5</v>
      </c>
      <c r="AX8" s="124">
        <v>1</v>
      </c>
      <c r="AY8" s="128" t="b">
        <v>1</v>
      </c>
      <c r="AZ8" s="122" t="s">
        <v>1576</v>
      </c>
      <c r="BA8" s="122">
        <v>4</v>
      </c>
      <c r="BB8" s="126">
        <v>0.05</v>
      </c>
      <c r="BC8" s="126">
        <v>0.5</v>
      </c>
      <c r="BD8" s="129" t="b">
        <v>0</v>
      </c>
      <c r="BE8" s="122" t="s">
        <v>1873</v>
      </c>
      <c r="BF8" s="128" t="b">
        <v>1</v>
      </c>
      <c r="BG8" s="122" t="s">
        <v>1578</v>
      </c>
      <c r="BH8" s="122">
        <v>0.01</v>
      </c>
      <c r="BI8" s="156" t="s">
        <v>403</v>
      </c>
      <c r="BJ8" s="128" t="b">
        <v>1</v>
      </c>
      <c r="BK8" s="158">
        <v>3</v>
      </c>
      <c r="BL8" s="128" t="b">
        <v>1</v>
      </c>
      <c r="BM8" s="156" t="s">
        <v>412</v>
      </c>
      <c r="BN8" s="128" t="b">
        <v>1</v>
      </c>
      <c r="BO8" s="156" t="s">
        <v>1382</v>
      </c>
      <c r="BP8" s="157">
        <v>1</v>
      </c>
      <c r="BQ8" s="157">
        <v>0.5</v>
      </c>
      <c r="BR8" s="166" t="str">
        <f t="shared" si="6"/>
        <v>5/ 13/ 34/ 89</v>
      </c>
      <c r="BS8" s="166" t="str">
        <f t="shared" si="0"/>
        <v>5 / 8 / 5</v>
      </c>
      <c r="BT8" s="166" t="str">
        <f t="shared" si="1"/>
        <v>0.05 / 0.5</v>
      </c>
      <c r="BU8" s="66">
        <v>253</v>
      </c>
      <c r="BV8" s="66">
        <v>160</v>
      </c>
      <c r="BW8" s="66">
        <v>155</v>
      </c>
      <c r="BX8" s="99">
        <f t="shared" si="2"/>
        <v>5</v>
      </c>
      <c r="BY8" s="66">
        <v>17</v>
      </c>
      <c r="BZ8" s="92">
        <f t="shared" si="7"/>
        <v>76</v>
      </c>
      <c r="CA8" s="204">
        <f t="shared" si="8"/>
        <v>0.6324110671936759</v>
      </c>
      <c r="CB8" s="205">
        <f t="shared" si="9"/>
        <v>6.7193675889328064E-2</v>
      </c>
      <c r="CC8" s="87">
        <v>6.45</v>
      </c>
      <c r="CD8" s="66">
        <v>18.170000000000002</v>
      </c>
      <c r="CE8" s="66">
        <v>0.45</v>
      </c>
      <c r="CF8" s="171">
        <f t="shared" si="3"/>
        <v>3</v>
      </c>
      <c r="CG8" s="87">
        <v>0.64</v>
      </c>
      <c r="CH8" s="66">
        <v>0.41</v>
      </c>
      <c r="CI8" s="93">
        <v>3394.4</v>
      </c>
      <c r="CJ8" s="93"/>
      <c r="CK8" s="93"/>
      <c r="CL8" s="66">
        <v>-3.67</v>
      </c>
      <c r="CM8" s="66">
        <v>1000</v>
      </c>
      <c r="CN8" s="93">
        <v>4596.4399999999996</v>
      </c>
      <c r="CO8" s="108">
        <f t="shared" si="4"/>
        <v>5596.44</v>
      </c>
      <c r="CP8" s="108">
        <f t="shared" si="5"/>
        <v>459.64399999999995</v>
      </c>
    </row>
    <row r="9" spans="2:103" hidden="1" outlineLevel="1" x14ac:dyDescent="0.2">
      <c r="B9" s="72" t="s">
        <v>1582</v>
      </c>
      <c r="C9" s="57" t="s">
        <v>1387</v>
      </c>
      <c r="D9" s="57" t="s">
        <v>1440</v>
      </c>
      <c r="E9" s="65" t="s">
        <v>1389</v>
      </c>
      <c r="F9" s="57" t="s">
        <v>1454</v>
      </c>
      <c r="G9" s="62" t="s">
        <v>1556</v>
      </c>
      <c r="H9" s="128" t="b">
        <v>1</v>
      </c>
      <c r="I9" s="122" t="s">
        <v>1865</v>
      </c>
      <c r="N9" s="124">
        <v>21</v>
      </c>
      <c r="O9" s="124">
        <v>0.8</v>
      </c>
      <c r="P9" s="124">
        <v>5</v>
      </c>
      <c r="Q9" s="128" t="b">
        <v>1</v>
      </c>
      <c r="R9" s="127" t="s">
        <v>1559</v>
      </c>
      <c r="T9" s="126">
        <v>13</v>
      </c>
      <c r="U9" s="124">
        <v>1.4999999999999999E-2</v>
      </c>
      <c r="V9" s="126">
        <v>75</v>
      </c>
      <c r="W9" s="126">
        <v>-75</v>
      </c>
      <c r="X9" s="124">
        <v>50</v>
      </c>
      <c r="Y9" s="124">
        <v>5</v>
      </c>
      <c r="Z9" s="128" t="b">
        <v>1</v>
      </c>
      <c r="AA9" s="127" t="s">
        <v>1867</v>
      </c>
      <c r="AB9" s="122">
        <v>3</v>
      </c>
      <c r="AC9" s="146"/>
      <c r="AD9" s="124">
        <v>20</v>
      </c>
      <c r="AE9" s="124"/>
      <c r="AF9" s="124">
        <v>5.0000000000000001E-4</v>
      </c>
      <c r="AG9" s="135" t="b">
        <v>1</v>
      </c>
      <c r="AH9" s="125">
        <v>5</v>
      </c>
      <c r="AI9" s="125">
        <v>13</v>
      </c>
      <c r="AJ9" s="125">
        <v>34</v>
      </c>
      <c r="AK9" s="125">
        <v>89</v>
      </c>
      <c r="AL9" s="129" t="b">
        <v>0</v>
      </c>
      <c r="AM9" s="128" t="b">
        <v>1</v>
      </c>
      <c r="AN9" s="127" t="s">
        <v>1468</v>
      </c>
      <c r="AO9" s="127">
        <v>1E-4</v>
      </c>
      <c r="AP9" s="128" t="b">
        <v>1</v>
      </c>
      <c r="AQ9" s="127">
        <v>1E-3</v>
      </c>
      <c r="AR9" s="126">
        <v>5</v>
      </c>
      <c r="AS9" s="126">
        <v>8</v>
      </c>
      <c r="AT9" s="126">
        <v>5</v>
      </c>
      <c r="AU9" s="128" t="b">
        <v>1</v>
      </c>
      <c r="AV9" s="124">
        <v>3</v>
      </c>
      <c r="AW9" s="146">
        <v>5</v>
      </c>
      <c r="AX9" s="124">
        <v>1</v>
      </c>
      <c r="AY9" s="128" t="b">
        <v>1</v>
      </c>
      <c r="AZ9" s="122" t="s">
        <v>1576</v>
      </c>
      <c r="BA9" s="122">
        <v>4</v>
      </c>
      <c r="BB9" s="126">
        <v>0.05</v>
      </c>
      <c r="BC9" s="126">
        <v>0.5</v>
      </c>
      <c r="BD9" s="129" t="b">
        <v>0</v>
      </c>
      <c r="BE9" s="122" t="s">
        <v>1873</v>
      </c>
      <c r="BF9" s="128" t="b">
        <v>1</v>
      </c>
      <c r="BG9" s="122" t="s">
        <v>1578</v>
      </c>
      <c r="BH9" s="122">
        <v>0.01</v>
      </c>
      <c r="BI9" s="156" t="s">
        <v>403</v>
      </c>
      <c r="BJ9" s="128" t="b">
        <v>1</v>
      </c>
      <c r="BK9" s="159">
        <v>4</v>
      </c>
      <c r="BL9" s="128" t="b">
        <v>1</v>
      </c>
      <c r="BM9" s="156" t="s">
        <v>412</v>
      </c>
      <c r="BN9" s="128" t="b">
        <v>1</v>
      </c>
      <c r="BO9" s="156" t="s">
        <v>1382</v>
      </c>
      <c r="BP9" s="157">
        <v>1</v>
      </c>
      <c r="BQ9" s="157">
        <v>0.5</v>
      </c>
      <c r="BR9" s="166" t="str">
        <f t="shared" si="6"/>
        <v>5/ 13/ 34/ 89</v>
      </c>
      <c r="BS9" s="166" t="str">
        <f t="shared" si="0"/>
        <v>5 / 8 / 5</v>
      </c>
      <c r="BT9" s="166" t="str">
        <f t="shared" si="1"/>
        <v>0.05 / 0.5</v>
      </c>
      <c r="BU9" s="66">
        <v>253</v>
      </c>
      <c r="BV9" s="66">
        <v>160</v>
      </c>
      <c r="BW9" s="66">
        <v>155</v>
      </c>
      <c r="BX9" s="99">
        <f t="shared" si="2"/>
        <v>5</v>
      </c>
      <c r="BY9" s="66">
        <v>17</v>
      </c>
      <c r="BZ9" s="92">
        <f t="shared" si="7"/>
        <v>76</v>
      </c>
      <c r="CA9" s="204">
        <f t="shared" si="8"/>
        <v>0.6324110671936759</v>
      </c>
      <c r="CB9" s="205">
        <f t="shared" si="9"/>
        <v>6.7193675889328064E-2</v>
      </c>
      <c r="CC9" s="87">
        <v>6.5</v>
      </c>
      <c r="CD9" s="66">
        <v>18.66</v>
      </c>
      <c r="CE9" s="66">
        <v>0.44</v>
      </c>
      <c r="CF9" s="172">
        <f t="shared" si="3"/>
        <v>4</v>
      </c>
      <c r="CG9" s="87">
        <v>0.64</v>
      </c>
      <c r="CH9" s="66">
        <v>0.41</v>
      </c>
      <c r="CI9" s="93">
        <v>3418.5</v>
      </c>
      <c r="CJ9" s="93"/>
      <c r="CK9" s="93"/>
      <c r="CL9" s="66">
        <v>-3.69</v>
      </c>
      <c r="CM9" s="66">
        <v>1000</v>
      </c>
      <c r="CN9" s="102">
        <v>4720.03</v>
      </c>
      <c r="CO9" s="110">
        <f t="shared" si="4"/>
        <v>5720.03</v>
      </c>
      <c r="CP9" s="110">
        <f t="shared" si="5"/>
        <v>472.00299999999999</v>
      </c>
    </row>
    <row r="10" spans="2:103" hidden="1" outlineLevel="1" x14ac:dyDescent="0.2">
      <c r="B10" s="72" t="s">
        <v>1583</v>
      </c>
      <c r="C10" s="57" t="s">
        <v>1387</v>
      </c>
      <c r="D10" s="57" t="s">
        <v>1440</v>
      </c>
      <c r="E10" s="65" t="s">
        <v>1389</v>
      </c>
      <c r="F10" s="57" t="s">
        <v>1454</v>
      </c>
      <c r="G10" s="62" t="s">
        <v>1556</v>
      </c>
      <c r="H10" s="128" t="b">
        <v>1</v>
      </c>
      <c r="I10" s="122" t="s">
        <v>1865</v>
      </c>
      <c r="N10" s="124">
        <v>21</v>
      </c>
      <c r="O10" s="124">
        <v>0.8</v>
      </c>
      <c r="P10" s="124">
        <v>5</v>
      </c>
      <c r="Q10" s="128" t="b">
        <v>1</v>
      </c>
      <c r="R10" s="127" t="s">
        <v>1559</v>
      </c>
      <c r="T10" s="126">
        <v>13</v>
      </c>
      <c r="U10" s="124">
        <v>1.4999999999999999E-2</v>
      </c>
      <c r="V10" s="126">
        <v>75</v>
      </c>
      <c r="W10" s="126">
        <v>-75</v>
      </c>
      <c r="X10" s="124">
        <v>50</v>
      </c>
      <c r="Y10" s="124">
        <v>5</v>
      </c>
      <c r="Z10" s="128" t="b">
        <v>1</v>
      </c>
      <c r="AA10" s="127" t="s">
        <v>1867</v>
      </c>
      <c r="AB10" s="122">
        <v>3</v>
      </c>
      <c r="AC10" s="146"/>
      <c r="AD10" s="124">
        <v>20</v>
      </c>
      <c r="AE10" s="124"/>
      <c r="AF10" s="124">
        <v>5.0000000000000001E-4</v>
      </c>
      <c r="AG10" s="135" t="b">
        <v>1</v>
      </c>
      <c r="AH10" s="125">
        <v>5</v>
      </c>
      <c r="AI10" s="125">
        <v>13</v>
      </c>
      <c r="AJ10" s="125">
        <v>34</v>
      </c>
      <c r="AK10" s="125">
        <v>89</v>
      </c>
      <c r="AL10" s="129" t="b">
        <v>0</v>
      </c>
      <c r="AM10" s="128" t="b">
        <v>1</v>
      </c>
      <c r="AN10" s="127" t="s">
        <v>1468</v>
      </c>
      <c r="AO10" s="127">
        <v>1E-4</v>
      </c>
      <c r="AP10" s="128" t="b">
        <v>1</v>
      </c>
      <c r="AQ10" s="127">
        <v>1E-3</v>
      </c>
      <c r="AR10" s="126">
        <v>5</v>
      </c>
      <c r="AS10" s="126">
        <v>8</v>
      </c>
      <c r="AT10" s="126">
        <v>5</v>
      </c>
      <c r="AU10" s="128" t="b">
        <v>1</v>
      </c>
      <c r="AV10" s="124">
        <v>3</v>
      </c>
      <c r="AW10" s="146">
        <v>5</v>
      </c>
      <c r="AX10" s="124">
        <v>1</v>
      </c>
      <c r="AY10" s="128" t="b">
        <v>1</v>
      </c>
      <c r="AZ10" s="122" t="s">
        <v>1576</v>
      </c>
      <c r="BA10" s="122">
        <v>4</v>
      </c>
      <c r="BB10" s="126">
        <v>0.05</v>
      </c>
      <c r="BC10" s="126">
        <v>0.5</v>
      </c>
      <c r="BD10" s="129" t="b">
        <v>0</v>
      </c>
      <c r="BE10" s="122" t="s">
        <v>1873</v>
      </c>
      <c r="BF10" s="128" t="b">
        <v>1</v>
      </c>
      <c r="BG10" s="122" t="s">
        <v>1578</v>
      </c>
      <c r="BH10" s="122">
        <v>0.01</v>
      </c>
      <c r="BI10" s="156" t="s">
        <v>403</v>
      </c>
      <c r="BJ10" s="128" t="b">
        <v>1</v>
      </c>
      <c r="BK10" s="157">
        <v>2</v>
      </c>
      <c r="BL10" s="128" t="b">
        <v>1</v>
      </c>
      <c r="BM10" s="163" t="s">
        <v>405</v>
      </c>
      <c r="BN10" s="128" t="b">
        <v>1</v>
      </c>
      <c r="BO10" s="156" t="s">
        <v>1382</v>
      </c>
      <c r="BP10" s="157">
        <v>1</v>
      </c>
      <c r="BQ10" s="157">
        <v>0.5</v>
      </c>
      <c r="BR10" s="166" t="str">
        <f t="shared" si="6"/>
        <v>5/ 13/ 34/ 89</v>
      </c>
      <c r="BS10" s="166" t="str">
        <f t="shared" si="0"/>
        <v>5 / 8 / 5</v>
      </c>
      <c r="BT10" s="166" t="str">
        <f t="shared" si="1"/>
        <v>0.05 / 0.5</v>
      </c>
      <c r="BU10" s="66">
        <v>255</v>
      </c>
      <c r="BV10" s="66">
        <v>164</v>
      </c>
      <c r="BW10" s="66">
        <v>150</v>
      </c>
      <c r="BX10" s="99">
        <f t="shared" si="2"/>
        <v>14</v>
      </c>
      <c r="BY10" s="66">
        <v>19</v>
      </c>
      <c r="BZ10" s="92">
        <f t="shared" si="7"/>
        <v>72</v>
      </c>
      <c r="CA10" s="204">
        <f t="shared" si="8"/>
        <v>0.64313725490196083</v>
      </c>
      <c r="CB10" s="205">
        <f t="shared" si="9"/>
        <v>7.4509803921568626E-2</v>
      </c>
      <c r="CC10" s="87">
        <v>5.85</v>
      </c>
      <c r="CD10" s="66">
        <v>15.55</v>
      </c>
      <c r="CE10" s="66">
        <v>0.48</v>
      </c>
      <c r="CF10" s="170">
        <f t="shared" si="3"/>
        <v>2</v>
      </c>
      <c r="CG10" s="87">
        <v>0.59</v>
      </c>
      <c r="CH10" s="66">
        <v>0.41</v>
      </c>
      <c r="CI10" s="93">
        <v>3345</v>
      </c>
      <c r="CJ10" s="93"/>
      <c r="CK10" s="93"/>
      <c r="CL10" s="66">
        <v>-3.68</v>
      </c>
      <c r="CM10" s="66">
        <v>1000</v>
      </c>
      <c r="CN10" s="93">
        <v>3965.06</v>
      </c>
      <c r="CO10" s="108">
        <f t="shared" si="4"/>
        <v>4965.0599999999995</v>
      </c>
      <c r="CP10" s="108">
        <f t="shared" si="5"/>
        <v>396.50599999999997</v>
      </c>
    </row>
    <row r="11" spans="2:103" hidden="1" outlineLevel="1" x14ac:dyDescent="0.2">
      <c r="B11" s="72" t="s">
        <v>1584</v>
      </c>
      <c r="C11" s="57" t="s">
        <v>1387</v>
      </c>
      <c r="D11" s="57" t="s">
        <v>1440</v>
      </c>
      <c r="E11" s="65" t="s">
        <v>1389</v>
      </c>
      <c r="F11" s="57" t="s">
        <v>1454</v>
      </c>
      <c r="G11" s="62" t="s">
        <v>1556</v>
      </c>
      <c r="H11" s="128" t="b">
        <v>1</v>
      </c>
      <c r="I11" s="122" t="s">
        <v>1865</v>
      </c>
      <c r="N11" s="124">
        <v>21</v>
      </c>
      <c r="O11" s="124">
        <v>0.8</v>
      </c>
      <c r="P11" s="124">
        <v>5</v>
      </c>
      <c r="Q11" s="128" t="b">
        <v>1</v>
      </c>
      <c r="R11" s="127" t="s">
        <v>1559</v>
      </c>
      <c r="T11" s="126">
        <v>13</v>
      </c>
      <c r="U11" s="124">
        <v>1.4999999999999999E-2</v>
      </c>
      <c r="V11" s="126">
        <v>75</v>
      </c>
      <c r="W11" s="126">
        <v>-75</v>
      </c>
      <c r="X11" s="124">
        <v>50</v>
      </c>
      <c r="Y11" s="124">
        <v>5</v>
      </c>
      <c r="Z11" s="128" t="b">
        <v>1</v>
      </c>
      <c r="AA11" s="127" t="s">
        <v>1867</v>
      </c>
      <c r="AB11" s="122">
        <v>3</v>
      </c>
      <c r="AC11" s="146"/>
      <c r="AD11" s="124">
        <v>20</v>
      </c>
      <c r="AE11" s="124"/>
      <c r="AF11" s="124">
        <v>5.0000000000000001E-4</v>
      </c>
      <c r="AG11" s="135" t="b">
        <v>1</v>
      </c>
      <c r="AH11" s="125">
        <v>5</v>
      </c>
      <c r="AI11" s="125">
        <v>13</v>
      </c>
      <c r="AJ11" s="125">
        <v>34</v>
      </c>
      <c r="AK11" s="125">
        <v>89</v>
      </c>
      <c r="AL11" s="129" t="b">
        <v>0</v>
      </c>
      <c r="AM11" s="128" t="b">
        <v>1</v>
      </c>
      <c r="AN11" s="127" t="s">
        <v>1468</v>
      </c>
      <c r="AO11" s="127">
        <v>1E-4</v>
      </c>
      <c r="AP11" s="128" t="b">
        <v>1</v>
      </c>
      <c r="AQ11" s="127">
        <v>1E-3</v>
      </c>
      <c r="AR11" s="126">
        <v>5</v>
      </c>
      <c r="AS11" s="126">
        <v>8</v>
      </c>
      <c r="AT11" s="126">
        <v>5</v>
      </c>
      <c r="AU11" s="128" t="b">
        <v>1</v>
      </c>
      <c r="AV11" s="124">
        <v>3</v>
      </c>
      <c r="AW11" s="146">
        <v>5</v>
      </c>
      <c r="AX11" s="124">
        <v>1</v>
      </c>
      <c r="AY11" s="128" t="b">
        <v>1</v>
      </c>
      <c r="AZ11" s="122" t="s">
        <v>1576</v>
      </c>
      <c r="BA11" s="122">
        <v>4</v>
      </c>
      <c r="BB11" s="126">
        <v>0.05</v>
      </c>
      <c r="BC11" s="126">
        <v>0.5</v>
      </c>
      <c r="BD11" s="129" t="b">
        <v>0</v>
      </c>
      <c r="BE11" s="122" t="s">
        <v>1873</v>
      </c>
      <c r="BF11" s="128" t="b">
        <v>1</v>
      </c>
      <c r="BG11" s="122" t="s">
        <v>1578</v>
      </c>
      <c r="BH11" s="122">
        <v>0.01</v>
      </c>
      <c r="BI11" s="156" t="s">
        <v>403</v>
      </c>
      <c r="BJ11" s="128" t="b">
        <v>1</v>
      </c>
      <c r="BK11" s="157">
        <v>2</v>
      </c>
      <c r="BL11" s="128" t="b">
        <v>1</v>
      </c>
      <c r="BM11" s="163" t="s">
        <v>405</v>
      </c>
      <c r="BN11" s="129" t="b">
        <v>0</v>
      </c>
      <c r="BO11" s="156" t="s">
        <v>1382</v>
      </c>
      <c r="BP11" s="157"/>
      <c r="BQ11" s="157"/>
      <c r="BR11" s="166" t="str">
        <f t="shared" si="6"/>
        <v>5/ 13/ 34/ 89</v>
      </c>
      <c r="BS11" s="166" t="str">
        <f t="shared" si="0"/>
        <v>5 / 8 / 5</v>
      </c>
      <c r="BT11" s="166" t="str">
        <f t="shared" si="1"/>
        <v>0.05 / 0.5</v>
      </c>
      <c r="BU11" s="66">
        <v>255</v>
      </c>
      <c r="BV11" s="66">
        <v>164</v>
      </c>
      <c r="BW11" s="66">
        <v>150</v>
      </c>
      <c r="BX11" s="99">
        <f t="shared" si="2"/>
        <v>14</v>
      </c>
      <c r="BY11" s="66">
        <v>19</v>
      </c>
      <c r="BZ11" s="92">
        <f t="shared" si="7"/>
        <v>72</v>
      </c>
      <c r="CA11" s="204">
        <f t="shared" si="8"/>
        <v>0.64313725490196083</v>
      </c>
      <c r="CB11" s="205">
        <f t="shared" si="9"/>
        <v>7.4509803921568626E-2</v>
      </c>
      <c r="CC11" s="87">
        <v>5.76</v>
      </c>
      <c r="CD11" s="66">
        <v>14.87</v>
      </c>
      <c r="CE11" s="66">
        <v>0.48</v>
      </c>
      <c r="CF11" s="170">
        <f t="shared" si="3"/>
        <v>2</v>
      </c>
      <c r="CG11" s="87">
        <v>0.57999999999999996</v>
      </c>
      <c r="CH11" s="66">
        <v>0.41</v>
      </c>
      <c r="CI11" s="93">
        <v>3290.5</v>
      </c>
      <c r="CJ11" s="93"/>
      <c r="CK11" s="93"/>
      <c r="CL11" s="66">
        <v>-3.68</v>
      </c>
      <c r="CM11" s="66">
        <v>1000</v>
      </c>
      <c r="CN11" s="101">
        <v>3791.94</v>
      </c>
      <c r="CO11" s="109">
        <f t="shared" si="4"/>
        <v>4791.9400000000005</v>
      </c>
      <c r="CP11" s="109">
        <f t="shared" si="5"/>
        <v>379.19400000000002</v>
      </c>
    </row>
    <row r="12" spans="2:103" hidden="1" outlineLevel="1" x14ac:dyDescent="0.2">
      <c r="B12" s="69"/>
      <c r="C12" s="59"/>
      <c r="D12" s="59"/>
      <c r="E12" s="59"/>
      <c r="F12" s="59"/>
      <c r="G12" s="62"/>
      <c r="H12" s="130"/>
      <c r="Q12" s="130"/>
      <c r="R12" s="130"/>
      <c r="T12" s="126"/>
      <c r="V12" s="126"/>
      <c r="W12" s="126"/>
      <c r="Z12" s="130"/>
      <c r="AA12" s="130"/>
      <c r="AC12" s="126"/>
      <c r="AD12" s="126"/>
      <c r="AE12" s="126"/>
      <c r="AG12" s="145"/>
      <c r="AH12" s="125"/>
      <c r="AI12" s="125"/>
      <c r="AJ12" s="125"/>
      <c r="AK12" s="125"/>
      <c r="AM12" s="130"/>
      <c r="AN12" s="130"/>
      <c r="AO12" s="127"/>
      <c r="AP12" s="130"/>
      <c r="AQ12" s="130"/>
      <c r="AR12" s="145"/>
      <c r="AS12" s="145"/>
      <c r="AT12" s="145"/>
      <c r="AU12" s="130"/>
      <c r="AV12" s="126"/>
      <c r="AW12" s="126"/>
      <c r="AX12" s="126"/>
      <c r="AY12" s="130"/>
      <c r="BB12" s="145"/>
      <c r="BC12" s="145"/>
      <c r="BI12" s="156"/>
      <c r="BK12" s="156"/>
      <c r="BL12" s="127"/>
      <c r="BM12" s="156"/>
      <c r="BN12" s="127"/>
      <c r="BO12" s="156"/>
      <c r="BP12" s="156"/>
      <c r="BQ12" s="156"/>
      <c r="BS12" s="167"/>
      <c r="BT12" s="167"/>
      <c r="BU12" s="85"/>
      <c r="BV12" s="85"/>
      <c r="BW12" s="85"/>
      <c r="BX12" s="100"/>
      <c r="BY12" s="85"/>
      <c r="BZ12" s="86"/>
      <c r="CA12" s="85"/>
      <c r="CB12" s="95"/>
      <c r="CC12" s="85"/>
      <c r="CD12" s="85"/>
      <c r="CE12" s="85"/>
      <c r="CF12" s="107"/>
      <c r="CG12" s="85"/>
      <c r="CH12" s="85"/>
      <c r="CI12" s="85"/>
      <c r="CJ12" s="85"/>
      <c r="CK12" s="85"/>
      <c r="CL12" s="85"/>
      <c r="CM12" s="84"/>
      <c r="CN12" s="85"/>
      <c r="CO12" s="107"/>
      <c r="CP12" s="107"/>
    </row>
    <row r="13" spans="2:103" collapsed="1" x14ac:dyDescent="0.2">
      <c r="B13" s="72" t="s">
        <v>1442</v>
      </c>
      <c r="C13" s="57" t="s">
        <v>1387</v>
      </c>
      <c r="D13" s="57" t="s">
        <v>1440</v>
      </c>
      <c r="E13" s="65" t="s">
        <v>1389</v>
      </c>
      <c r="F13" s="57" t="s">
        <v>1454</v>
      </c>
      <c r="G13" s="62" t="s">
        <v>1556</v>
      </c>
      <c r="H13" s="128" t="b">
        <v>1</v>
      </c>
      <c r="I13" s="122" t="s">
        <v>1865</v>
      </c>
      <c r="N13" s="124">
        <v>21</v>
      </c>
      <c r="O13" s="124">
        <v>0.8</v>
      </c>
      <c r="P13" s="124">
        <v>5</v>
      </c>
      <c r="Q13" s="128" t="b">
        <v>1</v>
      </c>
      <c r="R13" s="127" t="s">
        <v>1559</v>
      </c>
      <c r="T13" s="126">
        <v>13</v>
      </c>
      <c r="U13" s="124">
        <v>1.4999999999999999E-2</v>
      </c>
      <c r="V13" s="126">
        <v>75</v>
      </c>
      <c r="W13" s="126">
        <v>-75</v>
      </c>
      <c r="X13" s="124">
        <v>50</v>
      </c>
      <c r="Y13" s="124">
        <v>5</v>
      </c>
      <c r="Z13" s="128" t="b">
        <v>1</v>
      </c>
      <c r="AA13" s="127" t="s">
        <v>1867</v>
      </c>
      <c r="AB13" s="122">
        <v>3</v>
      </c>
      <c r="AC13" s="146"/>
      <c r="AD13" s="124">
        <v>20</v>
      </c>
      <c r="AE13" s="124"/>
      <c r="AF13" s="124">
        <v>5.0000000000000001E-4</v>
      </c>
      <c r="AG13" s="135" t="b">
        <v>1</v>
      </c>
      <c r="AH13" s="125">
        <v>5</v>
      </c>
      <c r="AI13" s="125">
        <v>13</v>
      </c>
      <c r="AJ13" s="125">
        <v>34</v>
      </c>
      <c r="AK13" s="125">
        <v>89</v>
      </c>
      <c r="AL13" s="129" t="b">
        <v>0</v>
      </c>
      <c r="AM13" s="128" t="b">
        <v>1</v>
      </c>
      <c r="AN13" s="131" t="s">
        <v>1469</v>
      </c>
      <c r="AO13" s="127">
        <v>1E-4</v>
      </c>
      <c r="AP13" s="128" t="b">
        <v>1</v>
      </c>
      <c r="AQ13" s="127">
        <v>1E-3</v>
      </c>
      <c r="AR13" s="126">
        <v>5</v>
      </c>
      <c r="AS13" s="126">
        <v>8</v>
      </c>
      <c r="AT13" s="126">
        <v>5</v>
      </c>
      <c r="AU13" s="128" t="b">
        <v>1</v>
      </c>
      <c r="AV13" s="124">
        <v>3</v>
      </c>
      <c r="AW13" s="146">
        <v>5</v>
      </c>
      <c r="AX13" s="124">
        <v>1</v>
      </c>
      <c r="AY13" s="128" t="b">
        <v>1</v>
      </c>
      <c r="AZ13" s="122" t="s">
        <v>1576</v>
      </c>
      <c r="BA13" s="122">
        <v>4</v>
      </c>
      <c r="BB13" s="126">
        <v>0.05</v>
      </c>
      <c r="BC13" s="126">
        <v>0.5</v>
      </c>
      <c r="BD13" s="129" t="b">
        <v>0</v>
      </c>
      <c r="BE13" s="122" t="s">
        <v>1873</v>
      </c>
      <c r="BF13" s="128" t="b">
        <v>1</v>
      </c>
      <c r="BG13" s="122" t="s">
        <v>1578</v>
      </c>
      <c r="BH13" s="122">
        <v>0.01</v>
      </c>
      <c r="BI13" s="156" t="s">
        <v>403</v>
      </c>
      <c r="BJ13" s="128" t="b">
        <v>1</v>
      </c>
      <c r="BK13" s="157">
        <v>2</v>
      </c>
      <c r="BL13" s="128" t="b">
        <v>1</v>
      </c>
      <c r="BM13" s="156" t="s">
        <v>412</v>
      </c>
      <c r="BN13" s="129" t="b">
        <v>0</v>
      </c>
      <c r="BO13" s="156" t="s">
        <v>1382</v>
      </c>
      <c r="BP13" s="157"/>
      <c r="BQ13" s="157"/>
      <c r="BR13" s="166" t="str">
        <f>AH13&amp;"/ "&amp;AI13&amp;"/ "&amp;AJ13&amp;"/ "&amp;AK13</f>
        <v>5/ 13/ 34/ 89</v>
      </c>
      <c r="BS13" s="166" t="str">
        <f t="shared" ref="BS13:BS18" si="10">AR13&amp;" / "&amp;AS13&amp;" / "&amp;AT13</f>
        <v>5 / 8 / 5</v>
      </c>
      <c r="BT13" s="166" t="str">
        <f t="shared" ref="BT13:BT18" si="11">BB13&amp;" / "&amp;BC13</f>
        <v>0.05 / 0.5</v>
      </c>
      <c r="BU13" s="66">
        <v>285</v>
      </c>
      <c r="BV13" s="66">
        <v>180</v>
      </c>
      <c r="BW13" s="66">
        <v>162</v>
      </c>
      <c r="BX13" s="99">
        <f t="shared" ref="BX13:BX18" si="12">BV13-BW13</f>
        <v>18</v>
      </c>
      <c r="BY13" s="66">
        <v>15</v>
      </c>
      <c r="BZ13" s="92">
        <f>BU13-SUM(BW13:BY13)</f>
        <v>90</v>
      </c>
      <c r="CA13" s="204">
        <f>IF(BU13=0,0,BV13/BU13)</f>
        <v>0.63157894736842102</v>
      </c>
      <c r="CB13" s="205">
        <f>IF(BU13=0,0,BY13/BU13)</f>
        <v>5.2631578947368418E-2</v>
      </c>
      <c r="CC13" s="87">
        <v>7.06</v>
      </c>
      <c r="CD13" s="66">
        <v>20.96</v>
      </c>
      <c r="CE13" s="87">
        <v>0.5</v>
      </c>
      <c r="CF13" s="170">
        <f t="shared" ref="CF13:CF18" si="13">BK13</f>
        <v>2</v>
      </c>
      <c r="CG13" s="87">
        <v>0.62</v>
      </c>
      <c r="CH13" s="87">
        <v>0.45</v>
      </c>
      <c r="CI13" s="93">
        <v>3504.2</v>
      </c>
      <c r="CJ13" s="93"/>
      <c r="CK13" s="93"/>
      <c r="CL13" s="66">
        <v>-2.65</v>
      </c>
      <c r="CM13" s="66">
        <v>1000</v>
      </c>
      <c r="CN13" s="93">
        <v>5973.53</v>
      </c>
      <c r="CO13" s="108">
        <f t="shared" ref="CO13:CO18" si="14">CM13+CN13</f>
        <v>6973.53</v>
      </c>
      <c r="CP13" s="108">
        <f t="shared" ref="CP13:CP18" si="15">CN13/10</f>
        <v>597.35299999999995</v>
      </c>
    </row>
    <row r="14" spans="2:103" hidden="1" outlineLevel="1" x14ac:dyDescent="0.2">
      <c r="B14" s="72" t="s">
        <v>1443</v>
      </c>
      <c r="C14" s="57" t="s">
        <v>1387</v>
      </c>
      <c r="D14" s="57" t="s">
        <v>1440</v>
      </c>
      <c r="E14" s="65" t="s">
        <v>1389</v>
      </c>
      <c r="F14" s="57" t="s">
        <v>1454</v>
      </c>
      <c r="G14" s="62" t="s">
        <v>1556</v>
      </c>
      <c r="H14" s="128" t="b">
        <v>1</v>
      </c>
      <c r="I14" s="122" t="s">
        <v>1865</v>
      </c>
      <c r="N14" s="124">
        <v>21</v>
      </c>
      <c r="O14" s="124">
        <v>0.8</v>
      </c>
      <c r="P14" s="124">
        <v>5</v>
      </c>
      <c r="Q14" s="128" t="b">
        <v>1</v>
      </c>
      <c r="R14" s="127" t="s">
        <v>1559</v>
      </c>
      <c r="T14" s="126">
        <v>13</v>
      </c>
      <c r="U14" s="124">
        <v>1.4999999999999999E-2</v>
      </c>
      <c r="V14" s="126">
        <v>75</v>
      </c>
      <c r="W14" s="126">
        <v>-75</v>
      </c>
      <c r="X14" s="124">
        <v>50</v>
      </c>
      <c r="Y14" s="124">
        <v>5</v>
      </c>
      <c r="Z14" s="128" t="b">
        <v>1</v>
      </c>
      <c r="AA14" s="127" t="s">
        <v>1867</v>
      </c>
      <c r="AB14" s="122">
        <v>3</v>
      </c>
      <c r="AC14" s="146"/>
      <c r="AD14" s="124">
        <v>20</v>
      </c>
      <c r="AE14" s="124"/>
      <c r="AF14" s="124">
        <v>5.0000000000000001E-4</v>
      </c>
      <c r="AG14" s="135" t="b">
        <v>1</v>
      </c>
      <c r="AH14" s="125">
        <v>5</v>
      </c>
      <c r="AI14" s="125">
        <v>13</v>
      </c>
      <c r="AJ14" s="125">
        <v>34</v>
      </c>
      <c r="AK14" s="125">
        <v>89</v>
      </c>
      <c r="AL14" s="129" t="b">
        <v>0</v>
      </c>
      <c r="AM14" s="128" t="b">
        <v>1</v>
      </c>
      <c r="AN14" s="131" t="s">
        <v>1469</v>
      </c>
      <c r="AO14" s="127">
        <v>1E-4</v>
      </c>
      <c r="AP14" s="128" t="b">
        <v>1</v>
      </c>
      <c r="AQ14" s="127">
        <v>1E-3</v>
      </c>
      <c r="AR14" s="126">
        <v>5</v>
      </c>
      <c r="AS14" s="126">
        <v>8</v>
      </c>
      <c r="AT14" s="126">
        <v>5</v>
      </c>
      <c r="AU14" s="128" t="b">
        <v>1</v>
      </c>
      <c r="AV14" s="124">
        <v>3</v>
      </c>
      <c r="AW14" s="146">
        <v>5</v>
      </c>
      <c r="AX14" s="124">
        <v>1</v>
      </c>
      <c r="AY14" s="128" t="b">
        <v>1</v>
      </c>
      <c r="AZ14" s="122" t="s">
        <v>1576</v>
      </c>
      <c r="BA14" s="122">
        <v>4</v>
      </c>
      <c r="BB14" s="126">
        <v>0.05</v>
      </c>
      <c r="BC14" s="126">
        <v>0.5</v>
      </c>
      <c r="BD14" s="129" t="b">
        <v>0</v>
      </c>
      <c r="BE14" s="122" t="s">
        <v>1873</v>
      </c>
      <c r="BF14" s="128" t="b">
        <v>1</v>
      </c>
      <c r="BG14" s="122" t="s">
        <v>1578</v>
      </c>
      <c r="BH14" s="122">
        <v>0.01</v>
      </c>
      <c r="BI14" s="156" t="s">
        <v>403</v>
      </c>
      <c r="BJ14" s="128" t="b">
        <v>1</v>
      </c>
      <c r="BK14" s="158">
        <v>3</v>
      </c>
      <c r="BL14" s="128" t="b">
        <v>1</v>
      </c>
      <c r="BM14" s="156" t="s">
        <v>412</v>
      </c>
      <c r="BN14" s="129" t="b">
        <v>0</v>
      </c>
      <c r="BO14" s="156" t="s">
        <v>1382</v>
      </c>
      <c r="BP14" s="157"/>
      <c r="BQ14" s="157"/>
      <c r="BR14" s="166" t="str">
        <f t="shared" si="6"/>
        <v>5/ 13/ 34/ 89</v>
      </c>
      <c r="BS14" s="166" t="str">
        <f t="shared" si="10"/>
        <v>5 / 8 / 5</v>
      </c>
      <c r="BT14" s="166" t="str">
        <f t="shared" si="11"/>
        <v>0.05 / 0.5</v>
      </c>
      <c r="BU14" s="66">
        <v>283</v>
      </c>
      <c r="BV14" s="66">
        <v>179</v>
      </c>
      <c r="BW14" s="66">
        <v>172</v>
      </c>
      <c r="BX14" s="99">
        <f t="shared" si="12"/>
        <v>7</v>
      </c>
      <c r="BY14" s="66">
        <v>15</v>
      </c>
      <c r="BZ14" s="92">
        <f t="shared" ref="BZ14:BZ18" si="16">BU14-SUM(BW14:BY14)</f>
        <v>89</v>
      </c>
      <c r="CA14" s="204">
        <f t="shared" ref="CA14:CA18" si="17">IF(BU14=0,0,BV14/BU14)</f>
        <v>0.63250883392226154</v>
      </c>
      <c r="CB14" s="205">
        <f t="shared" ref="CB14:CB18" si="18">IF(BU14=0,0,BY14/BU14)</f>
        <v>5.3003533568904596E-2</v>
      </c>
      <c r="CC14" s="87">
        <v>7.37</v>
      </c>
      <c r="CD14" s="66">
        <v>24.62</v>
      </c>
      <c r="CE14" s="87">
        <v>0.47</v>
      </c>
      <c r="CF14" s="171">
        <f t="shared" si="13"/>
        <v>3</v>
      </c>
      <c r="CG14" s="87">
        <v>0.66</v>
      </c>
      <c r="CH14" s="66">
        <v>0.45</v>
      </c>
      <c r="CI14" s="93">
        <v>3713.4</v>
      </c>
      <c r="CJ14" s="93"/>
      <c r="CK14" s="93"/>
      <c r="CL14" s="66">
        <v>-2.65</v>
      </c>
      <c r="CM14" s="66">
        <v>1000</v>
      </c>
      <c r="CN14" s="93">
        <v>6968.82</v>
      </c>
      <c r="CO14" s="108">
        <f t="shared" si="14"/>
        <v>7968.82</v>
      </c>
      <c r="CP14" s="108">
        <f t="shared" si="15"/>
        <v>696.88199999999995</v>
      </c>
    </row>
    <row r="15" spans="2:103" hidden="1" outlineLevel="1" x14ac:dyDescent="0.2">
      <c r="B15" s="72" t="s">
        <v>1444</v>
      </c>
      <c r="C15" s="57" t="s">
        <v>1387</v>
      </c>
      <c r="D15" s="57" t="s">
        <v>1440</v>
      </c>
      <c r="E15" s="65" t="s">
        <v>1389</v>
      </c>
      <c r="F15" s="57" t="s">
        <v>1454</v>
      </c>
      <c r="G15" s="62" t="s">
        <v>1556</v>
      </c>
      <c r="H15" s="128" t="b">
        <v>1</v>
      </c>
      <c r="I15" s="122" t="s">
        <v>1865</v>
      </c>
      <c r="N15" s="124">
        <v>21</v>
      </c>
      <c r="O15" s="124">
        <v>0.8</v>
      </c>
      <c r="P15" s="124">
        <v>5</v>
      </c>
      <c r="Q15" s="128" t="b">
        <v>1</v>
      </c>
      <c r="R15" s="127" t="s">
        <v>1559</v>
      </c>
      <c r="T15" s="126">
        <v>13</v>
      </c>
      <c r="U15" s="124">
        <v>1.4999999999999999E-2</v>
      </c>
      <c r="V15" s="126">
        <v>75</v>
      </c>
      <c r="W15" s="126">
        <v>-75</v>
      </c>
      <c r="X15" s="124">
        <v>50</v>
      </c>
      <c r="Y15" s="124">
        <v>5</v>
      </c>
      <c r="Z15" s="128" t="b">
        <v>1</v>
      </c>
      <c r="AA15" s="127" t="s">
        <v>1867</v>
      </c>
      <c r="AB15" s="122">
        <v>3</v>
      </c>
      <c r="AC15" s="146"/>
      <c r="AD15" s="124">
        <v>20</v>
      </c>
      <c r="AE15" s="124"/>
      <c r="AF15" s="124">
        <v>5.0000000000000001E-4</v>
      </c>
      <c r="AG15" s="135" t="b">
        <v>1</v>
      </c>
      <c r="AH15" s="125">
        <v>5</v>
      </c>
      <c r="AI15" s="125">
        <v>13</v>
      </c>
      <c r="AJ15" s="125">
        <v>34</v>
      </c>
      <c r="AK15" s="125">
        <v>89</v>
      </c>
      <c r="AL15" s="129" t="b">
        <v>0</v>
      </c>
      <c r="AM15" s="128" t="b">
        <v>1</v>
      </c>
      <c r="AN15" s="131" t="s">
        <v>1469</v>
      </c>
      <c r="AO15" s="127">
        <v>1E-4</v>
      </c>
      <c r="AP15" s="128" t="b">
        <v>1</v>
      </c>
      <c r="AQ15" s="127">
        <v>1E-3</v>
      </c>
      <c r="AR15" s="126">
        <v>5</v>
      </c>
      <c r="AS15" s="126">
        <v>8</v>
      </c>
      <c r="AT15" s="126">
        <v>5</v>
      </c>
      <c r="AU15" s="128" t="b">
        <v>1</v>
      </c>
      <c r="AV15" s="124">
        <v>3</v>
      </c>
      <c r="AW15" s="146">
        <v>5</v>
      </c>
      <c r="AX15" s="124">
        <v>1</v>
      </c>
      <c r="AY15" s="128" t="b">
        <v>1</v>
      </c>
      <c r="AZ15" s="122" t="s">
        <v>1576</v>
      </c>
      <c r="BA15" s="122">
        <v>4</v>
      </c>
      <c r="BB15" s="126">
        <v>0.05</v>
      </c>
      <c r="BC15" s="126">
        <v>0.5</v>
      </c>
      <c r="BD15" s="129" t="b">
        <v>0</v>
      </c>
      <c r="BE15" s="122" t="s">
        <v>1873</v>
      </c>
      <c r="BF15" s="128" t="b">
        <v>1</v>
      </c>
      <c r="BG15" s="122" t="s">
        <v>1578</v>
      </c>
      <c r="BH15" s="122">
        <v>0.01</v>
      </c>
      <c r="BI15" s="156" t="s">
        <v>403</v>
      </c>
      <c r="BJ15" s="128" t="b">
        <v>1</v>
      </c>
      <c r="BK15" s="158">
        <v>3</v>
      </c>
      <c r="BL15" s="128" t="b">
        <v>1</v>
      </c>
      <c r="BM15" s="156" t="s">
        <v>412</v>
      </c>
      <c r="BN15" s="128" t="b">
        <v>1</v>
      </c>
      <c r="BO15" s="164" t="s">
        <v>1382</v>
      </c>
      <c r="BP15" s="157">
        <v>1</v>
      </c>
      <c r="BQ15" s="157">
        <v>0.5</v>
      </c>
      <c r="BR15" s="166" t="str">
        <f t="shared" si="6"/>
        <v>5/ 13/ 34/ 89</v>
      </c>
      <c r="BS15" s="166" t="str">
        <f t="shared" si="10"/>
        <v>5 / 8 / 5</v>
      </c>
      <c r="BT15" s="166" t="str">
        <f t="shared" si="11"/>
        <v>0.05 / 0.5</v>
      </c>
      <c r="BU15" s="66">
        <v>283</v>
      </c>
      <c r="BV15" s="66">
        <v>179</v>
      </c>
      <c r="BW15" s="66">
        <v>172</v>
      </c>
      <c r="BX15" s="99">
        <f t="shared" si="12"/>
        <v>7</v>
      </c>
      <c r="BY15" s="66">
        <v>15</v>
      </c>
      <c r="BZ15" s="92">
        <f t="shared" si="16"/>
        <v>89</v>
      </c>
      <c r="CA15" s="204">
        <f t="shared" si="17"/>
        <v>0.63250883392226154</v>
      </c>
      <c r="CB15" s="205">
        <f t="shared" si="18"/>
        <v>5.3003533568904596E-2</v>
      </c>
      <c r="CC15" s="87">
        <v>7.45</v>
      </c>
      <c r="CD15" s="66">
        <v>25.42</v>
      </c>
      <c r="CE15" s="87">
        <v>0.46</v>
      </c>
      <c r="CF15" s="171">
        <f t="shared" si="13"/>
        <v>3</v>
      </c>
      <c r="CG15" s="87">
        <v>0.67</v>
      </c>
      <c r="CH15" s="66">
        <v>0.45</v>
      </c>
      <c r="CI15" s="93">
        <v>3744.1</v>
      </c>
      <c r="CJ15" s="93"/>
      <c r="CK15" s="93"/>
      <c r="CL15" s="66">
        <v>-2.65</v>
      </c>
      <c r="CM15" s="66">
        <v>1000</v>
      </c>
      <c r="CN15" s="93">
        <v>7194.97</v>
      </c>
      <c r="CO15" s="108">
        <f t="shared" si="14"/>
        <v>8194.9700000000012</v>
      </c>
      <c r="CP15" s="108">
        <f t="shared" si="15"/>
        <v>719.49700000000007</v>
      </c>
    </row>
    <row r="16" spans="2:103" hidden="1" outlineLevel="1" x14ac:dyDescent="0.2">
      <c r="B16" s="72" t="s">
        <v>1445</v>
      </c>
      <c r="C16" s="57" t="s">
        <v>1387</v>
      </c>
      <c r="D16" s="57" t="s">
        <v>1440</v>
      </c>
      <c r="E16" s="65" t="s">
        <v>1389</v>
      </c>
      <c r="F16" s="57" t="s">
        <v>1454</v>
      </c>
      <c r="G16" s="62" t="s">
        <v>1556</v>
      </c>
      <c r="H16" s="128" t="b">
        <v>1</v>
      </c>
      <c r="I16" s="122" t="s">
        <v>1865</v>
      </c>
      <c r="N16" s="124">
        <v>21</v>
      </c>
      <c r="O16" s="124">
        <v>0.8</v>
      </c>
      <c r="P16" s="124">
        <v>5</v>
      </c>
      <c r="Q16" s="128" t="b">
        <v>1</v>
      </c>
      <c r="R16" s="127" t="s">
        <v>1559</v>
      </c>
      <c r="T16" s="126">
        <v>13</v>
      </c>
      <c r="U16" s="124">
        <v>1.4999999999999999E-2</v>
      </c>
      <c r="V16" s="126">
        <v>75</v>
      </c>
      <c r="W16" s="126">
        <v>-75</v>
      </c>
      <c r="X16" s="124">
        <v>50</v>
      </c>
      <c r="Y16" s="124">
        <v>5</v>
      </c>
      <c r="Z16" s="128" t="b">
        <v>1</v>
      </c>
      <c r="AA16" s="127" t="s">
        <v>1867</v>
      </c>
      <c r="AB16" s="122">
        <v>3</v>
      </c>
      <c r="AC16" s="146"/>
      <c r="AD16" s="124">
        <v>20</v>
      </c>
      <c r="AE16" s="124"/>
      <c r="AF16" s="124">
        <v>5.0000000000000001E-4</v>
      </c>
      <c r="AG16" s="135" t="b">
        <v>1</v>
      </c>
      <c r="AH16" s="125">
        <v>5</v>
      </c>
      <c r="AI16" s="125">
        <v>13</v>
      </c>
      <c r="AJ16" s="125">
        <v>34</v>
      </c>
      <c r="AK16" s="125">
        <v>89</v>
      </c>
      <c r="AL16" s="129" t="b">
        <v>0</v>
      </c>
      <c r="AM16" s="128" t="b">
        <v>1</v>
      </c>
      <c r="AN16" s="131" t="s">
        <v>1469</v>
      </c>
      <c r="AO16" s="127">
        <v>1E-4</v>
      </c>
      <c r="AP16" s="128" t="b">
        <v>1</v>
      </c>
      <c r="AQ16" s="127">
        <v>1E-3</v>
      </c>
      <c r="AR16" s="126">
        <v>5</v>
      </c>
      <c r="AS16" s="126">
        <v>8</v>
      </c>
      <c r="AT16" s="126">
        <v>5</v>
      </c>
      <c r="AU16" s="128" t="b">
        <v>1</v>
      </c>
      <c r="AV16" s="124">
        <v>3</v>
      </c>
      <c r="AW16" s="146">
        <v>5</v>
      </c>
      <c r="AX16" s="124">
        <v>1</v>
      </c>
      <c r="AY16" s="128" t="b">
        <v>1</v>
      </c>
      <c r="AZ16" s="122" t="s">
        <v>1576</v>
      </c>
      <c r="BA16" s="122">
        <v>4</v>
      </c>
      <c r="BB16" s="126">
        <v>0.05</v>
      </c>
      <c r="BC16" s="126">
        <v>0.5</v>
      </c>
      <c r="BD16" s="129" t="b">
        <v>0</v>
      </c>
      <c r="BE16" s="122" t="s">
        <v>1873</v>
      </c>
      <c r="BF16" s="128" t="b">
        <v>1</v>
      </c>
      <c r="BG16" s="122" t="s">
        <v>1578</v>
      </c>
      <c r="BH16" s="122">
        <v>0.01</v>
      </c>
      <c r="BI16" s="156" t="s">
        <v>403</v>
      </c>
      <c r="BJ16" s="128" t="b">
        <v>1</v>
      </c>
      <c r="BK16" s="159">
        <v>4</v>
      </c>
      <c r="BL16" s="128" t="b">
        <v>1</v>
      </c>
      <c r="BM16" s="156" t="s">
        <v>412</v>
      </c>
      <c r="BN16" s="128" t="b">
        <v>1</v>
      </c>
      <c r="BO16" s="164" t="s">
        <v>1382</v>
      </c>
      <c r="BP16" s="157">
        <v>1</v>
      </c>
      <c r="BQ16" s="157">
        <v>0.5</v>
      </c>
      <c r="BR16" s="166" t="str">
        <f t="shared" si="6"/>
        <v>5/ 13/ 34/ 89</v>
      </c>
      <c r="BS16" s="166" t="str">
        <f t="shared" si="10"/>
        <v>5 / 8 / 5</v>
      </c>
      <c r="BT16" s="166" t="str">
        <f t="shared" si="11"/>
        <v>0.05 / 0.5</v>
      </c>
      <c r="BU16" s="66">
        <v>283</v>
      </c>
      <c r="BV16" s="66">
        <v>179</v>
      </c>
      <c r="BW16" s="66">
        <v>173</v>
      </c>
      <c r="BX16" s="99">
        <f t="shared" si="12"/>
        <v>6</v>
      </c>
      <c r="BY16" s="66">
        <v>15</v>
      </c>
      <c r="BZ16" s="92">
        <f t="shared" si="16"/>
        <v>89</v>
      </c>
      <c r="CA16" s="204">
        <f t="shared" si="17"/>
        <v>0.63250883392226154</v>
      </c>
      <c r="CB16" s="205">
        <f t="shared" si="18"/>
        <v>5.3003533568904596E-2</v>
      </c>
      <c r="CC16" s="87">
        <v>7.52</v>
      </c>
      <c r="CD16" s="66">
        <v>26.66</v>
      </c>
      <c r="CE16" s="87">
        <v>0.45</v>
      </c>
      <c r="CF16" s="172">
        <f t="shared" si="13"/>
        <v>4</v>
      </c>
      <c r="CG16" s="87">
        <v>0.68</v>
      </c>
      <c r="CH16" s="66">
        <v>0.45</v>
      </c>
      <c r="CI16" s="93">
        <v>3781.2</v>
      </c>
      <c r="CJ16" s="93"/>
      <c r="CK16" s="93"/>
      <c r="CL16" s="66">
        <v>-2.64</v>
      </c>
      <c r="CM16" s="66">
        <v>1000</v>
      </c>
      <c r="CN16" s="102">
        <v>7543.37</v>
      </c>
      <c r="CO16" s="110">
        <f t="shared" si="14"/>
        <v>8543.369999999999</v>
      </c>
      <c r="CP16" s="110">
        <f t="shared" si="15"/>
        <v>754.33699999999999</v>
      </c>
    </row>
    <row r="17" spans="2:94" hidden="1" outlineLevel="1" x14ac:dyDescent="0.2">
      <c r="B17" s="72" t="s">
        <v>1446</v>
      </c>
      <c r="C17" s="57" t="s">
        <v>1387</v>
      </c>
      <c r="D17" s="57" t="s">
        <v>1440</v>
      </c>
      <c r="E17" s="65" t="s">
        <v>1389</v>
      </c>
      <c r="F17" s="57" t="s">
        <v>1454</v>
      </c>
      <c r="G17" s="62" t="s">
        <v>1556</v>
      </c>
      <c r="H17" s="128" t="b">
        <v>1</v>
      </c>
      <c r="I17" s="122" t="s">
        <v>1865</v>
      </c>
      <c r="N17" s="124">
        <v>21</v>
      </c>
      <c r="O17" s="124">
        <v>0.8</v>
      </c>
      <c r="P17" s="124">
        <v>5</v>
      </c>
      <c r="Q17" s="128" t="b">
        <v>1</v>
      </c>
      <c r="R17" s="127" t="s">
        <v>1559</v>
      </c>
      <c r="T17" s="126">
        <v>13</v>
      </c>
      <c r="U17" s="124">
        <v>1.4999999999999999E-2</v>
      </c>
      <c r="V17" s="126">
        <v>75</v>
      </c>
      <c r="W17" s="126">
        <v>-75</v>
      </c>
      <c r="X17" s="124">
        <v>50</v>
      </c>
      <c r="Y17" s="124">
        <v>5</v>
      </c>
      <c r="Z17" s="128" t="b">
        <v>1</v>
      </c>
      <c r="AA17" s="127" t="s">
        <v>1867</v>
      </c>
      <c r="AB17" s="122">
        <v>3</v>
      </c>
      <c r="AC17" s="146"/>
      <c r="AD17" s="124">
        <v>20</v>
      </c>
      <c r="AE17" s="124"/>
      <c r="AF17" s="124">
        <v>5.0000000000000001E-4</v>
      </c>
      <c r="AG17" s="135" t="b">
        <v>1</v>
      </c>
      <c r="AH17" s="125">
        <v>5</v>
      </c>
      <c r="AI17" s="125">
        <v>13</v>
      </c>
      <c r="AJ17" s="125">
        <v>34</v>
      </c>
      <c r="AK17" s="125">
        <v>89</v>
      </c>
      <c r="AL17" s="129" t="b">
        <v>0</v>
      </c>
      <c r="AM17" s="128" t="b">
        <v>1</v>
      </c>
      <c r="AN17" s="131" t="s">
        <v>1469</v>
      </c>
      <c r="AO17" s="127">
        <v>1E-4</v>
      </c>
      <c r="AP17" s="128" t="b">
        <v>1</v>
      </c>
      <c r="AQ17" s="127">
        <v>1E-3</v>
      </c>
      <c r="AR17" s="126">
        <v>5</v>
      </c>
      <c r="AS17" s="126">
        <v>8</v>
      </c>
      <c r="AT17" s="126">
        <v>5</v>
      </c>
      <c r="AU17" s="128" t="b">
        <v>1</v>
      </c>
      <c r="AV17" s="124">
        <v>3</v>
      </c>
      <c r="AW17" s="146">
        <v>5</v>
      </c>
      <c r="AX17" s="124">
        <v>1</v>
      </c>
      <c r="AY17" s="128" t="b">
        <v>1</v>
      </c>
      <c r="AZ17" s="122" t="s">
        <v>1576</v>
      </c>
      <c r="BA17" s="122">
        <v>4</v>
      </c>
      <c r="BB17" s="126">
        <v>0.05</v>
      </c>
      <c r="BC17" s="126">
        <v>0.5</v>
      </c>
      <c r="BD17" s="129" t="b">
        <v>0</v>
      </c>
      <c r="BE17" s="122" t="s">
        <v>1873</v>
      </c>
      <c r="BF17" s="128" t="b">
        <v>1</v>
      </c>
      <c r="BG17" s="122" t="s">
        <v>1578</v>
      </c>
      <c r="BH17" s="122">
        <v>0.01</v>
      </c>
      <c r="BI17" s="156" t="s">
        <v>403</v>
      </c>
      <c r="BJ17" s="128" t="b">
        <v>1</v>
      </c>
      <c r="BK17" s="157">
        <v>2</v>
      </c>
      <c r="BL17" s="128" t="b">
        <v>1</v>
      </c>
      <c r="BM17" s="164" t="s">
        <v>405</v>
      </c>
      <c r="BN17" s="128" t="b">
        <v>1</v>
      </c>
      <c r="BO17" s="164" t="s">
        <v>1382</v>
      </c>
      <c r="BP17" s="157">
        <v>1</v>
      </c>
      <c r="BQ17" s="157">
        <v>0.5</v>
      </c>
      <c r="BR17" s="166" t="str">
        <f t="shared" si="6"/>
        <v>5/ 13/ 34/ 89</v>
      </c>
      <c r="BS17" s="166" t="str">
        <f t="shared" si="10"/>
        <v>5 / 8 / 5</v>
      </c>
      <c r="BT17" s="166" t="str">
        <f t="shared" si="11"/>
        <v>0.05 / 0.5</v>
      </c>
      <c r="BU17" s="66">
        <v>285</v>
      </c>
      <c r="BV17" s="66">
        <v>185</v>
      </c>
      <c r="BW17" s="66">
        <v>168</v>
      </c>
      <c r="BX17" s="99">
        <f t="shared" si="12"/>
        <v>17</v>
      </c>
      <c r="BY17" s="66">
        <v>17</v>
      </c>
      <c r="BZ17" s="92">
        <f t="shared" si="16"/>
        <v>83</v>
      </c>
      <c r="CA17" s="204">
        <f t="shared" si="17"/>
        <v>0.64912280701754388</v>
      </c>
      <c r="CB17" s="205">
        <f t="shared" si="18"/>
        <v>5.9649122807017542E-2</v>
      </c>
      <c r="CC17" s="87">
        <v>6.86</v>
      </c>
      <c r="CD17" s="66">
        <v>21.59</v>
      </c>
      <c r="CE17" s="87">
        <v>0.5</v>
      </c>
      <c r="CF17" s="170">
        <f t="shared" si="13"/>
        <v>2</v>
      </c>
      <c r="CG17" s="87">
        <v>0.62</v>
      </c>
      <c r="CH17" s="66">
        <v>0.44</v>
      </c>
      <c r="CI17" s="93">
        <v>3618</v>
      </c>
      <c r="CJ17" s="93"/>
      <c r="CK17" s="93"/>
      <c r="CL17" s="66">
        <v>-2.65</v>
      </c>
      <c r="CM17" s="66">
        <v>1000</v>
      </c>
      <c r="CN17" s="93">
        <v>6153.51</v>
      </c>
      <c r="CO17" s="108">
        <f t="shared" si="14"/>
        <v>7153.51</v>
      </c>
      <c r="CP17" s="108">
        <f t="shared" si="15"/>
        <v>615.351</v>
      </c>
    </row>
    <row r="18" spans="2:94" hidden="1" outlineLevel="1" x14ac:dyDescent="0.2">
      <c r="B18" s="72" t="s">
        <v>1447</v>
      </c>
      <c r="C18" s="57" t="s">
        <v>1387</v>
      </c>
      <c r="D18" s="57" t="s">
        <v>1440</v>
      </c>
      <c r="E18" s="65" t="s">
        <v>1389</v>
      </c>
      <c r="F18" s="57" t="s">
        <v>1454</v>
      </c>
      <c r="G18" s="62" t="s">
        <v>1556</v>
      </c>
      <c r="H18" s="128" t="b">
        <v>1</v>
      </c>
      <c r="I18" s="122" t="s">
        <v>1865</v>
      </c>
      <c r="N18" s="124">
        <v>21</v>
      </c>
      <c r="O18" s="124">
        <v>0.8</v>
      </c>
      <c r="P18" s="124">
        <v>5</v>
      </c>
      <c r="Q18" s="128" t="b">
        <v>1</v>
      </c>
      <c r="R18" s="127" t="s">
        <v>1559</v>
      </c>
      <c r="T18" s="126">
        <v>13</v>
      </c>
      <c r="U18" s="124">
        <v>1.4999999999999999E-2</v>
      </c>
      <c r="V18" s="126">
        <v>75</v>
      </c>
      <c r="W18" s="126">
        <v>-75</v>
      </c>
      <c r="X18" s="124">
        <v>50</v>
      </c>
      <c r="Y18" s="124">
        <v>5</v>
      </c>
      <c r="Z18" s="128" t="b">
        <v>1</v>
      </c>
      <c r="AA18" s="127" t="s">
        <v>1867</v>
      </c>
      <c r="AB18" s="122">
        <v>3</v>
      </c>
      <c r="AC18" s="146"/>
      <c r="AD18" s="124">
        <v>20</v>
      </c>
      <c r="AE18" s="124"/>
      <c r="AF18" s="124">
        <v>5.0000000000000001E-4</v>
      </c>
      <c r="AG18" s="135" t="b">
        <v>1</v>
      </c>
      <c r="AH18" s="125">
        <v>5</v>
      </c>
      <c r="AI18" s="125">
        <v>13</v>
      </c>
      <c r="AJ18" s="125">
        <v>34</v>
      </c>
      <c r="AK18" s="125">
        <v>89</v>
      </c>
      <c r="AL18" s="129" t="b">
        <v>0</v>
      </c>
      <c r="AM18" s="128" t="b">
        <v>1</v>
      </c>
      <c r="AN18" s="131" t="s">
        <v>1469</v>
      </c>
      <c r="AO18" s="127">
        <v>1E-4</v>
      </c>
      <c r="AP18" s="128" t="b">
        <v>1</v>
      </c>
      <c r="AQ18" s="127">
        <v>1E-3</v>
      </c>
      <c r="AR18" s="126">
        <v>5</v>
      </c>
      <c r="AS18" s="126">
        <v>8</v>
      </c>
      <c r="AT18" s="126">
        <v>5</v>
      </c>
      <c r="AU18" s="128" t="b">
        <v>1</v>
      </c>
      <c r="AV18" s="124">
        <v>3</v>
      </c>
      <c r="AW18" s="146">
        <v>5</v>
      </c>
      <c r="AX18" s="124">
        <v>1</v>
      </c>
      <c r="AY18" s="128" t="b">
        <v>1</v>
      </c>
      <c r="AZ18" s="122" t="s">
        <v>1576</v>
      </c>
      <c r="BA18" s="122">
        <v>4</v>
      </c>
      <c r="BB18" s="126">
        <v>0.05</v>
      </c>
      <c r="BC18" s="126">
        <v>0.5</v>
      </c>
      <c r="BD18" s="129" t="b">
        <v>0</v>
      </c>
      <c r="BE18" s="122" t="s">
        <v>1873</v>
      </c>
      <c r="BF18" s="128" t="b">
        <v>1</v>
      </c>
      <c r="BG18" s="122" t="s">
        <v>1578</v>
      </c>
      <c r="BH18" s="122">
        <v>0.01</v>
      </c>
      <c r="BI18" s="156" t="s">
        <v>403</v>
      </c>
      <c r="BJ18" s="128" t="b">
        <v>1</v>
      </c>
      <c r="BK18" s="157">
        <v>2</v>
      </c>
      <c r="BL18" s="128" t="b">
        <v>1</v>
      </c>
      <c r="BM18" s="164" t="s">
        <v>405</v>
      </c>
      <c r="BN18" s="129" t="b">
        <v>0</v>
      </c>
      <c r="BO18" s="156" t="s">
        <v>1382</v>
      </c>
      <c r="BP18" s="157"/>
      <c r="BQ18" s="157"/>
      <c r="BR18" s="166" t="str">
        <f t="shared" si="6"/>
        <v>5/ 13/ 34/ 89</v>
      </c>
      <c r="BS18" s="166" t="str">
        <f t="shared" si="10"/>
        <v>5 / 8 / 5</v>
      </c>
      <c r="BT18" s="166" t="str">
        <f t="shared" si="11"/>
        <v>0.05 / 0.5</v>
      </c>
      <c r="BU18" s="66">
        <v>285</v>
      </c>
      <c r="BV18" s="66">
        <v>185</v>
      </c>
      <c r="BW18" s="66">
        <v>168</v>
      </c>
      <c r="BX18" s="99">
        <f t="shared" si="12"/>
        <v>17</v>
      </c>
      <c r="BY18" s="66">
        <v>17</v>
      </c>
      <c r="BZ18" s="92">
        <f t="shared" si="16"/>
        <v>83</v>
      </c>
      <c r="CA18" s="204">
        <f t="shared" si="17"/>
        <v>0.64912280701754388</v>
      </c>
      <c r="CB18" s="205">
        <f t="shared" si="18"/>
        <v>5.9649122807017542E-2</v>
      </c>
      <c r="CC18" s="87">
        <v>6.75</v>
      </c>
      <c r="CD18" s="66">
        <v>20.29</v>
      </c>
      <c r="CE18" s="87">
        <v>0.5</v>
      </c>
      <c r="CF18" s="170">
        <f t="shared" si="13"/>
        <v>2</v>
      </c>
      <c r="CG18" s="87">
        <v>0.6</v>
      </c>
      <c r="CH18" s="66">
        <v>0.44</v>
      </c>
      <c r="CI18" s="93">
        <v>3551</v>
      </c>
      <c r="CJ18" s="93"/>
      <c r="CK18" s="93"/>
      <c r="CL18" s="66">
        <v>-2.65</v>
      </c>
      <c r="CM18" s="66">
        <v>1000</v>
      </c>
      <c r="CN18" s="101">
        <v>5783.39</v>
      </c>
      <c r="CO18" s="109">
        <f t="shared" si="14"/>
        <v>6783.39</v>
      </c>
      <c r="CP18" s="109">
        <f t="shared" si="15"/>
        <v>578.33900000000006</v>
      </c>
    </row>
    <row r="19" spans="2:94" hidden="1" outlineLevel="1" x14ac:dyDescent="0.2">
      <c r="B19" s="57"/>
      <c r="C19" s="57"/>
      <c r="D19" s="65"/>
      <c r="E19" s="57"/>
      <c r="F19" s="57"/>
      <c r="G19" s="62"/>
      <c r="H19" s="127"/>
      <c r="Q19" s="127"/>
      <c r="R19" s="130"/>
      <c r="T19" s="126"/>
      <c r="V19" s="126"/>
      <c r="W19" s="126"/>
      <c r="Z19" s="127"/>
      <c r="AA19" s="130"/>
      <c r="AC19" s="124"/>
      <c r="AD19" s="124"/>
      <c r="AE19" s="124"/>
      <c r="AG19" s="126"/>
      <c r="AH19" s="125"/>
      <c r="AI19" s="125"/>
      <c r="AJ19" s="125"/>
      <c r="AK19" s="125"/>
      <c r="AM19" s="127"/>
      <c r="AN19" s="127"/>
      <c r="AO19" s="127"/>
      <c r="AP19" s="127"/>
      <c r="AQ19" s="127"/>
      <c r="AR19" s="126"/>
      <c r="AS19" s="126"/>
      <c r="AT19" s="126"/>
      <c r="AU19" s="127"/>
      <c r="AY19" s="127"/>
      <c r="BB19" s="126"/>
      <c r="BC19" s="126"/>
      <c r="BI19" s="156"/>
      <c r="BK19" s="156"/>
      <c r="BL19" s="127"/>
      <c r="BM19" s="157"/>
      <c r="BN19" s="127"/>
      <c r="BO19" s="156"/>
      <c r="BP19" s="154"/>
      <c r="BQ19" s="154"/>
      <c r="BS19" s="167"/>
      <c r="BT19" s="167"/>
      <c r="BU19" s="85"/>
      <c r="BV19" s="85"/>
      <c r="BW19" s="85"/>
      <c r="BX19" s="100"/>
      <c r="BY19" s="85"/>
      <c r="BZ19" s="86"/>
      <c r="CA19" s="85"/>
      <c r="CB19" s="95"/>
      <c r="CC19" s="85"/>
      <c r="CD19" s="85"/>
      <c r="CE19" s="85"/>
      <c r="CF19" s="107"/>
      <c r="CG19" s="85"/>
      <c r="CH19" s="85"/>
      <c r="CI19" s="85"/>
      <c r="CJ19" s="85"/>
      <c r="CK19" s="85"/>
      <c r="CL19" s="85"/>
      <c r="CM19" s="84"/>
      <c r="CN19" s="85"/>
      <c r="CO19" s="107"/>
      <c r="CP19" s="107"/>
    </row>
    <row r="20" spans="2:94" collapsed="1" x14ac:dyDescent="0.2">
      <c r="B20" s="72" t="s">
        <v>1455</v>
      </c>
      <c r="C20" s="57" t="s">
        <v>1387</v>
      </c>
      <c r="D20" s="57" t="s">
        <v>1440</v>
      </c>
      <c r="E20" s="65" t="s">
        <v>1389</v>
      </c>
      <c r="F20" s="57" t="s">
        <v>1454</v>
      </c>
      <c r="G20" s="62" t="s">
        <v>1556</v>
      </c>
      <c r="H20" s="128" t="b">
        <v>1</v>
      </c>
      <c r="I20" s="122" t="s">
        <v>1865</v>
      </c>
      <c r="N20" s="124">
        <v>21</v>
      </c>
      <c r="O20" s="124">
        <v>0.8</v>
      </c>
      <c r="P20" s="124">
        <v>5</v>
      </c>
      <c r="Q20" s="128" t="b">
        <v>1</v>
      </c>
      <c r="R20" s="127" t="s">
        <v>1559</v>
      </c>
      <c r="T20" s="126">
        <v>13</v>
      </c>
      <c r="U20" s="124">
        <v>1.4999999999999999E-2</v>
      </c>
      <c r="V20" s="126">
        <v>75</v>
      </c>
      <c r="W20" s="126">
        <v>-75</v>
      </c>
      <c r="X20" s="124">
        <v>50</v>
      </c>
      <c r="Y20" s="124">
        <v>5</v>
      </c>
      <c r="Z20" s="128" t="b">
        <v>1</v>
      </c>
      <c r="AA20" s="127" t="s">
        <v>1867</v>
      </c>
      <c r="AB20" s="122">
        <v>3</v>
      </c>
      <c r="AC20" s="146"/>
      <c r="AD20" s="124">
        <v>20</v>
      </c>
      <c r="AE20" s="124"/>
      <c r="AF20" s="124">
        <v>5.0000000000000001E-4</v>
      </c>
      <c r="AG20" s="135" t="b">
        <v>1</v>
      </c>
      <c r="AH20" s="125">
        <v>5</v>
      </c>
      <c r="AI20" s="125">
        <v>13</v>
      </c>
      <c r="AJ20" s="125">
        <v>34</v>
      </c>
      <c r="AK20" s="125">
        <v>89</v>
      </c>
      <c r="AL20" s="129" t="b">
        <v>0</v>
      </c>
      <c r="AM20" s="128" t="b">
        <v>1</v>
      </c>
      <c r="AN20" s="127" t="s">
        <v>1468</v>
      </c>
      <c r="AO20" s="127">
        <v>1E-4</v>
      </c>
      <c r="AP20" s="128" t="b">
        <v>1</v>
      </c>
      <c r="AQ20" s="127">
        <v>1E-3</v>
      </c>
      <c r="AR20" s="126">
        <v>5</v>
      </c>
      <c r="AS20" s="126">
        <v>8</v>
      </c>
      <c r="AT20" s="126">
        <v>5</v>
      </c>
      <c r="AU20" s="128" t="b">
        <v>1</v>
      </c>
      <c r="AY20" s="128" t="b">
        <v>1</v>
      </c>
      <c r="AZ20" s="122" t="s">
        <v>1576</v>
      </c>
      <c r="BA20" s="122">
        <v>4</v>
      </c>
      <c r="BB20" s="126">
        <v>0.05</v>
      </c>
      <c r="BC20" s="126">
        <v>0.5</v>
      </c>
      <c r="BD20" s="129" t="b">
        <v>0</v>
      </c>
      <c r="BE20" s="122" t="s">
        <v>1578</v>
      </c>
      <c r="BF20" s="128" t="b">
        <v>1</v>
      </c>
      <c r="BG20" s="122" t="s">
        <v>1578</v>
      </c>
      <c r="BH20" s="122">
        <v>0.01</v>
      </c>
      <c r="BI20" s="156" t="s">
        <v>403</v>
      </c>
      <c r="BJ20" s="128" t="b">
        <v>1</v>
      </c>
      <c r="BK20" s="157">
        <v>2</v>
      </c>
      <c r="BL20" s="128" t="b">
        <v>1</v>
      </c>
      <c r="BM20" s="156" t="s">
        <v>412</v>
      </c>
      <c r="BN20" s="129" t="b">
        <v>0</v>
      </c>
      <c r="BO20" s="156" t="s">
        <v>1382</v>
      </c>
      <c r="BP20" s="157"/>
      <c r="BQ20" s="157"/>
      <c r="BR20" s="166" t="str">
        <f t="shared" si="6"/>
        <v>5/ 13/ 34/ 89</v>
      </c>
      <c r="BS20" s="166" t="str">
        <f>AR20&amp;" / "&amp;AS20&amp;" / "&amp;AT20</f>
        <v>5 / 8 / 5</v>
      </c>
      <c r="BT20" s="166" t="str">
        <f>BB20&amp;" / "&amp;BC20</f>
        <v>0.05 / 0.5</v>
      </c>
      <c r="BU20" s="66">
        <v>254</v>
      </c>
      <c r="BV20" s="66">
        <v>160</v>
      </c>
      <c r="BW20" s="66">
        <v>145</v>
      </c>
      <c r="BX20" s="99">
        <f>BV20-BW20</f>
        <v>15</v>
      </c>
      <c r="BY20" s="66">
        <v>17</v>
      </c>
      <c r="BZ20" s="92">
        <f>BU20-SUM(BW20:BY20)</f>
        <v>77</v>
      </c>
      <c r="CA20" s="204">
        <f>IF(BU20=0,0,BV20/BU20)</f>
        <v>0.62992125984251968</v>
      </c>
      <c r="CB20" s="205">
        <f>IF(BU20=0,0,BY20/BU20)</f>
        <v>6.6929133858267723E-2</v>
      </c>
      <c r="CC20" s="87">
        <v>6.1</v>
      </c>
      <c r="CD20" s="87">
        <v>15.62</v>
      </c>
      <c r="CE20" s="66">
        <v>0.49</v>
      </c>
      <c r="CF20" s="170">
        <f>BK20</f>
        <v>2</v>
      </c>
      <c r="CG20" s="87">
        <v>0.6</v>
      </c>
      <c r="CH20" s="87">
        <v>0.41</v>
      </c>
      <c r="CI20" s="93">
        <v>3248.5</v>
      </c>
      <c r="CJ20" s="93"/>
      <c r="CK20" s="93"/>
      <c r="CL20" s="66">
        <v>-3.68</v>
      </c>
      <c r="CM20" s="66">
        <v>1000</v>
      </c>
      <c r="CN20" s="93">
        <v>3968</v>
      </c>
      <c r="CO20" s="108">
        <f>CM20+CN20</f>
        <v>4968</v>
      </c>
      <c r="CP20" s="108">
        <f>CN20/10</f>
        <v>396.8</v>
      </c>
    </row>
    <row r="21" spans="2:94" hidden="1" outlineLevel="1" x14ac:dyDescent="0.2">
      <c r="B21" s="72" t="s">
        <v>1456</v>
      </c>
      <c r="C21" s="57" t="s">
        <v>1387</v>
      </c>
      <c r="D21" s="57" t="s">
        <v>1440</v>
      </c>
      <c r="E21" s="65" t="s">
        <v>1389</v>
      </c>
      <c r="F21" s="57" t="s">
        <v>1454</v>
      </c>
      <c r="G21" s="62" t="s">
        <v>1556</v>
      </c>
      <c r="H21" s="128" t="b">
        <v>1</v>
      </c>
      <c r="I21" s="122" t="s">
        <v>1865</v>
      </c>
      <c r="N21" s="124">
        <v>21</v>
      </c>
      <c r="O21" s="124">
        <v>0.8</v>
      </c>
      <c r="P21" s="124">
        <v>5</v>
      </c>
      <c r="Q21" s="128" t="b">
        <v>1</v>
      </c>
      <c r="R21" s="127" t="s">
        <v>1559</v>
      </c>
      <c r="T21" s="126">
        <v>13</v>
      </c>
      <c r="U21" s="124">
        <v>1.4999999999999999E-2</v>
      </c>
      <c r="V21" s="126">
        <v>75</v>
      </c>
      <c r="W21" s="126">
        <v>-75</v>
      </c>
      <c r="X21" s="124">
        <v>50</v>
      </c>
      <c r="Y21" s="124">
        <v>5</v>
      </c>
      <c r="Z21" s="128" t="b">
        <v>1</v>
      </c>
      <c r="AA21" s="127" t="s">
        <v>1867</v>
      </c>
      <c r="AB21" s="122">
        <v>3</v>
      </c>
      <c r="AC21" s="146"/>
      <c r="AD21" s="124">
        <v>20</v>
      </c>
      <c r="AE21" s="124"/>
      <c r="AF21" s="124">
        <v>5.0000000000000001E-4</v>
      </c>
      <c r="AG21" s="135" t="b">
        <v>1</v>
      </c>
      <c r="AH21" s="125">
        <v>5</v>
      </c>
      <c r="AI21" s="125">
        <v>13</v>
      </c>
      <c r="AJ21" s="125">
        <v>34</v>
      </c>
      <c r="AK21" s="125">
        <v>89</v>
      </c>
      <c r="AL21" s="129" t="b">
        <v>0</v>
      </c>
      <c r="AM21" s="128" t="b">
        <v>1</v>
      </c>
      <c r="AN21" s="127" t="s">
        <v>1468</v>
      </c>
      <c r="AO21" s="127">
        <v>1E-4</v>
      </c>
      <c r="AP21" s="128" t="b">
        <v>1</v>
      </c>
      <c r="AQ21" s="131">
        <v>0.01</v>
      </c>
      <c r="AR21" s="126">
        <v>5</v>
      </c>
      <c r="AS21" s="126">
        <v>8</v>
      </c>
      <c r="AT21" s="126">
        <v>5</v>
      </c>
      <c r="AU21" s="128" t="b">
        <v>1</v>
      </c>
      <c r="AY21" s="128" t="b">
        <v>1</v>
      </c>
      <c r="AZ21" s="122" t="s">
        <v>1576</v>
      </c>
      <c r="BA21" s="122">
        <v>4</v>
      </c>
      <c r="BB21" s="126">
        <v>0.05</v>
      </c>
      <c r="BC21" s="126">
        <v>0.5</v>
      </c>
      <c r="BD21" s="129" t="b">
        <v>0</v>
      </c>
      <c r="BE21" s="122" t="s">
        <v>1578</v>
      </c>
      <c r="BF21" s="128" t="b">
        <v>1</v>
      </c>
      <c r="BG21" s="122" t="s">
        <v>1578</v>
      </c>
      <c r="BH21" s="122">
        <v>0.01</v>
      </c>
      <c r="BI21" s="156" t="s">
        <v>403</v>
      </c>
      <c r="BJ21" s="128" t="b">
        <v>1</v>
      </c>
      <c r="BK21" s="157">
        <v>2</v>
      </c>
      <c r="BL21" s="128" t="b">
        <v>1</v>
      </c>
      <c r="BM21" s="156" t="s">
        <v>412</v>
      </c>
      <c r="BN21" s="129" t="b">
        <v>0</v>
      </c>
      <c r="BO21" s="156" t="s">
        <v>1382</v>
      </c>
      <c r="BP21" s="157"/>
      <c r="BQ21" s="157"/>
      <c r="BR21" s="166" t="str">
        <f t="shared" si="6"/>
        <v>5/ 13/ 34/ 89</v>
      </c>
      <c r="BS21" s="166" t="str">
        <f>AR21&amp;" / "&amp;AS21&amp;" / "&amp;AT21</f>
        <v>5 / 8 / 5</v>
      </c>
      <c r="BT21" s="166" t="str">
        <f>BB21&amp;" / "&amp;BC21</f>
        <v>0.05 / 0.5</v>
      </c>
      <c r="BU21" s="66">
        <v>82</v>
      </c>
      <c r="BV21" s="66">
        <v>52</v>
      </c>
      <c r="BW21" s="66">
        <v>44</v>
      </c>
      <c r="BX21" s="99">
        <f>BV21-BW21</f>
        <v>8</v>
      </c>
      <c r="BY21" s="90">
        <v>2</v>
      </c>
      <c r="BZ21" s="92">
        <f t="shared" ref="BZ21:BZ22" si="19">BU21-SUM(BW21:BY21)</f>
        <v>28</v>
      </c>
      <c r="CA21" s="204">
        <f t="shared" ref="CA21:CA22" si="20">IF(BU21=0,0,BV21/BU21)</f>
        <v>0.63414634146341464</v>
      </c>
      <c r="CB21" s="205">
        <f t="shared" ref="CB21:CB22" si="21">IF(BU21=0,0,BY21/BU21)</f>
        <v>2.4390243902439025E-2</v>
      </c>
      <c r="CC21" s="87">
        <v>18.649999999999999</v>
      </c>
      <c r="CD21" s="87">
        <v>9.81</v>
      </c>
      <c r="CE21" s="66">
        <v>0.62</v>
      </c>
      <c r="CF21" s="170">
        <f>BK21</f>
        <v>2</v>
      </c>
      <c r="CG21" s="87">
        <v>0.61</v>
      </c>
      <c r="CH21" s="87">
        <v>0.36</v>
      </c>
      <c r="CI21" s="93">
        <v>1521</v>
      </c>
      <c r="CJ21" s="93"/>
      <c r="CK21" s="93"/>
      <c r="CL21" s="66">
        <v>-1.99</v>
      </c>
      <c r="CM21" s="66">
        <v>1000</v>
      </c>
      <c r="CN21" s="101">
        <v>804.86</v>
      </c>
      <c r="CO21" s="109">
        <f>CM21+CN21</f>
        <v>1804.8600000000001</v>
      </c>
      <c r="CP21" s="109">
        <f>CN21/10</f>
        <v>80.486000000000004</v>
      </c>
    </row>
    <row r="22" spans="2:94" hidden="1" outlineLevel="1" x14ac:dyDescent="0.2">
      <c r="B22" s="72" t="s">
        <v>1457</v>
      </c>
      <c r="C22" s="57" t="s">
        <v>1387</v>
      </c>
      <c r="D22" s="57" t="s">
        <v>1440</v>
      </c>
      <c r="E22" s="65" t="s">
        <v>1389</v>
      </c>
      <c r="F22" s="57" t="s">
        <v>1454</v>
      </c>
      <c r="G22" s="62" t="s">
        <v>1556</v>
      </c>
      <c r="H22" s="128" t="b">
        <v>1</v>
      </c>
      <c r="I22" s="122" t="s">
        <v>1865</v>
      </c>
      <c r="N22" s="124">
        <v>21</v>
      </c>
      <c r="O22" s="124">
        <v>0.8</v>
      </c>
      <c r="P22" s="124">
        <v>5</v>
      </c>
      <c r="Q22" s="128" t="b">
        <v>1</v>
      </c>
      <c r="R22" s="127" t="s">
        <v>1559</v>
      </c>
      <c r="T22" s="126">
        <v>13</v>
      </c>
      <c r="U22" s="124">
        <v>1.4999999999999999E-2</v>
      </c>
      <c r="V22" s="126">
        <v>75</v>
      </c>
      <c r="W22" s="126">
        <v>-75</v>
      </c>
      <c r="X22" s="124">
        <v>50</v>
      </c>
      <c r="Y22" s="124">
        <v>5</v>
      </c>
      <c r="Z22" s="128" t="b">
        <v>1</v>
      </c>
      <c r="AA22" s="127" t="s">
        <v>1867</v>
      </c>
      <c r="AB22" s="122">
        <v>3</v>
      </c>
      <c r="AC22" s="146"/>
      <c r="AD22" s="124">
        <v>20</v>
      </c>
      <c r="AE22" s="124"/>
      <c r="AF22" s="124">
        <v>5.0000000000000001E-4</v>
      </c>
      <c r="AG22" s="135" t="b">
        <v>1</v>
      </c>
      <c r="AH22" s="125">
        <v>5</v>
      </c>
      <c r="AI22" s="125">
        <v>13</v>
      </c>
      <c r="AJ22" s="125">
        <v>34</v>
      </c>
      <c r="AK22" s="125">
        <v>89</v>
      </c>
      <c r="AL22" s="129" t="b">
        <v>0</v>
      </c>
      <c r="AM22" s="128" t="b">
        <v>1</v>
      </c>
      <c r="AN22" s="127" t="s">
        <v>1468</v>
      </c>
      <c r="AO22" s="127">
        <v>1E-4</v>
      </c>
      <c r="AP22" s="128" t="b">
        <v>1</v>
      </c>
      <c r="AQ22" s="142">
        <v>1E-4</v>
      </c>
      <c r="AR22" s="126">
        <v>5</v>
      </c>
      <c r="AS22" s="126">
        <v>8</v>
      </c>
      <c r="AT22" s="126">
        <v>5</v>
      </c>
      <c r="AU22" s="128" t="b">
        <v>1</v>
      </c>
      <c r="AY22" s="128" t="b">
        <v>1</v>
      </c>
      <c r="AZ22" s="122" t="s">
        <v>1576</v>
      </c>
      <c r="BA22" s="122">
        <v>4</v>
      </c>
      <c r="BB22" s="126">
        <v>0.05</v>
      </c>
      <c r="BC22" s="126">
        <v>0.5</v>
      </c>
      <c r="BD22" s="129" t="b">
        <v>0</v>
      </c>
      <c r="BE22" s="122" t="s">
        <v>1578</v>
      </c>
      <c r="BF22" s="128" t="b">
        <v>1</v>
      </c>
      <c r="BG22" s="122" t="s">
        <v>1578</v>
      </c>
      <c r="BH22" s="122">
        <v>0.01</v>
      </c>
      <c r="BI22" s="156" t="s">
        <v>403</v>
      </c>
      <c r="BJ22" s="128" t="b">
        <v>1</v>
      </c>
      <c r="BK22" s="157">
        <v>2</v>
      </c>
      <c r="BL22" s="128" t="b">
        <v>1</v>
      </c>
      <c r="BM22" s="156" t="s">
        <v>412</v>
      </c>
      <c r="BN22" s="129" t="b">
        <v>0</v>
      </c>
      <c r="BO22" s="156" t="s">
        <v>1382</v>
      </c>
      <c r="BP22" s="157"/>
      <c r="BQ22" s="157"/>
      <c r="BR22" s="166" t="str">
        <f t="shared" si="6"/>
        <v>5/ 13/ 34/ 89</v>
      </c>
      <c r="BS22" s="166" t="str">
        <f>AR22&amp;" / "&amp;AS22&amp;" / "&amp;AT22</f>
        <v>5 / 8 / 5</v>
      </c>
      <c r="BT22" s="166" t="str">
        <f>BB22&amp;" / "&amp;BC22</f>
        <v>0.05 / 0.5</v>
      </c>
      <c r="BU22" s="66">
        <v>272</v>
      </c>
      <c r="BV22" s="66">
        <v>171</v>
      </c>
      <c r="BW22" s="66">
        <v>156</v>
      </c>
      <c r="BX22" s="99">
        <f>BV22-BW22</f>
        <v>15</v>
      </c>
      <c r="BY22" s="66">
        <v>20</v>
      </c>
      <c r="BZ22" s="92">
        <f t="shared" si="19"/>
        <v>81</v>
      </c>
      <c r="CA22" s="204">
        <f t="shared" si="20"/>
        <v>0.62867647058823528</v>
      </c>
      <c r="CB22" s="205">
        <f t="shared" si="21"/>
        <v>7.3529411764705885E-2</v>
      </c>
      <c r="CC22" s="88">
        <v>5.55</v>
      </c>
      <c r="CD22" s="87">
        <v>15.1</v>
      </c>
      <c r="CE22" s="66">
        <v>0.46</v>
      </c>
      <c r="CF22" s="170">
        <f>BK22</f>
        <v>2</v>
      </c>
      <c r="CG22" s="87">
        <v>0.57999999999999996</v>
      </c>
      <c r="CH22" s="87">
        <v>0.4</v>
      </c>
      <c r="CI22" s="93">
        <v>3363.8</v>
      </c>
      <c r="CJ22" s="93"/>
      <c r="CK22" s="93"/>
      <c r="CL22" s="66">
        <v>-5.15</v>
      </c>
      <c r="CM22" s="66">
        <v>1000</v>
      </c>
      <c r="CN22" s="102">
        <v>4107</v>
      </c>
      <c r="CO22" s="110">
        <f>CM22+CN22</f>
        <v>5107</v>
      </c>
      <c r="CP22" s="110">
        <f>CN22/10</f>
        <v>410.7</v>
      </c>
    </row>
    <row r="23" spans="2:94" hidden="1" outlineLevel="1" x14ac:dyDescent="0.2">
      <c r="G23" s="62"/>
      <c r="AA23" s="130"/>
      <c r="AC23" s="124"/>
      <c r="AD23" s="124"/>
      <c r="AE23" s="124"/>
      <c r="AH23" s="125"/>
      <c r="AI23" s="125"/>
      <c r="AJ23" s="125"/>
      <c r="AK23" s="125"/>
      <c r="AO23" s="127"/>
      <c r="AR23" s="124"/>
      <c r="AS23" s="124"/>
      <c r="AT23" s="124"/>
      <c r="BB23" s="124"/>
      <c r="BC23" s="124"/>
      <c r="BK23" s="154"/>
      <c r="BP23" s="154"/>
      <c r="BQ23" s="154"/>
      <c r="BS23" s="167"/>
      <c r="BT23" s="167"/>
      <c r="BU23" s="85"/>
      <c r="BV23" s="85"/>
      <c r="BW23" s="85"/>
      <c r="BX23" s="100"/>
      <c r="BY23" s="85"/>
      <c r="BZ23" s="86"/>
      <c r="CA23" s="85"/>
      <c r="CB23" s="95"/>
      <c r="CC23" s="85"/>
      <c r="CD23" s="85"/>
      <c r="CE23" s="85"/>
      <c r="CF23" s="107"/>
      <c r="CG23" s="85"/>
      <c r="CH23" s="85"/>
      <c r="CI23" s="85"/>
      <c r="CJ23" s="85"/>
      <c r="CK23" s="85"/>
      <c r="CL23" s="85"/>
      <c r="CM23" s="84"/>
      <c r="CN23" s="85"/>
      <c r="CO23" s="107"/>
      <c r="CP23" s="107"/>
    </row>
    <row r="24" spans="2:94" collapsed="1" x14ac:dyDescent="0.2">
      <c r="B24" s="72" t="s">
        <v>1471</v>
      </c>
      <c r="C24" s="57" t="s">
        <v>1387</v>
      </c>
      <c r="D24" s="57" t="s">
        <v>1440</v>
      </c>
      <c r="E24" s="65" t="s">
        <v>1389</v>
      </c>
      <c r="F24" s="57" t="s">
        <v>1454</v>
      </c>
      <c r="G24" s="62" t="s">
        <v>1556</v>
      </c>
      <c r="H24" s="128" t="b">
        <v>1</v>
      </c>
      <c r="I24" s="122" t="s">
        <v>1865</v>
      </c>
      <c r="N24" s="124">
        <v>21</v>
      </c>
      <c r="O24" s="124">
        <v>0.8</v>
      </c>
      <c r="P24" s="124">
        <v>5</v>
      </c>
      <c r="Q24" s="128" t="b">
        <v>1</v>
      </c>
      <c r="R24" s="127" t="s">
        <v>1559</v>
      </c>
      <c r="T24" s="126">
        <v>13</v>
      </c>
      <c r="U24" s="124">
        <v>1.4999999999999999E-2</v>
      </c>
      <c r="V24" s="126">
        <v>75</v>
      </c>
      <c r="W24" s="126">
        <v>-75</v>
      </c>
      <c r="X24" s="124">
        <v>50</v>
      </c>
      <c r="Y24" s="124">
        <v>5</v>
      </c>
      <c r="Z24" s="128" t="b">
        <v>1</v>
      </c>
      <c r="AA24" s="127" t="s">
        <v>1867</v>
      </c>
      <c r="AB24" s="122">
        <v>3</v>
      </c>
      <c r="AC24" s="146"/>
      <c r="AD24" s="124">
        <v>20</v>
      </c>
      <c r="AE24" s="124"/>
      <c r="AF24" s="124">
        <v>5.0000000000000001E-4</v>
      </c>
      <c r="AG24" s="135" t="b">
        <v>1</v>
      </c>
      <c r="AH24" s="125">
        <v>5</v>
      </c>
      <c r="AI24" s="125">
        <v>13</v>
      </c>
      <c r="AJ24" s="125">
        <v>34</v>
      </c>
      <c r="AK24" s="125">
        <v>89</v>
      </c>
      <c r="AL24" s="129" t="b">
        <v>0</v>
      </c>
      <c r="AM24" s="128" t="b">
        <v>1</v>
      </c>
      <c r="AN24" s="127" t="s">
        <v>1468</v>
      </c>
      <c r="AO24" s="127">
        <v>1E-4</v>
      </c>
      <c r="AP24" s="128" t="b">
        <v>1</v>
      </c>
      <c r="AQ24" s="127">
        <v>1E-3</v>
      </c>
      <c r="AR24" s="126">
        <v>5</v>
      </c>
      <c r="AS24" s="126">
        <v>8</v>
      </c>
      <c r="AT24" s="126">
        <v>5</v>
      </c>
      <c r="AU24" s="128" t="b">
        <v>1</v>
      </c>
      <c r="AY24" s="128" t="b">
        <v>1</v>
      </c>
      <c r="AZ24" s="122" t="s">
        <v>1576</v>
      </c>
      <c r="BA24" s="122">
        <v>4</v>
      </c>
      <c r="BB24" s="126">
        <v>0.05</v>
      </c>
      <c r="BC24" s="126">
        <v>0.5</v>
      </c>
      <c r="BD24" s="129" t="b">
        <v>0</v>
      </c>
      <c r="BE24" s="122" t="s">
        <v>1578</v>
      </c>
      <c r="BF24" s="128" t="b">
        <v>1</v>
      </c>
      <c r="BG24" s="122" t="s">
        <v>1578</v>
      </c>
      <c r="BH24" s="122">
        <v>0.01</v>
      </c>
      <c r="BI24" s="156" t="s">
        <v>403</v>
      </c>
      <c r="BJ24" s="128" t="b">
        <v>1</v>
      </c>
      <c r="BK24" s="157">
        <v>2</v>
      </c>
      <c r="BL24" s="128" t="b">
        <v>1</v>
      </c>
      <c r="BM24" s="156" t="s">
        <v>412</v>
      </c>
      <c r="BN24" s="129" t="b">
        <v>0</v>
      </c>
      <c r="BO24" s="156" t="s">
        <v>1382</v>
      </c>
      <c r="BP24" s="157"/>
      <c r="BQ24" s="157"/>
      <c r="BR24" s="166" t="str">
        <f t="shared" si="6"/>
        <v>5/ 13/ 34/ 89</v>
      </c>
      <c r="BS24" s="166" t="str">
        <f>AR24&amp;" / "&amp;AS24&amp;" / "&amp;AT24</f>
        <v>5 / 8 / 5</v>
      </c>
      <c r="BT24" s="166" t="str">
        <f>BB24&amp;" / "&amp;BC24</f>
        <v>0.05 / 0.5</v>
      </c>
      <c r="BU24" s="66">
        <v>254</v>
      </c>
      <c r="BV24" s="66">
        <v>160</v>
      </c>
      <c r="BW24" s="66">
        <v>145</v>
      </c>
      <c r="BX24" s="99">
        <f>BV24-BW24</f>
        <v>15</v>
      </c>
      <c r="BY24" s="66">
        <v>17</v>
      </c>
      <c r="BZ24" s="92">
        <f>BU24-SUM(BW24:BY24)</f>
        <v>77</v>
      </c>
      <c r="CA24" s="204">
        <f>IF(BU24=0,0,BV24/BU24)</f>
        <v>0.62992125984251968</v>
      </c>
      <c r="CB24" s="205">
        <f>IF(BU24=0,0,BY24/BU24)</f>
        <v>6.6929133858267723E-2</v>
      </c>
      <c r="CC24" s="87">
        <v>6.1</v>
      </c>
      <c r="CD24" s="87">
        <v>15.62</v>
      </c>
      <c r="CE24" s="87">
        <v>0.49</v>
      </c>
      <c r="CF24" s="170">
        <f>BK24</f>
        <v>2</v>
      </c>
      <c r="CG24" s="87">
        <v>0.6</v>
      </c>
      <c r="CH24" s="87">
        <v>0.41</v>
      </c>
      <c r="CI24" s="93">
        <v>3248.5</v>
      </c>
      <c r="CJ24" s="93"/>
      <c r="CK24" s="93"/>
      <c r="CL24" s="87">
        <v>-3.68</v>
      </c>
      <c r="CM24" s="66">
        <v>1000</v>
      </c>
      <c r="CN24" s="93">
        <v>3968.13</v>
      </c>
      <c r="CO24" s="108">
        <f>CM24+CN24</f>
        <v>4968.13</v>
      </c>
      <c r="CP24" s="108">
        <f>CN24/10</f>
        <v>396.81299999999999</v>
      </c>
    </row>
    <row r="25" spans="2:94" hidden="1" outlineLevel="1" x14ac:dyDescent="0.2">
      <c r="B25" s="72" t="s">
        <v>1472</v>
      </c>
      <c r="C25" s="57" t="s">
        <v>1387</v>
      </c>
      <c r="D25" s="57" t="s">
        <v>1440</v>
      </c>
      <c r="E25" s="65" t="s">
        <v>1389</v>
      </c>
      <c r="F25" s="57" t="s">
        <v>1454</v>
      </c>
      <c r="G25" s="62" t="s">
        <v>1556</v>
      </c>
      <c r="H25" s="128" t="b">
        <v>1</v>
      </c>
      <c r="I25" s="122" t="s">
        <v>1865</v>
      </c>
      <c r="N25" s="124">
        <v>21</v>
      </c>
      <c r="O25" s="124">
        <v>0.8</v>
      </c>
      <c r="P25" s="124">
        <v>5</v>
      </c>
      <c r="Q25" s="128" t="b">
        <v>1</v>
      </c>
      <c r="R25" s="127" t="s">
        <v>1559</v>
      </c>
      <c r="T25" s="126">
        <v>13</v>
      </c>
      <c r="U25" s="124">
        <v>1.4999999999999999E-2</v>
      </c>
      <c r="V25" s="126">
        <v>75</v>
      </c>
      <c r="W25" s="126">
        <v>-75</v>
      </c>
      <c r="X25" s="124">
        <v>50</v>
      </c>
      <c r="Y25" s="124">
        <v>5</v>
      </c>
      <c r="Z25" s="128" t="b">
        <v>1</v>
      </c>
      <c r="AA25" s="127" t="s">
        <v>1867</v>
      </c>
      <c r="AB25" s="122">
        <v>3</v>
      </c>
      <c r="AC25" s="146"/>
      <c r="AD25" s="124">
        <v>20</v>
      </c>
      <c r="AE25" s="124"/>
      <c r="AF25" s="124">
        <v>5.0000000000000001E-4</v>
      </c>
      <c r="AG25" s="135" t="b">
        <v>1</v>
      </c>
      <c r="AH25" s="125">
        <v>5</v>
      </c>
      <c r="AI25" s="125">
        <v>13</v>
      </c>
      <c r="AJ25" s="125">
        <v>34</v>
      </c>
      <c r="AK25" s="125">
        <v>89</v>
      </c>
      <c r="AL25" s="129" t="b">
        <v>0</v>
      </c>
      <c r="AM25" s="128" t="b">
        <v>1</v>
      </c>
      <c r="AN25" s="131" t="s">
        <v>1469</v>
      </c>
      <c r="AO25" s="127">
        <v>1E-4</v>
      </c>
      <c r="AP25" s="128" t="b">
        <v>1</v>
      </c>
      <c r="AQ25" s="127">
        <v>1E-3</v>
      </c>
      <c r="AR25" s="126">
        <v>5</v>
      </c>
      <c r="AS25" s="126">
        <v>8</v>
      </c>
      <c r="AT25" s="126">
        <v>5</v>
      </c>
      <c r="AU25" s="128" t="b">
        <v>1</v>
      </c>
      <c r="AY25" s="128" t="b">
        <v>1</v>
      </c>
      <c r="AZ25" s="122" t="s">
        <v>1576</v>
      </c>
      <c r="BA25" s="122">
        <v>4</v>
      </c>
      <c r="BB25" s="126">
        <v>0.05</v>
      </c>
      <c r="BC25" s="126">
        <v>0.5</v>
      </c>
      <c r="BD25" s="129" t="b">
        <v>0</v>
      </c>
      <c r="BE25" s="122" t="s">
        <v>1578</v>
      </c>
      <c r="BF25" s="128" t="b">
        <v>1</v>
      </c>
      <c r="BG25" s="122" t="s">
        <v>1578</v>
      </c>
      <c r="BH25" s="122">
        <v>0.01</v>
      </c>
      <c r="BI25" s="156" t="s">
        <v>403</v>
      </c>
      <c r="BJ25" s="128" t="b">
        <v>1</v>
      </c>
      <c r="BK25" s="157">
        <v>2</v>
      </c>
      <c r="BL25" s="128" t="b">
        <v>1</v>
      </c>
      <c r="BM25" s="156" t="s">
        <v>412</v>
      </c>
      <c r="BN25" s="129" t="b">
        <v>0</v>
      </c>
      <c r="BO25" s="156" t="s">
        <v>1382</v>
      </c>
      <c r="BP25" s="157"/>
      <c r="BQ25" s="157"/>
      <c r="BR25" s="166" t="str">
        <f t="shared" si="6"/>
        <v>5/ 13/ 34/ 89</v>
      </c>
      <c r="BS25" s="166" t="str">
        <f>AR25&amp;" / "&amp;AS25&amp;" / "&amp;AT25</f>
        <v>5 / 8 / 5</v>
      </c>
      <c r="BT25" s="166" t="str">
        <f>BB25&amp;" / "&amp;BC25</f>
        <v>0.05 / 0.5</v>
      </c>
      <c r="BU25" s="66">
        <v>285</v>
      </c>
      <c r="BV25" s="66">
        <v>180</v>
      </c>
      <c r="BW25" s="66">
        <v>162</v>
      </c>
      <c r="BX25" s="99">
        <f>BV25-BW25</f>
        <v>18</v>
      </c>
      <c r="BY25" s="66">
        <v>15</v>
      </c>
      <c r="BZ25" s="92">
        <f t="shared" ref="BZ25:BZ27" si="22">BU25-SUM(BW25:BY25)</f>
        <v>90</v>
      </c>
      <c r="CA25" s="204">
        <f t="shared" ref="CA25:CA26" si="23">IF(BU25=0,0,BV25/BU25)</f>
        <v>0.63157894736842102</v>
      </c>
      <c r="CB25" s="205">
        <f t="shared" ref="CB25:CB26" si="24">IF(BU25=0,0,BY25/BU25)</f>
        <v>5.2631578947368418E-2</v>
      </c>
      <c r="CC25" s="87">
        <v>7.06</v>
      </c>
      <c r="CD25" s="87">
        <v>20.96</v>
      </c>
      <c r="CE25" s="87">
        <v>0.5</v>
      </c>
      <c r="CF25" s="170">
        <f>BK25</f>
        <v>2</v>
      </c>
      <c r="CG25" s="87">
        <v>0.62</v>
      </c>
      <c r="CH25" s="87">
        <v>0.45</v>
      </c>
      <c r="CI25" s="93">
        <v>3504.2</v>
      </c>
      <c r="CJ25" s="93"/>
      <c r="CK25" s="93"/>
      <c r="CL25" s="87">
        <v>-2.65</v>
      </c>
      <c r="CM25" s="66">
        <v>1000</v>
      </c>
      <c r="CN25" s="102">
        <v>5973.53</v>
      </c>
      <c r="CO25" s="110">
        <f>CM25+CN25</f>
        <v>6973.53</v>
      </c>
      <c r="CP25" s="110">
        <f>CN25/10</f>
        <v>597.35299999999995</v>
      </c>
    </row>
    <row r="26" spans="2:94" hidden="1" outlineLevel="1" x14ac:dyDescent="0.2">
      <c r="B26" s="72" t="s">
        <v>1473</v>
      </c>
      <c r="C26" s="57" t="s">
        <v>1387</v>
      </c>
      <c r="D26" s="57" t="s">
        <v>1440</v>
      </c>
      <c r="E26" s="65" t="s">
        <v>1389</v>
      </c>
      <c r="F26" s="57" t="s">
        <v>1454</v>
      </c>
      <c r="G26" s="62" t="s">
        <v>1556</v>
      </c>
      <c r="H26" s="128" t="b">
        <v>1</v>
      </c>
      <c r="I26" s="122" t="s">
        <v>1865</v>
      </c>
      <c r="N26" s="124">
        <v>21</v>
      </c>
      <c r="O26" s="124">
        <v>0.8</v>
      </c>
      <c r="P26" s="124">
        <v>5</v>
      </c>
      <c r="Q26" s="128" t="b">
        <v>1</v>
      </c>
      <c r="R26" s="127" t="s">
        <v>1559</v>
      </c>
      <c r="T26" s="126">
        <v>13</v>
      </c>
      <c r="U26" s="124">
        <v>1.4999999999999999E-2</v>
      </c>
      <c r="V26" s="126">
        <v>75</v>
      </c>
      <c r="W26" s="126">
        <v>-75</v>
      </c>
      <c r="X26" s="124">
        <v>50</v>
      </c>
      <c r="Y26" s="124">
        <v>5</v>
      </c>
      <c r="Z26" s="128" t="b">
        <v>1</v>
      </c>
      <c r="AA26" s="127" t="s">
        <v>1867</v>
      </c>
      <c r="AB26" s="122">
        <v>3</v>
      </c>
      <c r="AC26" s="146"/>
      <c r="AD26" s="124">
        <v>20</v>
      </c>
      <c r="AE26" s="124"/>
      <c r="AF26" s="124">
        <v>5.0000000000000001E-4</v>
      </c>
      <c r="AG26" s="135" t="b">
        <v>1</v>
      </c>
      <c r="AH26" s="125">
        <v>5</v>
      </c>
      <c r="AI26" s="125">
        <v>13</v>
      </c>
      <c r="AJ26" s="125">
        <v>34</v>
      </c>
      <c r="AK26" s="125">
        <v>89</v>
      </c>
      <c r="AL26" s="129" t="b">
        <v>0</v>
      </c>
      <c r="AM26" s="128" t="b">
        <v>1</v>
      </c>
      <c r="AN26" s="127" t="s">
        <v>1470</v>
      </c>
      <c r="AO26" s="127">
        <v>1E-4</v>
      </c>
      <c r="AP26" s="128" t="b">
        <v>1</v>
      </c>
      <c r="AQ26" s="127">
        <v>1E-3</v>
      </c>
      <c r="AR26" s="126">
        <v>5</v>
      </c>
      <c r="AS26" s="126">
        <v>8</v>
      </c>
      <c r="AT26" s="126">
        <v>5</v>
      </c>
      <c r="AU26" s="128" t="b">
        <v>1</v>
      </c>
      <c r="AY26" s="128" t="b">
        <v>1</v>
      </c>
      <c r="AZ26" s="122" t="s">
        <v>1576</v>
      </c>
      <c r="BA26" s="122">
        <v>4</v>
      </c>
      <c r="BB26" s="126">
        <v>0.05</v>
      </c>
      <c r="BC26" s="126">
        <v>0.5</v>
      </c>
      <c r="BD26" s="129" t="b">
        <v>0</v>
      </c>
      <c r="BE26" s="122" t="s">
        <v>1578</v>
      </c>
      <c r="BF26" s="128" t="b">
        <v>1</v>
      </c>
      <c r="BG26" s="122" t="s">
        <v>1578</v>
      </c>
      <c r="BH26" s="122">
        <v>0.01</v>
      </c>
      <c r="BI26" s="156" t="s">
        <v>403</v>
      </c>
      <c r="BJ26" s="128" t="b">
        <v>1</v>
      </c>
      <c r="BK26" s="157">
        <v>2</v>
      </c>
      <c r="BL26" s="128" t="b">
        <v>1</v>
      </c>
      <c r="BM26" s="156" t="s">
        <v>412</v>
      </c>
      <c r="BN26" s="129" t="b">
        <v>0</v>
      </c>
      <c r="BO26" s="156" t="s">
        <v>1382</v>
      </c>
      <c r="BP26" s="157"/>
      <c r="BQ26" s="157"/>
      <c r="BR26" s="166" t="str">
        <f t="shared" si="6"/>
        <v>5/ 13/ 34/ 89</v>
      </c>
      <c r="BS26" s="166" t="str">
        <f>AR26&amp;" / "&amp;AS26&amp;" / "&amp;AT26</f>
        <v>5 / 8 / 5</v>
      </c>
      <c r="BT26" s="166" t="str">
        <f>BB26&amp;" / "&amp;BC26</f>
        <v>0.05 / 0.5</v>
      </c>
      <c r="BU26" s="66">
        <v>254</v>
      </c>
      <c r="BV26" s="66">
        <v>160</v>
      </c>
      <c r="BW26" s="66">
        <v>145</v>
      </c>
      <c r="BX26" s="99">
        <f>BV26-BW26</f>
        <v>15</v>
      </c>
      <c r="BY26" s="66">
        <v>17</v>
      </c>
      <c r="BZ26" s="92">
        <f t="shared" si="22"/>
        <v>77</v>
      </c>
      <c r="CA26" s="204">
        <f t="shared" si="23"/>
        <v>0.62992125984251968</v>
      </c>
      <c r="CB26" s="205">
        <f t="shared" si="24"/>
        <v>6.6929133858267723E-2</v>
      </c>
      <c r="CC26" s="87">
        <v>6.1</v>
      </c>
      <c r="CD26" s="87">
        <v>6.1</v>
      </c>
      <c r="CE26" s="87">
        <v>0.49</v>
      </c>
      <c r="CF26" s="170">
        <f>BK26</f>
        <v>2</v>
      </c>
      <c r="CG26" s="87">
        <v>0.6</v>
      </c>
      <c r="CH26" s="66">
        <v>0.41</v>
      </c>
      <c r="CI26" s="93">
        <v>3248.5</v>
      </c>
      <c r="CJ26" s="93"/>
      <c r="CK26" s="93"/>
      <c r="CL26" s="87">
        <v>-3.68</v>
      </c>
      <c r="CM26" s="66">
        <v>1000</v>
      </c>
      <c r="CN26" s="93">
        <v>3968.13</v>
      </c>
      <c r="CO26" s="108">
        <f>CM26+CN26</f>
        <v>4968.13</v>
      </c>
      <c r="CP26" s="108">
        <f>CN26/10</f>
        <v>396.81299999999999</v>
      </c>
    </row>
    <row r="27" spans="2:94" hidden="1" outlineLevel="1" x14ac:dyDescent="0.2">
      <c r="B27" s="72" t="s">
        <v>1474</v>
      </c>
      <c r="C27" s="57" t="s">
        <v>1387</v>
      </c>
      <c r="D27" s="57" t="s">
        <v>1440</v>
      </c>
      <c r="E27" s="65" t="s">
        <v>1389</v>
      </c>
      <c r="F27" s="57" t="s">
        <v>1454</v>
      </c>
      <c r="G27" s="62" t="s">
        <v>1556</v>
      </c>
      <c r="H27" s="128" t="b">
        <v>1</v>
      </c>
      <c r="I27" s="122" t="s">
        <v>1865</v>
      </c>
      <c r="N27" s="124">
        <v>21</v>
      </c>
      <c r="O27" s="124">
        <v>0.8</v>
      </c>
      <c r="P27" s="124">
        <v>5</v>
      </c>
      <c r="Q27" s="128" t="b">
        <v>1</v>
      </c>
      <c r="R27" s="127" t="s">
        <v>1559</v>
      </c>
      <c r="T27" s="126">
        <v>13</v>
      </c>
      <c r="U27" s="124">
        <v>1.4999999999999999E-2</v>
      </c>
      <c r="V27" s="126">
        <v>75</v>
      </c>
      <c r="W27" s="126">
        <v>-75</v>
      </c>
      <c r="X27" s="124">
        <v>50</v>
      </c>
      <c r="Y27" s="124">
        <v>5</v>
      </c>
      <c r="Z27" s="128" t="b">
        <v>1</v>
      </c>
      <c r="AA27" s="127" t="s">
        <v>1867</v>
      </c>
      <c r="AB27" s="122">
        <v>3</v>
      </c>
      <c r="AC27" s="146"/>
      <c r="AD27" s="124">
        <v>20</v>
      </c>
      <c r="AE27" s="124"/>
      <c r="AF27" s="124">
        <v>5.0000000000000001E-4</v>
      </c>
      <c r="AG27" s="135" t="b">
        <v>1</v>
      </c>
      <c r="AH27" s="125">
        <v>5</v>
      </c>
      <c r="AI27" s="125">
        <v>13</v>
      </c>
      <c r="AJ27" s="125">
        <v>34</v>
      </c>
      <c r="AK27" s="125">
        <v>89</v>
      </c>
      <c r="AL27" s="129" t="b">
        <v>0</v>
      </c>
      <c r="AM27" s="128" t="b">
        <v>1</v>
      </c>
      <c r="AN27" s="131" t="s">
        <v>1469</v>
      </c>
      <c r="AO27" s="127">
        <v>1E-4</v>
      </c>
      <c r="AP27" s="128" t="b">
        <v>1</v>
      </c>
      <c r="AQ27" s="127">
        <v>1E-3</v>
      </c>
      <c r="AR27" s="126">
        <v>5</v>
      </c>
      <c r="AS27" s="126">
        <v>8</v>
      </c>
      <c r="AT27" s="126">
        <v>5</v>
      </c>
      <c r="AU27" s="128" t="b">
        <v>1</v>
      </c>
      <c r="AY27" s="128" t="b">
        <v>1</v>
      </c>
      <c r="AZ27" s="122" t="s">
        <v>1576</v>
      </c>
      <c r="BA27" s="122">
        <v>4</v>
      </c>
      <c r="BB27" s="153">
        <v>0.02</v>
      </c>
      <c r="BC27" s="153">
        <v>0.2</v>
      </c>
      <c r="BD27" s="129" t="b">
        <v>0</v>
      </c>
      <c r="BE27" s="122" t="s">
        <v>1578</v>
      </c>
      <c r="BF27" s="128" t="b">
        <v>1</v>
      </c>
      <c r="BG27" s="122" t="s">
        <v>1578</v>
      </c>
      <c r="BH27" s="122">
        <v>0.01</v>
      </c>
      <c r="BI27" s="156" t="s">
        <v>403</v>
      </c>
      <c r="BJ27" s="128" t="b">
        <v>1</v>
      </c>
      <c r="BK27" s="157">
        <v>2</v>
      </c>
      <c r="BL27" s="128" t="b">
        <v>1</v>
      </c>
      <c r="BM27" s="156" t="s">
        <v>412</v>
      </c>
      <c r="BN27" s="129" t="b">
        <v>0</v>
      </c>
      <c r="BO27" s="156" t="s">
        <v>1382</v>
      </c>
      <c r="BP27" s="157"/>
      <c r="BQ27" s="157"/>
      <c r="BR27" s="166" t="str">
        <f t="shared" si="6"/>
        <v>5/ 13/ 34/ 89</v>
      </c>
      <c r="BS27" s="166" t="str">
        <f>AR27&amp;" / "&amp;AS27&amp;" / "&amp;AT27</f>
        <v>5 / 8 / 5</v>
      </c>
      <c r="BT27" s="168" t="str">
        <f>BB27&amp;" / "&amp;BC27</f>
        <v>0.02 / 0.2</v>
      </c>
      <c r="BU27" s="66">
        <v>217</v>
      </c>
      <c r="BV27" s="66">
        <v>140</v>
      </c>
      <c r="BW27" s="66">
        <v>133</v>
      </c>
      <c r="BX27" s="99">
        <f>BV27-BW27</f>
        <v>7</v>
      </c>
      <c r="BY27" s="90">
        <v>4</v>
      </c>
      <c r="BZ27" s="92">
        <f t="shared" si="22"/>
        <v>73</v>
      </c>
      <c r="CA27" s="204">
        <f>IF(BU27=0,0,BV27/BU27)</f>
        <v>0.64516129032258063</v>
      </c>
      <c r="CB27" s="205">
        <f>IF(BU27=0,0,BY27/BU27)</f>
        <v>1.8433179723502304E-2</v>
      </c>
      <c r="CC27" s="94">
        <v>25.07</v>
      </c>
      <c r="CD27" s="87">
        <v>11.92</v>
      </c>
      <c r="CE27" s="94">
        <v>0.62</v>
      </c>
      <c r="CF27" s="170">
        <f>BK27</f>
        <v>2</v>
      </c>
      <c r="CG27" s="87">
        <v>0.48</v>
      </c>
      <c r="CH27" s="66">
        <v>0.32</v>
      </c>
      <c r="CI27" s="93">
        <v>2935.9</v>
      </c>
      <c r="CJ27" s="93"/>
      <c r="CK27" s="93"/>
      <c r="CL27" s="87">
        <v>-2</v>
      </c>
      <c r="CM27" s="66">
        <v>1000</v>
      </c>
      <c r="CN27" s="101">
        <v>2586.17</v>
      </c>
      <c r="CO27" s="109">
        <f>CM27+CN27</f>
        <v>3586.17</v>
      </c>
      <c r="CP27" s="109">
        <f>CN27/10</f>
        <v>258.61700000000002</v>
      </c>
    </row>
    <row r="28" spans="2:94" hidden="1" outlineLevel="1" x14ac:dyDescent="0.2">
      <c r="G28" s="62"/>
      <c r="AC28" s="124"/>
      <c r="AD28" s="124"/>
      <c r="AE28" s="124"/>
      <c r="AH28" s="125"/>
      <c r="AI28" s="125"/>
      <c r="AJ28" s="125"/>
      <c r="AK28" s="125"/>
      <c r="AO28" s="127"/>
      <c r="AR28" s="124"/>
      <c r="AS28" s="124"/>
      <c r="AT28" s="124"/>
      <c r="BB28" s="124"/>
      <c r="BC28" s="124"/>
      <c r="BK28" s="154"/>
      <c r="BP28" s="154"/>
      <c r="BQ28" s="154"/>
      <c r="BS28" s="167"/>
      <c r="BT28" s="167"/>
      <c r="BU28" s="85"/>
      <c r="BV28" s="85"/>
      <c r="BW28" s="85"/>
      <c r="BX28" s="100"/>
      <c r="BY28" s="85"/>
      <c r="BZ28" s="86"/>
      <c r="CA28" s="85"/>
      <c r="CB28" s="95"/>
      <c r="CC28" s="85"/>
      <c r="CD28" s="85"/>
      <c r="CE28" s="85"/>
      <c r="CF28" s="107"/>
      <c r="CG28" s="85"/>
      <c r="CH28" s="85"/>
      <c r="CI28" s="85"/>
      <c r="CJ28" s="85"/>
      <c r="CK28" s="85"/>
      <c r="CL28" s="85"/>
      <c r="CM28" s="84"/>
      <c r="CN28" s="85"/>
      <c r="CO28" s="107"/>
      <c r="CP28" s="107"/>
    </row>
    <row r="29" spans="2:94" collapsed="1" x14ac:dyDescent="0.2">
      <c r="B29" s="72" t="s">
        <v>1475</v>
      </c>
      <c r="C29" s="57" t="s">
        <v>1387</v>
      </c>
      <c r="D29" s="57" t="s">
        <v>1440</v>
      </c>
      <c r="E29" s="65" t="s">
        <v>1389</v>
      </c>
      <c r="F29" s="57" t="s">
        <v>1454</v>
      </c>
      <c r="G29" s="62" t="s">
        <v>1556</v>
      </c>
      <c r="H29" s="128" t="b">
        <v>1</v>
      </c>
      <c r="I29" s="122" t="s">
        <v>1865</v>
      </c>
      <c r="N29" s="124">
        <v>21</v>
      </c>
      <c r="O29" s="124">
        <v>0.8</v>
      </c>
      <c r="P29" s="124">
        <v>5</v>
      </c>
      <c r="Q29" s="128" t="b">
        <v>1</v>
      </c>
      <c r="R29" s="127" t="s">
        <v>1559</v>
      </c>
      <c r="T29" s="126">
        <v>13</v>
      </c>
      <c r="U29" s="124">
        <v>1.4999999999999999E-2</v>
      </c>
      <c r="V29" s="126">
        <v>75</v>
      </c>
      <c r="W29" s="126">
        <v>-75</v>
      </c>
      <c r="X29" s="124">
        <v>50</v>
      </c>
      <c r="Y29" s="124">
        <v>5</v>
      </c>
      <c r="Z29" s="128" t="b">
        <v>1</v>
      </c>
      <c r="AA29" s="127" t="s">
        <v>1867</v>
      </c>
      <c r="AB29" s="122">
        <v>3</v>
      </c>
      <c r="AC29" s="146"/>
      <c r="AD29" s="124">
        <v>20</v>
      </c>
      <c r="AE29" s="124"/>
      <c r="AF29" s="124">
        <v>5.0000000000000001E-4</v>
      </c>
      <c r="AG29" s="135" t="b">
        <v>1</v>
      </c>
      <c r="AH29" s="125">
        <v>5</v>
      </c>
      <c r="AI29" s="125">
        <v>13</v>
      </c>
      <c r="AJ29" s="125">
        <v>34</v>
      </c>
      <c r="AK29" s="125">
        <v>89</v>
      </c>
      <c r="AL29" s="129" t="b">
        <v>0</v>
      </c>
      <c r="AM29" s="128" t="b">
        <v>1</v>
      </c>
      <c r="AN29" s="131" t="s">
        <v>1469</v>
      </c>
      <c r="AO29" s="127">
        <v>1E-4</v>
      </c>
      <c r="AP29" s="128" t="b">
        <v>1</v>
      </c>
      <c r="AQ29" s="127">
        <v>1E-3</v>
      </c>
      <c r="AR29" s="126">
        <v>5</v>
      </c>
      <c r="AS29" s="126">
        <v>8</v>
      </c>
      <c r="AT29" s="126">
        <v>5</v>
      </c>
      <c r="AU29" s="128" t="b">
        <v>1</v>
      </c>
      <c r="AV29" s="124">
        <v>3</v>
      </c>
      <c r="AW29" s="146">
        <v>5</v>
      </c>
      <c r="AX29" s="124">
        <v>1</v>
      </c>
      <c r="AY29" s="128" t="b">
        <v>1</v>
      </c>
      <c r="AZ29" s="122" t="s">
        <v>1576</v>
      </c>
      <c r="BA29" s="122">
        <v>4</v>
      </c>
      <c r="BB29" s="126">
        <v>0.05</v>
      </c>
      <c r="BC29" s="126">
        <v>0.5</v>
      </c>
      <c r="BD29" s="129" t="b">
        <v>0</v>
      </c>
      <c r="BE29" s="122" t="s">
        <v>1873</v>
      </c>
      <c r="BF29" s="128" t="b">
        <v>1</v>
      </c>
      <c r="BG29" s="122" t="s">
        <v>1578</v>
      </c>
      <c r="BH29" s="122">
        <v>0.01</v>
      </c>
      <c r="BI29" s="156" t="s">
        <v>403</v>
      </c>
      <c r="BJ29" s="128" t="b">
        <v>1</v>
      </c>
      <c r="BK29" s="157">
        <v>2</v>
      </c>
      <c r="BL29" s="128" t="b">
        <v>1</v>
      </c>
      <c r="BM29" s="156" t="s">
        <v>412</v>
      </c>
      <c r="BN29" s="129" t="b">
        <v>0</v>
      </c>
      <c r="BO29" s="156" t="s">
        <v>1382</v>
      </c>
      <c r="BP29" s="157"/>
      <c r="BQ29" s="157"/>
      <c r="BR29" s="166" t="str">
        <f>AH29&amp;"/ "&amp;AI29&amp;"/ "&amp;AJ29&amp;"/ "&amp;AK29</f>
        <v>5/ 13/ 34/ 89</v>
      </c>
      <c r="BS29" s="166" t="str">
        <f t="shared" ref="BS29:BS34" si="25">AR29&amp;" / "&amp;AS29&amp;" / "&amp;AT29</f>
        <v>5 / 8 / 5</v>
      </c>
      <c r="BT29" s="166" t="str">
        <f t="shared" ref="BT29:BT34" si="26">BB29&amp;" / "&amp;BC29</f>
        <v>0.05 / 0.5</v>
      </c>
      <c r="BU29" s="66">
        <v>285</v>
      </c>
      <c r="BV29" s="66">
        <v>180</v>
      </c>
      <c r="BW29" s="66">
        <v>162</v>
      </c>
      <c r="BX29" s="99">
        <f t="shared" ref="BX29:BX34" si="27">BV29-BW29</f>
        <v>18</v>
      </c>
      <c r="BY29" s="66">
        <v>15</v>
      </c>
      <c r="BZ29" s="92">
        <f>BU29-SUM(BW29:BY29)</f>
        <v>90</v>
      </c>
      <c r="CA29" s="204">
        <f>IF(BU29=0,0,BV29/BU29)</f>
        <v>0.63157894736842102</v>
      </c>
      <c r="CB29" s="205">
        <f>IF(BU29=0,0,BY29/BU29)</f>
        <v>5.2631578947368418E-2</v>
      </c>
      <c r="CC29" s="87">
        <v>7.06</v>
      </c>
      <c r="CD29" s="87">
        <v>20.96</v>
      </c>
      <c r="CE29" s="87">
        <v>0.5</v>
      </c>
      <c r="CF29" s="170">
        <f t="shared" ref="CF29:CF34" si="28">BK29</f>
        <v>2</v>
      </c>
      <c r="CG29" s="87">
        <v>0.62</v>
      </c>
      <c r="CH29" s="87">
        <v>0.45</v>
      </c>
      <c r="CI29" s="93">
        <v>3504.2</v>
      </c>
      <c r="CJ29" s="93"/>
      <c r="CK29" s="93"/>
      <c r="CL29" s="87">
        <v>-2.65</v>
      </c>
      <c r="CM29" s="66">
        <v>1000</v>
      </c>
      <c r="CN29" s="93">
        <v>5973.53</v>
      </c>
      <c r="CO29" s="108">
        <f t="shared" ref="CO29:CO34" si="29">CM29+CN29</f>
        <v>6973.53</v>
      </c>
      <c r="CP29" s="108">
        <f t="shared" ref="CP29:CP34" si="30">CN29/10</f>
        <v>597.35299999999995</v>
      </c>
    </row>
    <row r="30" spans="2:94" hidden="1" outlineLevel="1" x14ac:dyDescent="0.2">
      <c r="B30" s="72" t="s">
        <v>1476</v>
      </c>
      <c r="C30" s="57" t="s">
        <v>1387</v>
      </c>
      <c r="D30" s="57" t="s">
        <v>1440</v>
      </c>
      <c r="E30" s="65" t="s">
        <v>1389</v>
      </c>
      <c r="F30" s="57" t="s">
        <v>1454</v>
      </c>
      <c r="G30" s="62" t="s">
        <v>1556</v>
      </c>
      <c r="H30" s="128" t="b">
        <v>1</v>
      </c>
      <c r="I30" s="122" t="s">
        <v>1865</v>
      </c>
      <c r="N30" s="124">
        <v>21</v>
      </c>
      <c r="O30" s="124">
        <v>0.8</v>
      </c>
      <c r="P30" s="124">
        <v>5</v>
      </c>
      <c r="Q30" s="128" t="b">
        <v>1</v>
      </c>
      <c r="R30" s="127" t="s">
        <v>1559</v>
      </c>
      <c r="T30" s="126">
        <v>13</v>
      </c>
      <c r="U30" s="124">
        <v>1.4999999999999999E-2</v>
      </c>
      <c r="V30" s="126">
        <v>75</v>
      </c>
      <c r="W30" s="126">
        <v>-75</v>
      </c>
      <c r="X30" s="124">
        <v>50</v>
      </c>
      <c r="Y30" s="124">
        <v>5</v>
      </c>
      <c r="Z30" s="128" t="b">
        <v>1</v>
      </c>
      <c r="AA30" s="127" t="s">
        <v>1867</v>
      </c>
      <c r="AB30" s="122">
        <v>3</v>
      </c>
      <c r="AC30" s="146"/>
      <c r="AD30" s="124">
        <v>20</v>
      </c>
      <c r="AE30" s="124"/>
      <c r="AF30" s="124">
        <v>5.0000000000000001E-4</v>
      </c>
      <c r="AG30" s="135" t="b">
        <v>1</v>
      </c>
      <c r="AH30" s="125">
        <v>5</v>
      </c>
      <c r="AI30" s="125">
        <v>13</v>
      </c>
      <c r="AJ30" s="125">
        <v>34</v>
      </c>
      <c r="AK30" s="125">
        <v>89</v>
      </c>
      <c r="AL30" s="129" t="b">
        <v>0</v>
      </c>
      <c r="AM30" s="128" t="b">
        <v>1</v>
      </c>
      <c r="AN30" s="131" t="s">
        <v>1469</v>
      </c>
      <c r="AO30" s="127">
        <v>1E-4</v>
      </c>
      <c r="AP30" s="128" t="b">
        <v>1</v>
      </c>
      <c r="AQ30" s="127">
        <v>1E-3</v>
      </c>
      <c r="AR30" s="135">
        <v>5</v>
      </c>
      <c r="AS30" s="135">
        <v>13</v>
      </c>
      <c r="AT30" s="135">
        <v>8</v>
      </c>
      <c r="AU30" s="128" t="b">
        <v>1</v>
      </c>
      <c r="AV30" s="124">
        <v>3</v>
      </c>
      <c r="AW30" s="146">
        <v>5</v>
      </c>
      <c r="AX30" s="124">
        <v>1</v>
      </c>
      <c r="AY30" s="128" t="b">
        <v>1</v>
      </c>
      <c r="AZ30" s="122" t="s">
        <v>1576</v>
      </c>
      <c r="BA30" s="122">
        <v>4</v>
      </c>
      <c r="BB30" s="126">
        <v>0.05</v>
      </c>
      <c r="BC30" s="126">
        <v>0.5</v>
      </c>
      <c r="BD30" s="129" t="b">
        <v>0</v>
      </c>
      <c r="BE30" s="122" t="s">
        <v>1873</v>
      </c>
      <c r="BF30" s="128" t="b">
        <v>1</v>
      </c>
      <c r="BG30" s="122" t="s">
        <v>1578</v>
      </c>
      <c r="BH30" s="122">
        <v>0.01</v>
      </c>
      <c r="BI30" s="156" t="s">
        <v>403</v>
      </c>
      <c r="BJ30" s="128" t="b">
        <v>1</v>
      </c>
      <c r="BK30" s="157">
        <v>2</v>
      </c>
      <c r="BL30" s="128" t="b">
        <v>1</v>
      </c>
      <c r="BM30" s="156" t="s">
        <v>412</v>
      </c>
      <c r="BN30" s="129" t="b">
        <v>0</v>
      </c>
      <c r="BO30" s="156" t="s">
        <v>1382</v>
      </c>
      <c r="BP30" s="157"/>
      <c r="BQ30" s="157"/>
      <c r="BR30" s="166" t="str">
        <f t="shared" ref="BR30:BR34" si="31">AH30&amp;"/ "&amp;AI30&amp;"/ "&amp;AJ30&amp;"/ "&amp;AK30</f>
        <v>5/ 13/ 34/ 89</v>
      </c>
      <c r="BS30" s="169" t="str">
        <f t="shared" si="25"/>
        <v>5 / 13 / 8</v>
      </c>
      <c r="BT30" s="166" t="str">
        <f t="shared" si="26"/>
        <v>0.05 / 0.5</v>
      </c>
      <c r="BU30" s="66">
        <v>294</v>
      </c>
      <c r="BV30" s="66">
        <v>187</v>
      </c>
      <c r="BW30" s="66">
        <v>170</v>
      </c>
      <c r="BX30" s="99">
        <f t="shared" si="27"/>
        <v>17</v>
      </c>
      <c r="BY30" s="66">
        <v>18</v>
      </c>
      <c r="BZ30" s="92">
        <f t="shared" ref="BZ30:BZ34" si="32">BU30-SUM(BW30:BY30)</f>
        <v>89</v>
      </c>
      <c r="CA30" s="204">
        <f t="shared" ref="CA30:CA31" si="33">IF(BU30=0,0,BV30/BU30)</f>
        <v>0.63605442176870752</v>
      </c>
      <c r="CB30" s="205">
        <f t="shared" ref="CB30:CB31" si="34">IF(BU30=0,0,BY30/BU30)</f>
        <v>6.1224489795918366E-2</v>
      </c>
      <c r="CC30" s="87">
        <v>7.2</v>
      </c>
      <c r="CD30" s="66">
        <v>20.87</v>
      </c>
      <c r="CE30" s="87">
        <v>0.5</v>
      </c>
      <c r="CF30" s="170">
        <f t="shared" si="28"/>
        <v>2</v>
      </c>
      <c r="CG30" s="87">
        <v>0.61</v>
      </c>
      <c r="CH30" s="66">
        <v>0.47</v>
      </c>
      <c r="CI30" s="93">
        <v>3564.5</v>
      </c>
      <c r="CJ30" s="93"/>
      <c r="CK30" s="93"/>
      <c r="CL30" s="87">
        <v>-5.14</v>
      </c>
      <c r="CM30" s="66">
        <v>1000</v>
      </c>
      <c r="CN30" s="102">
        <v>6135.63</v>
      </c>
      <c r="CO30" s="110">
        <f t="shared" si="29"/>
        <v>7135.63</v>
      </c>
      <c r="CP30" s="110">
        <f t="shared" si="30"/>
        <v>613.56299999999999</v>
      </c>
    </row>
    <row r="31" spans="2:94" hidden="1" outlineLevel="1" x14ac:dyDescent="0.2">
      <c r="B31" s="72" t="s">
        <v>1477</v>
      </c>
      <c r="C31" s="57" t="s">
        <v>1387</v>
      </c>
      <c r="D31" s="57" t="s">
        <v>1440</v>
      </c>
      <c r="E31" s="65" t="s">
        <v>1389</v>
      </c>
      <c r="F31" s="57" t="s">
        <v>1454</v>
      </c>
      <c r="G31" s="62" t="s">
        <v>1556</v>
      </c>
      <c r="H31" s="128" t="b">
        <v>1</v>
      </c>
      <c r="I31" s="122" t="s">
        <v>1865</v>
      </c>
      <c r="N31" s="124">
        <v>21</v>
      </c>
      <c r="O31" s="124">
        <v>0.8</v>
      </c>
      <c r="P31" s="124">
        <v>5</v>
      </c>
      <c r="Q31" s="128" t="b">
        <v>1</v>
      </c>
      <c r="R31" s="127" t="s">
        <v>1559</v>
      </c>
      <c r="T31" s="126">
        <v>13</v>
      </c>
      <c r="U31" s="124">
        <v>1.4999999999999999E-2</v>
      </c>
      <c r="V31" s="126">
        <v>75</v>
      </c>
      <c r="W31" s="126">
        <v>-75</v>
      </c>
      <c r="X31" s="124">
        <v>50</v>
      </c>
      <c r="Y31" s="124">
        <v>5</v>
      </c>
      <c r="Z31" s="128" t="b">
        <v>1</v>
      </c>
      <c r="AA31" s="127" t="s">
        <v>1867</v>
      </c>
      <c r="AB31" s="122">
        <v>3</v>
      </c>
      <c r="AC31" s="146"/>
      <c r="AD31" s="124">
        <v>20</v>
      </c>
      <c r="AE31" s="124"/>
      <c r="AF31" s="124">
        <v>5.0000000000000001E-4</v>
      </c>
      <c r="AG31" s="135" t="b">
        <v>1</v>
      </c>
      <c r="AH31" s="125">
        <v>5</v>
      </c>
      <c r="AI31" s="125">
        <v>13</v>
      </c>
      <c r="AJ31" s="125">
        <v>34</v>
      </c>
      <c r="AK31" s="125">
        <v>89</v>
      </c>
      <c r="AL31" s="129" t="b">
        <v>0</v>
      </c>
      <c r="AM31" s="128" t="b">
        <v>1</v>
      </c>
      <c r="AN31" s="131" t="s">
        <v>1469</v>
      </c>
      <c r="AO31" s="127">
        <v>1E-4</v>
      </c>
      <c r="AP31" s="128" t="b">
        <v>1</v>
      </c>
      <c r="AQ31" s="127">
        <v>1E-3</v>
      </c>
      <c r="AR31" s="149">
        <v>8</v>
      </c>
      <c r="AS31" s="149">
        <v>13</v>
      </c>
      <c r="AT31" s="149">
        <v>8</v>
      </c>
      <c r="AU31" s="128" t="b">
        <v>1</v>
      </c>
      <c r="AV31" s="124">
        <v>3</v>
      </c>
      <c r="AW31" s="146">
        <v>5</v>
      </c>
      <c r="AX31" s="124">
        <v>1</v>
      </c>
      <c r="AY31" s="128" t="b">
        <v>1</v>
      </c>
      <c r="AZ31" s="122" t="s">
        <v>1576</v>
      </c>
      <c r="BA31" s="122">
        <v>4</v>
      </c>
      <c r="BB31" s="126">
        <v>0.05</v>
      </c>
      <c r="BC31" s="126">
        <v>0.5</v>
      </c>
      <c r="BD31" s="129" t="b">
        <v>0</v>
      </c>
      <c r="BE31" s="122" t="s">
        <v>1873</v>
      </c>
      <c r="BF31" s="128" t="b">
        <v>1</v>
      </c>
      <c r="BG31" s="122" t="s">
        <v>1578</v>
      </c>
      <c r="BH31" s="122">
        <v>0.01</v>
      </c>
      <c r="BI31" s="156" t="s">
        <v>403</v>
      </c>
      <c r="BJ31" s="128" t="b">
        <v>1</v>
      </c>
      <c r="BK31" s="157">
        <v>2</v>
      </c>
      <c r="BL31" s="128" t="b">
        <v>1</v>
      </c>
      <c r="BM31" s="156" t="s">
        <v>412</v>
      </c>
      <c r="BN31" s="129" t="b">
        <v>0</v>
      </c>
      <c r="BO31" s="156" t="s">
        <v>1382</v>
      </c>
      <c r="BP31" s="157"/>
      <c r="BQ31" s="157"/>
      <c r="BR31" s="166" t="str">
        <f t="shared" si="31"/>
        <v>5/ 13/ 34/ 89</v>
      </c>
      <c r="BS31" s="166" t="str">
        <f t="shared" si="25"/>
        <v>8 / 13 / 8</v>
      </c>
      <c r="BT31" s="166" t="str">
        <f t="shared" si="26"/>
        <v>0.05 / 0.5</v>
      </c>
      <c r="BU31" s="66">
        <v>272</v>
      </c>
      <c r="BV31" s="66">
        <v>170</v>
      </c>
      <c r="BW31" s="66">
        <v>156</v>
      </c>
      <c r="BX31" s="99">
        <f t="shared" si="27"/>
        <v>14</v>
      </c>
      <c r="BY31" s="66">
        <v>19</v>
      </c>
      <c r="BZ31" s="92">
        <f t="shared" si="32"/>
        <v>83</v>
      </c>
      <c r="CA31" s="204">
        <f t="shared" si="33"/>
        <v>0.625</v>
      </c>
      <c r="CB31" s="205">
        <f t="shared" si="34"/>
        <v>6.985294117647059E-2</v>
      </c>
      <c r="CC31" s="87">
        <v>5.35</v>
      </c>
      <c r="CD31" s="66">
        <v>14.94</v>
      </c>
      <c r="CE31" s="87">
        <v>0.45</v>
      </c>
      <c r="CF31" s="170">
        <f t="shared" si="28"/>
        <v>2</v>
      </c>
      <c r="CG31" s="87">
        <v>0.56999999999999995</v>
      </c>
      <c r="CH31" s="66">
        <v>0.42</v>
      </c>
      <c r="CI31" s="93">
        <v>3083.8</v>
      </c>
      <c r="CJ31" s="93"/>
      <c r="CK31" s="93"/>
      <c r="CL31" s="87">
        <v>-3.96</v>
      </c>
      <c r="CM31" s="66">
        <v>1000</v>
      </c>
      <c r="CN31" s="93">
        <v>4063.88</v>
      </c>
      <c r="CO31" s="108">
        <f t="shared" si="29"/>
        <v>5063.88</v>
      </c>
      <c r="CP31" s="108">
        <f t="shared" si="30"/>
        <v>406.38800000000003</v>
      </c>
    </row>
    <row r="32" spans="2:94" hidden="1" outlineLevel="1" x14ac:dyDescent="0.2">
      <c r="B32" s="72" t="s">
        <v>1478</v>
      </c>
      <c r="C32" s="57" t="s">
        <v>1387</v>
      </c>
      <c r="D32" s="57" t="s">
        <v>1440</v>
      </c>
      <c r="E32" s="65" t="s">
        <v>1389</v>
      </c>
      <c r="F32" s="57" t="s">
        <v>1454</v>
      </c>
      <c r="G32" s="62" t="s">
        <v>1556</v>
      </c>
      <c r="H32" s="128" t="b">
        <v>1</v>
      </c>
      <c r="I32" s="122" t="s">
        <v>1865</v>
      </c>
      <c r="N32" s="124">
        <v>21</v>
      </c>
      <c r="O32" s="124">
        <v>0.8</v>
      </c>
      <c r="P32" s="124">
        <v>5</v>
      </c>
      <c r="Q32" s="128" t="b">
        <v>1</v>
      </c>
      <c r="R32" s="127" t="s">
        <v>1559</v>
      </c>
      <c r="T32" s="126">
        <v>13</v>
      </c>
      <c r="U32" s="124">
        <v>1.4999999999999999E-2</v>
      </c>
      <c r="V32" s="126">
        <v>75</v>
      </c>
      <c r="W32" s="126">
        <v>-75</v>
      </c>
      <c r="X32" s="124">
        <v>50</v>
      </c>
      <c r="Y32" s="124">
        <v>5</v>
      </c>
      <c r="Z32" s="128" t="b">
        <v>1</v>
      </c>
      <c r="AA32" s="127" t="s">
        <v>1867</v>
      </c>
      <c r="AB32" s="122">
        <v>3</v>
      </c>
      <c r="AC32" s="146"/>
      <c r="AD32" s="124">
        <v>20</v>
      </c>
      <c r="AE32" s="124"/>
      <c r="AF32" s="124">
        <v>5.0000000000000001E-4</v>
      </c>
      <c r="AG32" s="135" t="b">
        <v>1</v>
      </c>
      <c r="AH32" s="125">
        <v>5</v>
      </c>
      <c r="AI32" s="125">
        <v>13</v>
      </c>
      <c r="AJ32" s="125">
        <v>34</v>
      </c>
      <c r="AK32" s="125">
        <v>89</v>
      </c>
      <c r="AL32" s="129" t="b">
        <v>0</v>
      </c>
      <c r="AM32" s="128" t="b">
        <v>1</v>
      </c>
      <c r="AN32" s="131" t="s">
        <v>1469</v>
      </c>
      <c r="AO32" s="127">
        <v>1E-4</v>
      </c>
      <c r="AP32" s="128" t="b">
        <v>1</v>
      </c>
      <c r="AQ32" s="127">
        <v>1E-3</v>
      </c>
      <c r="AR32" s="150">
        <v>8</v>
      </c>
      <c r="AS32" s="150">
        <v>17</v>
      </c>
      <c r="AT32" s="150">
        <v>9</v>
      </c>
      <c r="AU32" s="128" t="b">
        <v>1</v>
      </c>
      <c r="AV32" s="124">
        <v>3</v>
      </c>
      <c r="AW32" s="146">
        <v>5</v>
      </c>
      <c r="AX32" s="124">
        <v>1</v>
      </c>
      <c r="AY32" s="128" t="b">
        <v>1</v>
      </c>
      <c r="AZ32" s="122" t="s">
        <v>1576</v>
      </c>
      <c r="BA32" s="122">
        <v>4</v>
      </c>
      <c r="BB32" s="126">
        <v>0.05</v>
      </c>
      <c r="BC32" s="126">
        <v>0.5</v>
      </c>
      <c r="BD32" s="129" t="b">
        <v>0</v>
      </c>
      <c r="BE32" s="122" t="s">
        <v>1873</v>
      </c>
      <c r="BF32" s="128" t="b">
        <v>1</v>
      </c>
      <c r="BG32" s="122" t="s">
        <v>1578</v>
      </c>
      <c r="BH32" s="122">
        <v>0.01</v>
      </c>
      <c r="BI32" s="156" t="s">
        <v>403</v>
      </c>
      <c r="BJ32" s="128" t="b">
        <v>1</v>
      </c>
      <c r="BK32" s="157">
        <v>2</v>
      </c>
      <c r="BL32" s="128" t="b">
        <v>1</v>
      </c>
      <c r="BM32" s="156" t="s">
        <v>412</v>
      </c>
      <c r="BN32" s="129" t="b">
        <v>0</v>
      </c>
      <c r="BO32" s="156" t="s">
        <v>1382</v>
      </c>
      <c r="BP32" s="157"/>
      <c r="BQ32" s="157"/>
      <c r="BR32" s="166" t="str">
        <f t="shared" si="31"/>
        <v>5/ 13/ 34/ 89</v>
      </c>
      <c r="BS32" s="166" t="str">
        <f t="shared" si="25"/>
        <v>8 / 17 / 9</v>
      </c>
      <c r="BT32" s="166" t="str">
        <f t="shared" si="26"/>
        <v>0.05 / 0.5</v>
      </c>
      <c r="BU32" s="66">
        <v>277</v>
      </c>
      <c r="BV32" s="66">
        <v>166</v>
      </c>
      <c r="BW32" s="66">
        <v>153</v>
      </c>
      <c r="BX32" s="99">
        <f t="shared" si="27"/>
        <v>13</v>
      </c>
      <c r="BY32" s="66">
        <v>23</v>
      </c>
      <c r="BZ32" s="92">
        <f t="shared" si="32"/>
        <v>88</v>
      </c>
      <c r="CA32" s="204">
        <f>IF(BU32=0,0,BV32/BU32)</f>
        <v>0.59927797833935015</v>
      </c>
      <c r="CB32" s="205">
        <f>IF(BU32=0,0,BY32/BU32)</f>
        <v>8.3032490974729242E-2</v>
      </c>
      <c r="CC32" s="87">
        <v>4.38</v>
      </c>
      <c r="CD32" s="66">
        <v>12.96</v>
      </c>
      <c r="CE32" s="88">
        <v>0.41</v>
      </c>
      <c r="CF32" s="170">
        <f t="shared" si="28"/>
        <v>2</v>
      </c>
      <c r="CG32" s="87">
        <v>0.56999999999999995</v>
      </c>
      <c r="CH32" s="66">
        <v>0.42</v>
      </c>
      <c r="CI32" s="93">
        <v>3029</v>
      </c>
      <c r="CJ32" s="93"/>
      <c r="CK32" s="93"/>
      <c r="CL32" s="87">
        <v>-5.53</v>
      </c>
      <c r="CM32" s="66">
        <v>1000</v>
      </c>
      <c r="CN32" s="93">
        <v>3514.61</v>
      </c>
      <c r="CO32" s="108">
        <f t="shared" si="29"/>
        <v>4514.6100000000006</v>
      </c>
      <c r="CP32" s="108">
        <f t="shared" si="30"/>
        <v>351.46100000000001</v>
      </c>
    </row>
    <row r="33" spans="2:94" hidden="1" outlineLevel="1" x14ac:dyDescent="0.2">
      <c r="B33" s="72" t="s">
        <v>1479</v>
      </c>
      <c r="C33" s="57" t="s">
        <v>1387</v>
      </c>
      <c r="D33" s="57" t="s">
        <v>1440</v>
      </c>
      <c r="E33" s="65" t="s">
        <v>1389</v>
      </c>
      <c r="F33" s="57" t="s">
        <v>1454</v>
      </c>
      <c r="G33" s="62" t="s">
        <v>1556</v>
      </c>
      <c r="H33" s="128" t="b">
        <v>1</v>
      </c>
      <c r="I33" s="122" t="s">
        <v>1865</v>
      </c>
      <c r="N33" s="124">
        <v>21</v>
      </c>
      <c r="O33" s="124">
        <v>0.8</v>
      </c>
      <c r="P33" s="124">
        <v>5</v>
      </c>
      <c r="Q33" s="128" t="b">
        <v>1</v>
      </c>
      <c r="R33" s="127" t="s">
        <v>1559</v>
      </c>
      <c r="T33" s="126">
        <v>13</v>
      </c>
      <c r="U33" s="124">
        <v>1.4999999999999999E-2</v>
      </c>
      <c r="V33" s="126">
        <v>75</v>
      </c>
      <c r="W33" s="126">
        <v>-75</v>
      </c>
      <c r="X33" s="124">
        <v>50</v>
      </c>
      <c r="Y33" s="124">
        <v>5</v>
      </c>
      <c r="Z33" s="128" t="b">
        <v>1</v>
      </c>
      <c r="AA33" s="127" t="s">
        <v>1867</v>
      </c>
      <c r="AB33" s="122">
        <v>3</v>
      </c>
      <c r="AC33" s="146"/>
      <c r="AD33" s="124">
        <v>20</v>
      </c>
      <c r="AE33" s="124"/>
      <c r="AF33" s="124">
        <v>5.0000000000000001E-4</v>
      </c>
      <c r="AG33" s="135" t="b">
        <v>1</v>
      </c>
      <c r="AH33" s="125">
        <v>5</v>
      </c>
      <c r="AI33" s="125">
        <v>13</v>
      </c>
      <c r="AJ33" s="125">
        <v>34</v>
      </c>
      <c r="AK33" s="125">
        <v>89</v>
      </c>
      <c r="AL33" s="129" t="b">
        <v>0</v>
      </c>
      <c r="AM33" s="128" t="b">
        <v>1</v>
      </c>
      <c r="AN33" s="131" t="s">
        <v>1469</v>
      </c>
      <c r="AO33" s="127">
        <v>1E-4</v>
      </c>
      <c r="AP33" s="128" t="b">
        <v>1</v>
      </c>
      <c r="AQ33" s="127">
        <v>1E-3</v>
      </c>
      <c r="AR33" s="151">
        <v>12</v>
      </c>
      <c r="AS33" s="151">
        <v>26</v>
      </c>
      <c r="AT33" s="151">
        <v>9</v>
      </c>
      <c r="AU33" s="128" t="b">
        <v>1</v>
      </c>
      <c r="AV33" s="124">
        <v>3</v>
      </c>
      <c r="AW33" s="146">
        <v>5</v>
      </c>
      <c r="AX33" s="124">
        <v>1</v>
      </c>
      <c r="AY33" s="128" t="b">
        <v>1</v>
      </c>
      <c r="AZ33" s="122" t="s">
        <v>1576</v>
      </c>
      <c r="BA33" s="122">
        <v>4</v>
      </c>
      <c r="BB33" s="126">
        <v>0.05</v>
      </c>
      <c r="BC33" s="126">
        <v>0.5</v>
      </c>
      <c r="BD33" s="129" t="b">
        <v>0</v>
      </c>
      <c r="BE33" s="122" t="s">
        <v>1873</v>
      </c>
      <c r="BF33" s="128" t="b">
        <v>1</v>
      </c>
      <c r="BG33" s="122" t="s">
        <v>1578</v>
      </c>
      <c r="BH33" s="122">
        <v>0.01</v>
      </c>
      <c r="BI33" s="156" t="s">
        <v>403</v>
      </c>
      <c r="BJ33" s="128" t="b">
        <v>1</v>
      </c>
      <c r="BK33" s="157">
        <v>2</v>
      </c>
      <c r="BL33" s="128" t="b">
        <v>1</v>
      </c>
      <c r="BM33" s="156" t="s">
        <v>412</v>
      </c>
      <c r="BN33" s="129" t="b">
        <v>0</v>
      </c>
      <c r="BO33" s="156" t="s">
        <v>1382</v>
      </c>
      <c r="BP33" s="157"/>
      <c r="BQ33" s="157"/>
      <c r="BR33" s="166" t="str">
        <f t="shared" si="31"/>
        <v>5/ 13/ 34/ 89</v>
      </c>
      <c r="BS33" s="166" t="str">
        <f t="shared" si="25"/>
        <v>12 / 26 / 9</v>
      </c>
      <c r="BT33" s="166" t="str">
        <f t="shared" si="26"/>
        <v>0.05 / 0.5</v>
      </c>
      <c r="BU33" s="66">
        <v>254</v>
      </c>
      <c r="BV33" s="66">
        <v>158</v>
      </c>
      <c r="BW33" s="66">
        <v>144</v>
      </c>
      <c r="BX33" s="99">
        <f t="shared" si="27"/>
        <v>14</v>
      </c>
      <c r="BY33" s="66">
        <v>19</v>
      </c>
      <c r="BZ33" s="92">
        <f t="shared" si="32"/>
        <v>77</v>
      </c>
      <c r="CA33" s="204">
        <f>IF(BU33=0,0,BV33/BU33)</f>
        <v>0.62204724409448819</v>
      </c>
      <c r="CB33" s="205">
        <f>IF(BU33=0,0,BY33/BU33)</f>
        <v>7.4803149606299218E-2</v>
      </c>
      <c r="CC33" s="87">
        <v>6.31</v>
      </c>
      <c r="CD33" s="66">
        <v>16.62</v>
      </c>
      <c r="CE33" s="87">
        <v>0.48</v>
      </c>
      <c r="CF33" s="170">
        <f t="shared" si="28"/>
        <v>2</v>
      </c>
      <c r="CG33" s="87">
        <v>0.62</v>
      </c>
      <c r="CH33" s="66">
        <v>0.42</v>
      </c>
      <c r="CI33" s="93">
        <v>3036.8</v>
      </c>
      <c r="CJ33" s="93"/>
      <c r="CK33" s="93"/>
      <c r="CL33" s="87">
        <v>-3.6</v>
      </c>
      <c r="CM33" s="66">
        <v>1000</v>
      </c>
      <c r="CN33" s="93">
        <v>4222.5600000000004</v>
      </c>
      <c r="CO33" s="108">
        <f t="shared" si="29"/>
        <v>5222.5600000000004</v>
      </c>
      <c r="CP33" s="108">
        <f t="shared" si="30"/>
        <v>422.25600000000003</v>
      </c>
    </row>
    <row r="34" spans="2:94" hidden="1" outlineLevel="1" x14ac:dyDescent="0.2">
      <c r="B34" s="72" t="s">
        <v>1480</v>
      </c>
      <c r="C34" s="57" t="s">
        <v>1387</v>
      </c>
      <c r="D34" s="57" t="s">
        <v>1440</v>
      </c>
      <c r="E34" s="65" t="s">
        <v>1389</v>
      </c>
      <c r="F34" s="57" t="s">
        <v>1454</v>
      </c>
      <c r="G34" s="62" t="s">
        <v>1556</v>
      </c>
      <c r="H34" s="128" t="b">
        <v>1</v>
      </c>
      <c r="I34" s="122" t="s">
        <v>1865</v>
      </c>
      <c r="N34" s="124">
        <v>21</v>
      </c>
      <c r="O34" s="124">
        <v>0.8</v>
      </c>
      <c r="P34" s="124">
        <v>5</v>
      </c>
      <c r="Q34" s="128" t="b">
        <v>1</v>
      </c>
      <c r="R34" s="127" t="s">
        <v>1559</v>
      </c>
      <c r="T34" s="126">
        <v>13</v>
      </c>
      <c r="U34" s="124">
        <v>1.4999999999999999E-2</v>
      </c>
      <c r="V34" s="126">
        <v>75</v>
      </c>
      <c r="W34" s="126">
        <v>-75</v>
      </c>
      <c r="X34" s="124">
        <v>50</v>
      </c>
      <c r="Y34" s="124">
        <v>5</v>
      </c>
      <c r="Z34" s="128" t="b">
        <v>1</v>
      </c>
      <c r="AA34" s="127" t="s">
        <v>1867</v>
      </c>
      <c r="AB34" s="122">
        <v>3</v>
      </c>
      <c r="AC34" s="146"/>
      <c r="AD34" s="124">
        <v>20</v>
      </c>
      <c r="AE34" s="124"/>
      <c r="AF34" s="124">
        <v>5.0000000000000001E-4</v>
      </c>
      <c r="AG34" s="135" t="b">
        <v>1</v>
      </c>
      <c r="AH34" s="125">
        <v>5</v>
      </c>
      <c r="AI34" s="125">
        <v>13</v>
      </c>
      <c r="AJ34" s="125">
        <v>34</v>
      </c>
      <c r="AK34" s="125">
        <v>89</v>
      </c>
      <c r="AL34" s="129" t="b">
        <v>0</v>
      </c>
      <c r="AM34" s="128" t="b">
        <v>1</v>
      </c>
      <c r="AN34" s="131" t="s">
        <v>1469</v>
      </c>
      <c r="AO34" s="127">
        <v>1E-4</v>
      </c>
      <c r="AP34" s="128" t="b">
        <v>1</v>
      </c>
      <c r="AQ34" s="127">
        <v>1E-3</v>
      </c>
      <c r="AR34" s="137">
        <v>21</v>
      </c>
      <c r="AS34" s="137">
        <v>34</v>
      </c>
      <c r="AT34" s="137">
        <v>9</v>
      </c>
      <c r="AU34" s="128" t="b">
        <v>1</v>
      </c>
      <c r="AV34" s="124">
        <v>3</v>
      </c>
      <c r="AW34" s="146">
        <v>5</v>
      </c>
      <c r="AX34" s="124">
        <v>1</v>
      </c>
      <c r="AY34" s="128" t="b">
        <v>1</v>
      </c>
      <c r="AZ34" s="122" t="s">
        <v>1576</v>
      </c>
      <c r="BA34" s="122">
        <v>4</v>
      </c>
      <c r="BB34" s="126">
        <v>0.05</v>
      </c>
      <c r="BC34" s="126">
        <v>0.5</v>
      </c>
      <c r="BD34" s="129" t="b">
        <v>0</v>
      </c>
      <c r="BE34" s="122" t="s">
        <v>1873</v>
      </c>
      <c r="BF34" s="128" t="b">
        <v>1</v>
      </c>
      <c r="BG34" s="122" t="s">
        <v>1578</v>
      </c>
      <c r="BH34" s="122">
        <v>0.01</v>
      </c>
      <c r="BI34" s="156" t="s">
        <v>403</v>
      </c>
      <c r="BJ34" s="128" t="b">
        <v>1</v>
      </c>
      <c r="BK34" s="157">
        <v>2</v>
      </c>
      <c r="BL34" s="128" t="b">
        <v>1</v>
      </c>
      <c r="BM34" s="156" t="s">
        <v>412</v>
      </c>
      <c r="BN34" s="129" t="b">
        <v>0</v>
      </c>
      <c r="BO34" s="156" t="s">
        <v>1382</v>
      </c>
      <c r="BP34" s="157"/>
      <c r="BQ34" s="157"/>
      <c r="BR34" s="166" t="str">
        <f t="shared" si="31"/>
        <v>5/ 13/ 34/ 89</v>
      </c>
      <c r="BS34" s="166" t="str">
        <f t="shared" si="25"/>
        <v>21 / 34 / 9</v>
      </c>
      <c r="BT34" s="166" t="str">
        <f t="shared" si="26"/>
        <v>0.05 / 0.5</v>
      </c>
      <c r="BU34" s="66">
        <v>213</v>
      </c>
      <c r="BV34" s="66">
        <v>137</v>
      </c>
      <c r="BW34" s="66">
        <v>125</v>
      </c>
      <c r="BX34" s="99">
        <f t="shared" si="27"/>
        <v>12</v>
      </c>
      <c r="BY34" s="66">
        <v>15</v>
      </c>
      <c r="BZ34" s="92">
        <f t="shared" si="32"/>
        <v>61</v>
      </c>
      <c r="CA34" s="204">
        <f t="shared" ref="CA34" si="35">IF(BU34=0,0,BV34/BU34)</f>
        <v>0.64319248826291076</v>
      </c>
      <c r="CB34" s="205">
        <f t="shared" ref="CB34" si="36">IF(BU34=0,0,BY34/BU34)</f>
        <v>7.0422535211267609E-2</v>
      </c>
      <c r="CC34" s="87">
        <v>6.9</v>
      </c>
      <c r="CD34" s="66">
        <v>15.01</v>
      </c>
      <c r="CE34" s="87">
        <v>0.52</v>
      </c>
      <c r="CF34" s="170">
        <f t="shared" si="28"/>
        <v>2</v>
      </c>
      <c r="CG34" s="87">
        <v>0.62</v>
      </c>
      <c r="CH34" s="66">
        <v>0.41</v>
      </c>
      <c r="CI34" s="93">
        <v>2647.6</v>
      </c>
      <c r="CJ34" s="93"/>
      <c r="CK34" s="93"/>
      <c r="CL34" s="87">
        <v>-2.68</v>
      </c>
      <c r="CM34" s="66">
        <v>1000</v>
      </c>
      <c r="CN34" s="101">
        <v>3196.35</v>
      </c>
      <c r="CO34" s="109">
        <f t="shared" si="29"/>
        <v>4196.3500000000004</v>
      </c>
      <c r="CP34" s="109">
        <f t="shared" si="30"/>
        <v>319.63499999999999</v>
      </c>
    </row>
    <row r="35" spans="2:94" hidden="1" outlineLevel="1" x14ac:dyDescent="0.2">
      <c r="G35" s="62"/>
      <c r="R35" s="130"/>
      <c r="AA35" s="130"/>
      <c r="AC35" s="124"/>
      <c r="AD35" s="124"/>
      <c r="AE35" s="124"/>
      <c r="AH35" s="125"/>
      <c r="AI35" s="125"/>
      <c r="AJ35" s="125"/>
      <c r="AK35" s="125"/>
      <c r="AO35" s="127"/>
      <c r="AR35" s="124"/>
      <c r="AS35" s="124"/>
      <c r="AT35" s="124"/>
      <c r="BB35" s="124"/>
      <c r="BC35" s="124"/>
      <c r="BI35" s="156"/>
      <c r="BK35" s="154"/>
      <c r="BP35" s="154"/>
      <c r="BQ35" s="154"/>
      <c r="BS35" s="167"/>
      <c r="BT35" s="167"/>
      <c r="BU35" s="85"/>
      <c r="BV35" s="85"/>
      <c r="BW35" s="85"/>
      <c r="BX35" s="100"/>
      <c r="BY35" s="85"/>
      <c r="BZ35" s="86"/>
      <c r="CA35" s="85"/>
      <c r="CB35" s="95"/>
      <c r="CC35" s="85"/>
      <c r="CD35" s="85"/>
      <c r="CE35" s="85"/>
      <c r="CF35" s="107"/>
      <c r="CG35" s="85"/>
      <c r="CH35" s="85"/>
      <c r="CI35" s="85"/>
      <c r="CJ35" s="85"/>
      <c r="CK35" s="85"/>
      <c r="CL35" s="85"/>
      <c r="CM35" s="84"/>
      <c r="CN35" s="85"/>
      <c r="CO35" s="107"/>
      <c r="CP35" s="107"/>
    </row>
    <row r="36" spans="2:94" collapsed="1" x14ac:dyDescent="0.2">
      <c r="B36" s="72" t="s">
        <v>1486</v>
      </c>
      <c r="C36" s="57" t="s">
        <v>1387</v>
      </c>
      <c r="D36" s="57" t="s">
        <v>1440</v>
      </c>
      <c r="E36" s="65" t="s">
        <v>1389</v>
      </c>
      <c r="F36" s="57" t="s">
        <v>1454</v>
      </c>
      <c r="G36" s="62" t="s">
        <v>1556</v>
      </c>
      <c r="H36" s="128" t="b">
        <v>1</v>
      </c>
      <c r="I36" s="122" t="s">
        <v>1865</v>
      </c>
      <c r="N36" s="124">
        <v>21</v>
      </c>
      <c r="O36" s="124">
        <v>0.8</v>
      </c>
      <c r="P36" s="124">
        <v>5</v>
      </c>
      <c r="Q36" s="128" t="b">
        <v>1</v>
      </c>
      <c r="R36" s="127" t="s">
        <v>1559</v>
      </c>
      <c r="T36" s="126">
        <v>13</v>
      </c>
      <c r="U36" s="124">
        <v>1.4999999999999999E-2</v>
      </c>
      <c r="V36" s="126">
        <v>75</v>
      </c>
      <c r="W36" s="126">
        <v>-75</v>
      </c>
      <c r="X36" s="124">
        <v>50</v>
      </c>
      <c r="Y36" s="124">
        <v>5</v>
      </c>
      <c r="Z36" s="128" t="b">
        <v>1</v>
      </c>
      <c r="AA36" s="127" t="s">
        <v>1867</v>
      </c>
      <c r="AB36" s="122">
        <v>3</v>
      </c>
      <c r="AC36" s="146"/>
      <c r="AD36" s="147">
        <v>34</v>
      </c>
      <c r="AE36" s="124"/>
      <c r="AF36" s="124">
        <v>5.0000000000000001E-4</v>
      </c>
      <c r="AG36" s="135" t="b">
        <v>1</v>
      </c>
      <c r="AH36" s="125">
        <v>5</v>
      </c>
      <c r="AI36" s="125">
        <v>13</v>
      </c>
      <c r="AJ36" s="125">
        <v>34</v>
      </c>
      <c r="AK36" s="125">
        <v>89</v>
      </c>
      <c r="AL36" s="129" t="b">
        <v>0</v>
      </c>
      <c r="AM36" s="128" t="b">
        <v>1</v>
      </c>
      <c r="AN36" s="131" t="s">
        <v>1469</v>
      </c>
      <c r="AO36" s="127">
        <v>1E-4</v>
      </c>
      <c r="AP36" s="128" t="b">
        <v>1</v>
      </c>
      <c r="AQ36" s="127">
        <v>1E-3</v>
      </c>
      <c r="AR36" s="126">
        <v>5</v>
      </c>
      <c r="AS36" s="126">
        <v>8</v>
      </c>
      <c r="AT36" s="126">
        <v>5</v>
      </c>
      <c r="AU36" s="128" t="b">
        <v>1</v>
      </c>
      <c r="AV36" s="124">
        <v>3</v>
      </c>
      <c r="AW36" s="146">
        <v>5</v>
      </c>
      <c r="AX36" s="124">
        <v>1</v>
      </c>
      <c r="AY36" s="128" t="b">
        <v>1</v>
      </c>
      <c r="AZ36" s="122" t="s">
        <v>1576</v>
      </c>
      <c r="BA36" s="122">
        <v>4</v>
      </c>
      <c r="BB36" s="126">
        <v>0.05</v>
      </c>
      <c r="BC36" s="126">
        <v>0.5</v>
      </c>
      <c r="BD36" s="129" t="b">
        <v>0</v>
      </c>
      <c r="BE36" s="122" t="s">
        <v>1873</v>
      </c>
      <c r="BF36" s="128" t="b">
        <v>1</v>
      </c>
      <c r="BG36" s="122" t="s">
        <v>1578</v>
      </c>
      <c r="BH36" s="122">
        <v>0.01</v>
      </c>
      <c r="BI36" s="156" t="s">
        <v>403</v>
      </c>
      <c r="BJ36" s="128" t="b">
        <v>1</v>
      </c>
      <c r="BK36" s="157">
        <v>2</v>
      </c>
      <c r="BL36" s="128" t="b">
        <v>1</v>
      </c>
      <c r="BM36" s="156" t="s">
        <v>412</v>
      </c>
      <c r="BN36" s="129" t="b">
        <v>0</v>
      </c>
      <c r="BO36" s="156" t="s">
        <v>1382</v>
      </c>
      <c r="BP36" s="157"/>
      <c r="BQ36" s="157"/>
      <c r="BR36" s="166" t="str">
        <f>AH36&amp;"/ "&amp;AI36&amp;"/ "&amp;AJ36&amp;"/ "&amp;AK36</f>
        <v>5/ 13/ 34/ 89</v>
      </c>
      <c r="BS36" s="166" t="str">
        <f t="shared" ref="BS36:BS41" si="37">AR36&amp;" / "&amp;AS36&amp;" / "&amp;AT36</f>
        <v>5 / 8 / 5</v>
      </c>
      <c r="BT36" s="166" t="str">
        <f t="shared" ref="BT36:BT41" si="38">BB36&amp;" / "&amp;BC36</f>
        <v>0.05 / 0.5</v>
      </c>
      <c r="BU36" s="66">
        <v>319</v>
      </c>
      <c r="BV36" s="66">
        <v>202</v>
      </c>
      <c r="BW36" s="66">
        <v>181</v>
      </c>
      <c r="BX36" s="99">
        <f t="shared" ref="BX36:BX41" si="39">BV36-BW36</f>
        <v>21</v>
      </c>
      <c r="BY36" s="66">
        <v>17</v>
      </c>
      <c r="BZ36" s="92">
        <f>BU36-SUM(BW36:BY36)</f>
        <v>100</v>
      </c>
      <c r="CA36" s="204">
        <f>IF(BU36=0,0,BV36/BU36)</f>
        <v>0.63322884012539182</v>
      </c>
      <c r="CB36" s="205">
        <f>IF(BU36=0,0,BY36/BU36)</f>
        <v>5.329153605015674E-2</v>
      </c>
      <c r="CC36" s="87">
        <v>7.26</v>
      </c>
      <c r="CD36" s="87">
        <v>26.17</v>
      </c>
      <c r="CE36" s="87">
        <v>0.49</v>
      </c>
      <c r="CF36" s="170">
        <f t="shared" ref="CF36:CF41" si="40">BK36</f>
        <v>2</v>
      </c>
      <c r="CG36" s="87">
        <v>0.63</v>
      </c>
      <c r="CH36" s="87">
        <v>0.47</v>
      </c>
      <c r="CI36" s="93">
        <v>3855.4</v>
      </c>
      <c r="CJ36" s="93"/>
      <c r="CK36" s="93"/>
      <c r="CL36" s="87">
        <v>-2.65</v>
      </c>
      <c r="CM36" s="66">
        <v>1000</v>
      </c>
      <c r="CN36" s="93">
        <v>8346.7999999999993</v>
      </c>
      <c r="CO36" s="108">
        <f t="shared" ref="CO36:CO41" si="41">CM36+CN36</f>
        <v>9346.7999999999993</v>
      </c>
      <c r="CP36" s="108">
        <f t="shared" ref="CP36:CP41" si="42">CN36/10</f>
        <v>834.68</v>
      </c>
    </row>
    <row r="37" spans="2:94" hidden="1" outlineLevel="1" x14ac:dyDescent="0.2">
      <c r="B37" s="72" t="s">
        <v>1487</v>
      </c>
      <c r="C37" s="57" t="s">
        <v>1387</v>
      </c>
      <c r="D37" s="57" t="s">
        <v>1440</v>
      </c>
      <c r="E37" s="65" t="s">
        <v>1389</v>
      </c>
      <c r="F37" s="57" t="s">
        <v>1454</v>
      </c>
      <c r="G37" s="62" t="s">
        <v>1556</v>
      </c>
      <c r="H37" s="128" t="b">
        <v>1</v>
      </c>
      <c r="I37" s="122" t="s">
        <v>1865</v>
      </c>
      <c r="N37" s="124">
        <v>21</v>
      </c>
      <c r="O37" s="124">
        <v>0.8</v>
      </c>
      <c r="P37" s="124">
        <v>5</v>
      </c>
      <c r="Q37" s="128" t="b">
        <v>1</v>
      </c>
      <c r="R37" s="127" t="s">
        <v>1559</v>
      </c>
      <c r="T37" s="126">
        <v>13</v>
      </c>
      <c r="U37" s="124">
        <v>1.4999999999999999E-2</v>
      </c>
      <c r="V37" s="126">
        <v>75</v>
      </c>
      <c r="W37" s="126">
        <v>-75</v>
      </c>
      <c r="X37" s="124">
        <v>50</v>
      </c>
      <c r="Y37" s="124">
        <v>5</v>
      </c>
      <c r="Z37" s="128" t="b">
        <v>1</v>
      </c>
      <c r="AA37" s="127" t="s">
        <v>1867</v>
      </c>
      <c r="AB37" s="122">
        <v>3</v>
      </c>
      <c r="AC37" s="146"/>
      <c r="AD37" s="147">
        <v>34</v>
      </c>
      <c r="AE37" s="124"/>
      <c r="AF37" s="124">
        <v>5.0000000000000001E-4</v>
      </c>
      <c r="AG37" s="135" t="b">
        <v>1</v>
      </c>
      <c r="AH37" s="125">
        <v>5</v>
      </c>
      <c r="AI37" s="125">
        <v>13</v>
      </c>
      <c r="AJ37" s="125">
        <v>34</v>
      </c>
      <c r="AK37" s="125">
        <v>89</v>
      </c>
      <c r="AL37" s="129" t="b">
        <v>0</v>
      </c>
      <c r="AM37" s="128" t="b">
        <v>1</v>
      </c>
      <c r="AN37" s="131" t="s">
        <v>1469</v>
      </c>
      <c r="AO37" s="127">
        <v>1E-4</v>
      </c>
      <c r="AP37" s="128" t="b">
        <v>1</v>
      </c>
      <c r="AQ37" s="127">
        <v>1E-3</v>
      </c>
      <c r="AR37" s="135">
        <v>5</v>
      </c>
      <c r="AS37" s="135">
        <v>13</v>
      </c>
      <c r="AT37" s="135">
        <v>8</v>
      </c>
      <c r="AU37" s="128" t="b">
        <v>1</v>
      </c>
      <c r="AV37" s="124">
        <v>3</v>
      </c>
      <c r="AW37" s="146">
        <v>5</v>
      </c>
      <c r="AX37" s="124">
        <v>1</v>
      </c>
      <c r="AY37" s="128" t="b">
        <v>1</v>
      </c>
      <c r="AZ37" s="122" t="s">
        <v>1576</v>
      </c>
      <c r="BA37" s="122">
        <v>4</v>
      </c>
      <c r="BB37" s="126">
        <v>0.05</v>
      </c>
      <c r="BC37" s="126">
        <v>0.5</v>
      </c>
      <c r="BD37" s="129" t="b">
        <v>0</v>
      </c>
      <c r="BE37" s="122" t="s">
        <v>1873</v>
      </c>
      <c r="BF37" s="128" t="b">
        <v>1</v>
      </c>
      <c r="BG37" s="122" t="s">
        <v>1578</v>
      </c>
      <c r="BH37" s="122">
        <v>0.01</v>
      </c>
      <c r="BI37" s="156" t="s">
        <v>403</v>
      </c>
      <c r="BJ37" s="128" t="b">
        <v>1</v>
      </c>
      <c r="BK37" s="157">
        <v>2</v>
      </c>
      <c r="BL37" s="128" t="b">
        <v>1</v>
      </c>
      <c r="BM37" s="156" t="s">
        <v>412</v>
      </c>
      <c r="BN37" s="129" t="b">
        <v>0</v>
      </c>
      <c r="BO37" s="156" t="s">
        <v>1382</v>
      </c>
      <c r="BP37" s="157"/>
      <c r="BQ37" s="157"/>
      <c r="BR37" s="166" t="str">
        <f t="shared" ref="BR37:BR41" si="43">AH37&amp;"/ "&amp;AI37&amp;"/ "&amp;AJ37&amp;"/ "&amp;AK37</f>
        <v>5/ 13/ 34/ 89</v>
      </c>
      <c r="BS37" s="169" t="str">
        <f t="shared" si="37"/>
        <v>5 / 13 / 8</v>
      </c>
      <c r="BT37" s="166" t="str">
        <f t="shared" si="38"/>
        <v>0.05 / 0.5</v>
      </c>
      <c r="BU37" s="66">
        <v>328</v>
      </c>
      <c r="BV37" s="66">
        <v>211</v>
      </c>
      <c r="BW37" s="66">
        <v>191</v>
      </c>
      <c r="BX37" s="99">
        <f t="shared" si="39"/>
        <v>20</v>
      </c>
      <c r="BY37" s="66">
        <v>19</v>
      </c>
      <c r="BZ37" s="92">
        <f t="shared" ref="BZ37:BZ41" si="44">BU37-SUM(BW37:BY37)</f>
        <v>98</v>
      </c>
      <c r="CA37" s="204">
        <f t="shared" ref="CA37:CA38" si="45">IF(BU37=0,0,BV37/BU37)</f>
        <v>0.64329268292682928</v>
      </c>
      <c r="CB37" s="205">
        <f t="shared" ref="CB37:CB38" si="46">IF(BU37=0,0,BY37/BU37)</f>
        <v>5.7926829268292686E-2</v>
      </c>
      <c r="CC37" s="87">
        <v>7.68</v>
      </c>
      <c r="CD37" s="90">
        <v>27.31</v>
      </c>
      <c r="CE37" s="87">
        <v>0.49</v>
      </c>
      <c r="CF37" s="170">
        <f t="shared" si="40"/>
        <v>2</v>
      </c>
      <c r="CG37" s="87">
        <v>0.63</v>
      </c>
      <c r="CH37" s="66">
        <v>0.48</v>
      </c>
      <c r="CI37" s="93">
        <v>3932.3</v>
      </c>
      <c r="CJ37" s="93"/>
      <c r="CK37" s="93"/>
      <c r="CL37" s="87">
        <v>-5.14</v>
      </c>
      <c r="CM37" s="66">
        <v>1000</v>
      </c>
      <c r="CN37" s="102">
        <v>8956.4699999999993</v>
      </c>
      <c r="CO37" s="110">
        <f t="shared" si="41"/>
        <v>9956.4699999999993</v>
      </c>
      <c r="CP37" s="110">
        <f t="shared" si="42"/>
        <v>895.64699999999993</v>
      </c>
    </row>
    <row r="38" spans="2:94" hidden="1" outlineLevel="1" x14ac:dyDescent="0.2">
      <c r="B38" s="72" t="s">
        <v>1488</v>
      </c>
      <c r="C38" s="57" t="s">
        <v>1387</v>
      </c>
      <c r="D38" s="57" t="s">
        <v>1440</v>
      </c>
      <c r="E38" s="65" t="s">
        <v>1389</v>
      </c>
      <c r="F38" s="57" t="s">
        <v>1454</v>
      </c>
      <c r="G38" s="62" t="s">
        <v>1556</v>
      </c>
      <c r="H38" s="128" t="b">
        <v>1</v>
      </c>
      <c r="I38" s="122" t="s">
        <v>1865</v>
      </c>
      <c r="N38" s="124">
        <v>21</v>
      </c>
      <c r="O38" s="124">
        <v>0.8</v>
      </c>
      <c r="P38" s="124">
        <v>5</v>
      </c>
      <c r="Q38" s="128" t="b">
        <v>1</v>
      </c>
      <c r="R38" s="127" t="s">
        <v>1559</v>
      </c>
      <c r="T38" s="126">
        <v>13</v>
      </c>
      <c r="U38" s="124">
        <v>1.4999999999999999E-2</v>
      </c>
      <c r="V38" s="126">
        <v>75</v>
      </c>
      <c r="W38" s="126">
        <v>-75</v>
      </c>
      <c r="X38" s="124">
        <v>50</v>
      </c>
      <c r="Y38" s="124">
        <v>5</v>
      </c>
      <c r="Z38" s="128" t="b">
        <v>1</v>
      </c>
      <c r="AA38" s="127" t="s">
        <v>1867</v>
      </c>
      <c r="AB38" s="122">
        <v>3</v>
      </c>
      <c r="AC38" s="146"/>
      <c r="AD38" s="147">
        <v>34</v>
      </c>
      <c r="AE38" s="124"/>
      <c r="AF38" s="124">
        <v>5.0000000000000001E-4</v>
      </c>
      <c r="AG38" s="135" t="b">
        <v>1</v>
      </c>
      <c r="AH38" s="125">
        <v>5</v>
      </c>
      <c r="AI38" s="125">
        <v>13</v>
      </c>
      <c r="AJ38" s="125">
        <v>34</v>
      </c>
      <c r="AK38" s="125">
        <v>89</v>
      </c>
      <c r="AL38" s="129" t="b">
        <v>0</v>
      </c>
      <c r="AM38" s="128" t="b">
        <v>1</v>
      </c>
      <c r="AN38" s="131" t="s">
        <v>1469</v>
      </c>
      <c r="AO38" s="127">
        <v>1E-4</v>
      </c>
      <c r="AP38" s="128" t="b">
        <v>1</v>
      </c>
      <c r="AQ38" s="127">
        <v>1E-3</v>
      </c>
      <c r="AR38" s="149">
        <v>8</v>
      </c>
      <c r="AS38" s="149">
        <v>13</v>
      </c>
      <c r="AT38" s="149">
        <v>8</v>
      </c>
      <c r="AU38" s="128" t="b">
        <v>1</v>
      </c>
      <c r="AV38" s="124">
        <v>3</v>
      </c>
      <c r="AW38" s="146">
        <v>5</v>
      </c>
      <c r="AX38" s="124">
        <v>1</v>
      </c>
      <c r="AY38" s="128" t="b">
        <v>1</v>
      </c>
      <c r="AZ38" s="122" t="s">
        <v>1576</v>
      </c>
      <c r="BA38" s="122">
        <v>4</v>
      </c>
      <c r="BB38" s="126">
        <v>0.05</v>
      </c>
      <c r="BC38" s="126">
        <v>0.5</v>
      </c>
      <c r="BD38" s="129" t="b">
        <v>0</v>
      </c>
      <c r="BE38" s="122" t="s">
        <v>1873</v>
      </c>
      <c r="BF38" s="128" t="b">
        <v>1</v>
      </c>
      <c r="BG38" s="122" t="s">
        <v>1578</v>
      </c>
      <c r="BH38" s="122">
        <v>0.01</v>
      </c>
      <c r="BI38" s="156" t="s">
        <v>403</v>
      </c>
      <c r="BJ38" s="128" t="b">
        <v>1</v>
      </c>
      <c r="BK38" s="157">
        <v>2</v>
      </c>
      <c r="BL38" s="128" t="b">
        <v>1</v>
      </c>
      <c r="BM38" s="156" t="s">
        <v>412</v>
      </c>
      <c r="BN38" s="129" t="b">
        <v>0</v>
      </c>
      <c r="BO38" s="156" t="s">
        <v>1382</v>
      </c>
      <c r="BP38" s="157"/>
      <c r="BQ38" s="157"/>
      <c r="BR38" s="166" t="str">
        <f t="shared" si="43"/>
        <v>5/ 13/ 34/ 89</v>
      </c>
      <c r="BS38" s="166" t="str">
        <f t="shared" si="37"/>
        <v>8 / 13 / 8</v>
      </c>
      <c r="BT38" s="166" t="str">
        <f t="shared" si="38"/>
        <v>0.05 / 0.5</v>
      </c>
      <c r="BU38" s="66">
        <v>306</v>
      </c>
      <c r="BV38" s="66">
        <v>193</v>
      </c>
      <c r="BW38" s="66">
        <v>176</v>
      </c>
      <c r="BX38" s="99">
        <f t="shared" si="39"/>
        <v>17</v>
      </c>
      <c r="BY38" s="66">
        <v>20</v>
      </c>
      <c r="BZ38" s="92">
        <f t="shared" si="44"/>
        <v>93</v>
      </c>
      <c r="CA38" s="204">
        <f t="shared" si="45"/>
        <v>0.63071895424836599</v>
      </c>
      <c r="CB38" s="205">
        <f t="shared" si="46"/>
        <v>6.535947712418301E-2</v>
      </c>
      <c r="CC38" s="87">
        <v>5.72</v>
      </c>
      <c r="CD38" s="66">
        <v>19.64</v>
      </c>
      <c r="CE38" s="87">
        <v>0.45</v>
      </c>
      <c r="CF38" s="170">
        <f t="shared" si="40"/>
        <v>2</v>
      </c>
      <c r="CG38" s="87">
        <v>0.6</v>
      </c>
      <c r="CH38" s="66">
        <v>0.46</v>
      </c>
      <c r="CI38" s="93">
        <v>3445.9</v>
      </c>
      <c r="CJ38" s="93"/>
      <c r="CK38" s="93"/>
      <c r="CL38" s="87">
        <v>-3.95</v>
      </c>
      <c r="CM38" s="66">
        <v>1000</v>
      </c>
      <c r="CN38" s="93">
        <v>6009.55</v>
      </c>
      <c r="CO38" s="108">
        <f t="shared" si="41"/>
        <v>7009.55</v>
      </c>
      <c r="CP38" s="108">
        <f t="shared" si="42"/>
        <v>600.95500000000004</v>
      </c>
    </row>
    <row r="39" spans="2:94" hidden="1" outlineLevel="1" x14ac:dyDescent="0.2">
      <c r="B39" s="72" t="s">
        <v>1489</v>
      </c>
      <c r="C39" s="57" t="s">
        <v>1387</v>
      </c>
      <c r="D39" s="57" t="s">
        <v>1440</v>
      </c>
      <c r="E39" s="65" t="s">
        <v>1389</v>
      </c>
      <c r="F39" s="57" t="s">
        <v>1454</v>
      </c>
      <c r="G39" s="62" t="s">
        <v>1556</v>
      </c>
      <c r="H39" s="128" t="b">
        <v>1</v>
      </c>
      <c r="I39" s="122" t="s">
        <v>1865</v>
      </c>
      <c r="N39" s="124">
        <v>21</v>
      </c>
      <c r="O39" s="124">
        <v>0.8</v>
      </c>
      <c r="P39" s="124">
        <v>5</v>
      </c>
      <c r="Q39" s="128" t="b">
        <v>1</v>
      </c>
      <c r="R39" s="127" t="s">
        <v>1559</v>
      </c>
      <c r="T39" s="126">
        <v>13</v>
      </c>
      <c r="U39" s="124">
        <v>1.4999999999999999E-2</v>
      </c>
      <c r="V39" s="126">
        <v>75</v>
      </c>
      <c r="W39" s="126">
        <v>-75</v>
      </c>
      <c r="X39" s="124">
        <v>50</v>
      </c>
      <c r="Y39" s="124">
        <v>5</v>
      </c>
      <c r="Z39" s="128" t="b">
        <v>1</v>
      </c>
      <c r="AA39" s="127" t="s">
        <v>1867</v>
      </c>
      <c r="AB39" s="122">
        <v>3</v>
      </c>
      <c r="AC39" s="146"/>
      <c r="AD39" s="147">
        <v>34</v>
      </c>
      <c r="AE39" s="124"/>
      <c r="AF39" s="124">
        <v>5.0000000000000001E-4</v>
      </c>
      <c r="AG39" s="135" t="b">
        <v>1</v>
      </c>
      <c r="AH39" s="125">
        <v>5</v>
      </c>
      <c r="AI39" s="125">
        <v>13</v>
      </c>
      <c r="AJ39" s="125">
        <v>34</v>
      </c>
      <c r="AK39" s="125">
        <v>89</v>
      </c>
      <c r="AL39" s="129" t="b">
        <v>0</v>
      </c>
      <c r="AM39" s="128" t="b">
        <v>1</v>
      </c>
      <c r="AN39" s="131" t="s">
        <v>1469</v>
      </c>
      <c r="AO39" s="127">
        <v>1E-4</v>
      </c>
      <c r="AP39" s="128" t="b">
        <v>1</v>
      </c>
      <c r="AQ39" s="127">
        <v>1E-3</v>
      </c>
      <c r="AR39" s="150">
        <v>8</v>
      </c>
      <c r="AS39" s="150">
        <v>17</v>
      </c>
      <c r="AT39" s="150">
        <v>9</v>
      </c>
      <c r="AU39" s="128" t="b">
        <v>1</v>
      </c>
      <c r="AV39" s="124">
        <v>3</v>
      </c>
      <c r="AW39" s="146">
        <v>5</v>
      </c>
      <c r="AX39" s="124">
        <v>1</v>
      </c>
      <c r="AY39" s="128" t="b">
        <v>1</v>
      </c>
      <c r="AZ39" s="122" t="s">
        <v>1576</v>
      </c>
      <c r="BA39" s="122">
        <v>4</v>
      </c>
      <c r="BB39" s="126">
        <v>0.05</v>
      </c>
      <c r="BC39" s="126">
        <v>0.5</v>
      </c>
      <c r="BD39" s="129" t="b">
        <v>0</v>
      </c>
      <c r="BE39" s="122" t="s">
        <v>1873</v>
      </c>
      <c r="BF39" s="128" t="b">
        <v>1</v>
      </c>
      <c r="BG39" s="122" t="s">
        <v>1578</v>
      </c>
      <c r="BH39" s="122">
        <v>0.01</v>
      </c>
      <c r="BI39" s="156" t="s">
        <v>403</v>
      </c>
      <c r="BJ39" s="128" t="b">
        <v>1</v>
      </c>
      <c r="BK39" s="157">
        <v>2</v>
      </c>
      <c r="BL39" s="128" t="b">
        <v>1</v>
      </c>
      <c r="BM39" s="156" t="s">
        <v>412</v>
      </c>
      <c r="BN39" s="129" t="b">
        <v>0</v>
      </c>
      <c r="BO39" s="156" t="s">
        <v>1382</v>
      </c>
      <c r="BP39" s="157"/>
      <c r="BQ39" s="157"/>
      <c r="BR39" s="166" t="str">
        <f t="shared" si="43"/>
        <v>5/ 13/ 34/ 89</v>
      </c>
      <c r="BS39" s="166" t="str">
        <f t="shared" si="37"/>
        <v>8 / 17 / 9</v>
      </c>
      <c r="BT39" s="166" t="str">
        <f t="shared" si="38"/>
        <v>0.05 / 0.5</v>
      </c>
      <c r="BU39" s="66">
        <v>312</v>
      </c>
      <c r="BV39" s="66">
        <v>189</v>
      </c>
      <c r="BW39" s="66">
        <v>173</v>
      </c>
      <c r="BX39" s="99">
        <f t="shared" si="39"/>
        <v>16</v>
      </c>
      <c r="BY39" s="66">
        <v>24</v>
      </c>
      <c r="BZ39" s="92">
        <f t="shared" si="44"/>
        <v>99</v>
      </c>
      <c r="CA39" s="204">
        <f>IF(BU39=0,0,BV39/BU39)</f>
        <v>0.60576923076923073</v>
      </c>
      <c r="CB39" s="205">
        <f>IF(BU39=0,0,BY39/BU39)</f>
        <v>7.6923076923076927E-2</v>
      </c>
      <c r="CC39" s="87">
        <v>4.79</v>
      </c>
      <c r="CD39" s="66">
        <v>17.440000000000001</v>
      </c>
      <c r="CE39" s="87">
        <v>0.42</v>
      </c>
      <c r="CF39" s="170">
        <f t="shared" si="40"/>
        <v>2</v>
      </c>
      <c r="CG39" s="87">
        <v>0.6</v>
      </c>
      <c r="CH39" s="66">
        <v>0.48</v>
      </c>
      <c r="CI39" s="93">
        <v>3431.7</v>
      </c>
      <c r="CJ39" s="93"/>
      <c r="CK39" s="93"/>
      <c r="CL39" s="87">
        <v>-5.53</v>
      </c>
      <c r="CM39" s="66">
        <v>1000</v>
      </c>
      <c r="CN39" s="93">
        <v>5441.04</v>
      </c>
      <c r="CO39" s="108">
        <f t="shared" si="41"/>
        <v>6441.04</v>
      </c>
      <c r="CP39" s="108">
        <f t="shared" si="42"/>
        <v>544.10400000000004</v>
      </c>
    </row>
    <row r="40" spans="2:94" hidden="1" outlineLevel="1" x14ac:dyDescent="0.2">
      <c r="B40" s="72" t="s">
        <v>1490</v>
      </c>
      <c r="C40" s="57" t="s">
        <v>1387</v>
      </c>
      <c r="D40" s="57" t="s">
        <v>1440</v>
      </c>
      <c r="E40" s="65" t="s">
        <v>1389</v>
      </c>
      <c r="F40" s="57" t="s">
        <v>1454</v>
      </c>
      <c r="G40" s="62" t="s">
        <v>1556</v>
      </c>
      <c r="H40" s="128" t="b">
        <v>1</v>
      </c>
      <c r="I40" s="122" t="s">
        <v>1865</v>
      </c>
      <c r="N40" s="124">
        <v>21</v>
      </c>
      <c r="O40" s="124">
        <v>0.8</v>
      </c>
      <c r="P40" s="124">
        <v>5</v>
      </c>
      <c r="Q40" s="128" t="b">
        <v>1</v>
      </c>
      <c r="R40" s="127" t="s">
        <v>1559</v>
      </c>
      <c r="T40" s="126">
        <v>13</v>
      </c>
      <c r="U40" s="124">
        <v>1.4999999999999999E-2</v>
      </c>
      <c r="V40" s="126">
        <v>75</v>
      </c>
      <c r="W40" s="126">
        <v>-75</v>
      </c>
      <c r="X40" s="124">
        <v>50</v>
      </c>
      <c r="Y40" s="124">
        <v>5</v>
      </c>
      <c r="Z40" s="128" t="b">
        <v>1</v>
      </c>
      <c r="AA40" s="127" t="s">
        <v>1867</v>
      </c>
      <c r="AB40" s="122">
        <v>3</v>
      </c>
      <c r="AC40" s="146"/>
      <c r="AD40" s="147">
        <v>34</v>
      </c>
      <c r="AE40" s="124"/>
      <c r="AF40" s="124">
        <v>5.0000000000000001E-4</v>
      </c>
      <c r="AG40" s="135" t="b">
        <v>1</v>
      </c>
      <c r="AH40" s="125">
        <v>5</v>
      </c>
      <c r="AI40" s="125">
        <v>13</v>
      </c>
      <c r="AJ40" s="125">
        <v>34</v>
      </c>
      <c r="AK40" s="125">
        <v>89</v>
      </c>
      <c r="AL40" s="129" t="b">
        <v>0</v>
      </c>
      <c r="AM40" s="128" t="b">
        <v>1</v>
      </c>
      <c r="AN40" s="131" t="s">
        <v>1469</v>
      </c>
      <c r="AO40" s="127">
        <v>1E-4</v>
      </c>
      <c r="AP40" s="128" t="b">
        <v>1</v>
      </c>
      <c r="AQ40" s="127">
        <v>1E-3</v>
      </c>
      <c r="AR40" s="151">
        <v>12</v>
      </c>
      <c r="AS40" s="151">
        <v>26</v>
      </c>
      <c r="AT40" s="151">
        <v>9</v>
      </c>
      <c r="AU40" s="128" t="b">
        <v>1</v>
      </c>
      <c r="AV40" s="124">
        <v>3</v>
      </c>
      <c r="AW40" s="146">
        <v>5</v>
      </c>
      <c r="AX40" s="124">
        <v>1</v>
      </c>
      <c r="AY40" s="128" t="b">
        <v>1</v>
      </c>
      <c r="AZ40" s="122" t="s">
        <v>1576</v>
      </c>
      <c r="BA40" s="122">
        <v>4</v>
      </c>
      <c r="BB40" s="126">
        <v>0.05</v>
      </c>
      <c r="BC40" s="126">
        <v>0.5</v>
      </c>
      <c r="BD40" s="129" t="b">
        <v>0</v>
      </c>
      <c r="BE40" s="122" t="s">
        <v>1873</v>
      </c>
      <c r="BF40" s="128" t="b">
        <v>1</v>
      </c>
      <c r="BG40" s="122" t="s">
        <v>1578</v>
      </c>
      <c r="BH40" s="122">
        <v>0.01</v>
      </c>
      <c r="BI40" s="156" t="s">
        <v>403</v>
      </c>
      <c r="BJ40" s="128" t="b">
        <v>1</v>
      </c>
      <c r="BK40" s="157">
        <v>2</v>
      </c>
      <c r="BL40" s="128" t="b">
        <v>1</v>
      </c>
      <c r="BM40" s="156" t="s">
        <v>412</v>
      </c>
      <c r="BN40" s="129" t="b">
        <v>0</v>
      </c>
      <c r="BO40" s="156" t="s">
        <v>1382</v>
      </c>
      <c r="BP40" s="157"/>
      <c r="BQ40" s="157"/>
      <c r="BR40" s="166" t="str">
        <f t="shared" si="43"/>
        <v>5/ 13/ 34/ 89</v>
      </c>
      <c r="BS40" s="166" t="str">
        <f t="shared" si="37"/>
        <v>12 / 26 / 9</v>
      </c>
      <c r="BT40" s="166" t="str">
        <f t="shared" si="38"/>
        <v>0.05 / 0.5</v>
      </c>
      <c r="BU40" s="66">
        <v>284</v>
      </c>
      <c r="BV40" s="66">
        <v>178</v>
      </c>
      <c r="BW40" s="66">
        <v>161</v>
      </c>
      <c r="BX40" s="99">
        <f t="shared" si="39"/>
        <v>17</v>
      </c>
      <c r="BY40" s="66">
        <v>21</v>
      </c>
      <c r="BZ40" s="92">
        <f t="shared" si="44"/>
        <v>85</v>
      </c>
      <c r="CA40" s="204">
        <f>IF(BU40=0,0,BV40/BU40)</f>
        <v>0.62676056338028174</v>
      </c>
      <c r="CB40" s="205">
        <f>IF(BU40=0,0,BY40/BU40)</f>
        <v>7.3943661971830985E-2</v>
      </c>
      <c r="CC40" s="87">
        <v>6.64</v>
      </c>
      <c r="CD40" s="66">
        <v>20.82</v>
      </c>
      <c r="CE40" s="87">
        <v>0.48</v>
      </c>
      <c r="CF40" s="170">
        <f t="shared" si="40"/>
        <v>2</v>
      </c>
      <c r="CG40" s="87">
        <v>0.64</v>
      </c>
      <c r="CH40" s="66">
        <v>0.46</v>
      </c>
      <c r="CI40" s="93">
        <v>3387.4</v>
      </c>
      <c r="CJ40" s="93"/>
      <c r="CK40" s="93"/>
      <c r="CL40" s="87">
        <v>-3.6</v>
      </c>
      <c r="CM40" s="66">
        <v>1000</v>
      </c>
      <c r="CN40" s="93">
        <v>5913.67</v>
      </c>
      <c r="CO40" s="108">
        <f t="shared" si="41"/>
        <v>6913.67</v>
      </c>
      <c r="CP40" s="108">
        <f t="shared" si="42"/>
        <v>591.36699999999996</v>
      </c>
    </row>
    <row r="41" spans="2:94" hidden="1" outlineLevel="1" x14ac:dyDescent="0.2">
      <c r="B41" s="72" t="s">
        <v>1491</v>
      </c>
      <c r="C41" s="57" t="s">
        <v>1387</v>
      </c>
      <c r="D41" s="57" t="s">
        <v>1440</v>
      </c>
      <c r="E41" s="65" t="s">
        <v>1389</v>
      </c>
      <c r="F41" s="57" t="s">
        <v>1454</v>
      </c>
      <c r="G41" s="62" t="s">
        <v>1556</v>
      </c>
      <c r="H41" s="128" t="b">
        <v>1</v>
      </c>
      <c r="I41" s="122" t="s">
        <v>1865</v>
      </c>
      <c r="N41" s="124">
        <v>21</v>
      </c>
      <c r="O41" s="124">
        <v>0.8</v>
      </c>
      <c r="P41" s="124">
        <v>5</v>
      </c>
      <c r="Q41" s="128" t="b">
        <v>1</v>
      </c>
      <c r="R41" s="127" t="s">
        <v>1559</v>
      </c>
      <c r="T41" s="126">
        <v>13</v>
      </c>
      <c r="U41" s="124">
        <v>1.4999999999999999E-2</v>
      </c>
      <c r="V41" s="126">
        <v>75</v>
      </c>
      <c r="W41" s="126">
        <v>-75</v>
      </c>
      <c r="X41" s="124">
        <v>50</v>
      </c>
      <c r="Y41" s="124">
        <v>5</v>
      </c>
      <c r="Z41" s="128" t="b">
        <v>1</v>
      </c>
      <c r="AA41" s="127" t="s">
        <v>1867</v>
      </c>
      <c r="AB41" s="122">
        <v>3</v>
      </c>
      <c r="AC41" s="146"/>
      <c r="AD41" s="147">
        <v>34</v>
      </c>
      <c r="AE41" s="124"/>
      <c r="AF41" s="124">
        <v>5.0000000000000001E-4</v>
      </c>
      <c r="AG41" s="135" t="b">
        <v>1</v>
      </c>
      <c r="AH41" s="125">
        <v>5</v>
      </c>
      <c r="AI41" s="125">
        <v>13</v>
      </c>
      <c r="AJ41" s="125">
        <v>34</v>
      </c>
      <c r="AK41" s="125">
        <v>89</v>
      </c>
      <c r="AL41" s="129" t="b">
        <v>0</v>
      </c>
      <c r="AM41" s="128" t="b">
        <v>1</v>
      </c>
      <c r="AN41" s="131" t="s">
        <v>1469</v>
      </c>
      <c r="AO41" s="127">
        <v>1E-4</v>
      </c>
      <c r="AP41" s="128" t="b">
        <v>1</v>
      </c>
      <c r="AQ41" s="127">
        <v>1E-3</v>
      </c>
      <c r="AR41" s="137">
        <v>21</v>
      </c>
      <c r="AS41" s="137">
        <v>34</v>
      </c>
      <c r="AT41" s="137">
        <v>9</v>
      </c>
      <c r="AU41" s="128" t="b">
        <v>1</v>
      </c>
      <c r="AV41" s="124">
        <v>3</v>
      </c>
      <c r="AW41" s="146">
        <v>5</v>
      </c>
      <c r="AX41" s="124">
        <v>1</v>
      </c>
      <c r="AY41" s="128" t="b">
        <v>1</v>
      </c>
      <c r="AZ41" s="122" t="s">
        <v>1576</v>
      </c>
      <c r="BA41" s="122">
        <v>4</v>
      </c>
      <c r="BB41" s="126">
        <v>0.05</v>
      </c>
      <c r="BC41" s="126">
        <v>0.5</v>
      </c>
      <c r="BD41" s="129" t="b">
        <v>0</v>
      </c>
      <c r="BE41" s="122" t="s">
        <v>1873</v>
      </c>
      <c r="BF41" s="128" t="b">
        <v>1</v>
      </c>
      <c r="BG41" s="122" t="s">
        <v>1578</v>
      </c>
      <c r="BH41" s="122">
        <v>0.01</v>
      </c>
      <c r="BI41" s="156" t="s">
        <v>403</v>
      </c>
      <c r="BJ41" s="128" t="b">
        <v>1</v>
      </c>
      <c r="BK41" s="157">
        <v>2</v>
      </c>
      <c r="BL41" s="128" t="b">
        <v>1</v>
      </c>
      <c r="BM41" s="156" t="s">
        <v>412</v>
      </c>
      <c r="BN41" s="129" t="b">
        <v>0</v>
      </c>
      <c r="BO41" s="156" t="s">
        <v>1382</v>
      </c>
      <c r="BP41" s="157"/>
      <c r="BQ41" s="157"/>
      <c r="BR41" s="166" t="str">
        <f t="shared" si="43"/>
        <v>5/ 13/ 34/ 89</v>
      </c>
      <c r="BS41" s="166" t="str">
        <f t="shared" si="37"/>
        <v>21 / 34 / 9</v>
      </c>
      <c r="BT41" s="166" t="str">
        <f t="shared" si="38"/>
        <v>0.05 / 0.5</v>
      </c>
      <c r="BU41" s="66">
        <v>231</v>
      </c>
      <c r="BV41" s="66">
        <v>147</v>
      </c>
      <c r="BW41" s="66">
        <v>133</v>
      </c>
      <c r="BX41" s="99">
        <f t="shared" si="39"/>
        <v>14</v>
      </c>
      <c r="BY41" s="66">
        <v>15</v>
      </c>
      <c r="BZ41" s="92">
        <f t="shared" si="44"/>
        <v>69</v>
      </c>
      <c r="CA41" s="204">
        <f t="shared" ref="CA41" si="47">IF(BU41=0,0,BV41/BU41)</f>
        <v>0.63636363636363635</v>
      </c>
      <c r="CB41" s="205">
        <f t="shared" ref="CB41" si="48">IF(BU41=0,0,BY41/BU41)</f>
        <v>6.4935064935064929E-2</v>
      </c>
      <c r="CC41" s="87">
        <v>7.36</v>
      </c>
      <c r="CD41" s="66">
        <v>17.37</v>
      </c>
      <c r="CE41" s="87">
        <v>0.52</v>
      </c>
      <c r="CF41" s="170">
        <f t="shared" si="40"/>
        <v>2</v>
      </c>
      <c r="CG41" s="87">
        <v>0.64</v>
      </c>
      <c r="CH41" s="66">
        <v>0.45</v>
      </c>
      <c r="CI41" s="93">
        <v>2841.5</v>
      </c>
      <c r="CJ41" s="93"/>
      <c r="CK41" s="93"/>
      <c r="CL41" s="87">
        <v>-2.68</v>
      </c>
      <c r="CM41" s="66">
        <v>1000</v>
      </c>
      <c r="CN41" s="101">
        <v>4012.47</v>
      </c>
      <c r="CO41" s="109">
        <f t="shared" si="41"/>
        <v>5012.4699999999993</v>
      </c>
      <c r="CP41" s="109">
        <f t="shared" si="42"/>
        <v>401.24699999999996</v>
      </c>
    </row>
    <row r="42" spans="2:94" hidden="1" outlineLevel="1" x14ac:dyDescent="0.2">
      <c r="G42" s="62"/>
      <c r="R42" s="130"/>
      <c r="AA42" s="130"/>
      <c r="AC42" s="124"/>
      <c r="AD42" s="124"/>
      <c r="AE42" s="124"/>
      <c r="AH42" s="125"/>
      <c r="AI42" s="125"/>
      <c r="AJ42" s="125"/>
      <c r="AK42" s="125"/>
      <c r="AO42" s="127"/>
      <c r="AR42" s="124"/>
      <c r="AS42" s="124"/>
      <c r="AT42" s="124"/>
      <c r="BB42" s="124"/>
      <c r="BC42" s="124"/>
      <c r="BI42" s="156"/>
      <c r="BK42" s="154"/>
      <c r="BP42" s="154"/>
      <c r="BQ42" s="154"/>
      <c r="BS42" s="167"/>
      <c r="BT42" s="167"/>
      <c r="BU42" s="85"/>
      <c r="BV42" s="85"/>
      <c r="BW42" s="85"/>
      <c r="BX42" s="100"/>
      <c r="BY42" s="85"/>
      <c r="BZ42" s="86"/>
      <c r="CA42" s="85"/>
      <c r="CB42" s="95"/>
      <c r="CC42" s="85"/>
      <c r="CD42" s="85"/>
      <c r="CE42" s="85"/>
      <c r="CF42" s="107"/>
      <c r="CG42" s="85"/>
      <c r="CH42" s="85"/>
      <c r="CI42" s="85"/>
      <c r="CJ42" s="85"/>
      <c r="CK42" s="85"/>
      <c r="CL42" s="85"/>
      <c r="CM42" s="84"/>
      <c r="CN42" s="85"/>
      <c r="CO42" s="107"/>
      <c r="CP42" s="107"/>
    </row>
    <row r="43" spans="2:94" collapsed="1" x14ac:dyDescent="0.2">
      <c r="B43" s="72" t="s">
        <v>1496</v>
      </c>
      <c r="C43" s="57" t="s">
        <v>1387</v>
      </c>
      <c r="D43" s="57" t="s">
        <v>1440</v>
      </c>
      <c r="E43" s="65" t="s">
        <v>1389</v>
      </c>
      <c r="F43" s="57" t="s">
        <v>1454</v>
      </c>
      <c r="G43" s="62" t="s">
        <v>1556</v>
      </c>
      <c r="H43" s="128" t="b">
        <v>1</v>
      </c>
      <c r="I43" s="122" t="s">
        <v>1865</v>
      </c>
      <c r="N43" s="124">
        <v>21</v>
      </c>
      <c r="O43" s="124">
        <v>0.8</v>
      </c>
      <c r="P43" s="124">
        <v>5</v>
      </c>
      <c r="Q43" s="128" t="b">
        <v>1</v>
      </c>
      <c r="R43" s="127" t="s">
        <v>1559</v>
      </c>
      <c r="T43" s="126">
        <v>13</v>
      </c>
      <c r="U43" s="124">
        <v>1.4999999999999999E-2</v>
      </c>
      <c r="V43" s="126">
        <v>75</v>
      </c>
      <c r="W43" s="126">
        <v>-75</v>
      </c>
      <c r="X43" s="124">
        <v>50</v>
      </c>
      <c r="Y43" s="124">
        <v>5</v>
      </c>
      <c r="Z43" s="128" t="b">
        <v>1</v>
      </c>
      <c r="AA43" s="127" t="s">
        <v>1867</v>
      </c>
      <c r="AB43" s="122">
        <v>3</v>
      </c>
      <c r="AC43" s="146"/>
      <c r="AD43" s="147">
        <v>34</v>
      </c>
      <c r="AE43" s="124"/>
      <c r="AF43" s="124">
        <v>5.0000000000000001E-4</v>
      </c>
      <c r="AG43" s="135" t="b">
        <v>1</v>
      </c>
      <c r="AH43" s="125">
        <v>5</v>
      </c>
      <c r="AI43" s="125">
        <v>13</v>
      </c>
      <c r="AJ43" s="125">
        <v>34</v>
      </c>
      <c r="AK43" s="125">
        <v>89</v>
      </c>
      <c r="AL43" s="129" t="b">
        <v>0</v>
      </c>
      <c r="AM43" s="128" t="b">
        <v>1</v>
      </c>
      <c r="AN43" s="131" t="s">
        <v>1469</v>
      </c>
      <c r="AO43" s="127">
        <v>1E-4</v>
      </c>
      <c r="AP43" s="128" t="b">
        <v>1</v>
      </c>
      <c r="AQ43" s="127">
        <v>1E-3</v>
      </c>
      <c r="AR43" s="126">
        <v>5</v>
      </c>
      <c r="AS43" s="126">
        <v>8</v>
      </c>
      <c r="AT43" s="126">
        <v>5</v>
      </c>
      <c r="AU43" s="128" t="b">
        <v>1</v>
      </c>
      <c r="AV43" s="124">
        <v>3</v>
      </c>
      <c r="AW43" s="146">
        <v>5</v>
      </c>
      <c r="AX43" s="124">
        <v>1</v>
      </c>
      <c r="AY43" s="128" t="b">
        <v>1</v>
      </c>
      <c r="AZ43" s="122" t="s">
        <v>1576</v>
      </c>
      <c r="BA43" s="122">
        <v>4</v>
      </c>
      <c r="BB43" s="126">
        <v>0.05</v>
      </c>
      <c r="BC43" s="126">
        <v>0.5</v>
      </c>
      <c r="BD43" s="129" t="b">
        <v>0</v>
      </c>
      <c r="BE43" s="122" t="s">
        <v>1873</v>
      </c>
      <c r="BF43" s="128" t="b">
        <v>1</v>
      </c>
      <c r="BG43" s="122" t="s">
        <v>1578</v>
      </c>
      <c r="BH43" s="122">
        <v>0.01</v>
      </c>
      <c r="BI43" s="156" t="s">
        <v>403</v>
      </c>
      <c r="BJ43" s="128" t="b">
        <v>1</v>
      </c>
      <c r="BK43" s="158">
        <v>3</v>
      </c>
      <c r="BL43" s="128" t="b">
        <v>1</v>
      </c>
      <c r="BM43" s="156" t="s">
        <v>412</v>
      </c>
      <c r="BN43" s="129" t="b">
        <v>0</v>
      </c>
      <c r="BO43" s="156" t="s">
        <v>1382</v>
      </c>
      <c r="BP43" s="157"/>
      <c r="BQ43" s="157"/>
      <c r="BR43" s="166" t="str">
        <f>AH43&amp;"/ "&amp;AI43&amp;"/ "&amp;AJ43&amp;"/ "&amp;AK43</f>
        <v>5/ 13/ 34/ 89</v>
      </c>
      <c r="BS43" s="166" t="str">
        <f t="shared" ref="BS43:BS48" si="49">AR43&amp;" / "&amp;AS43&amp;" / "&amp;AT43</f>
        <v>5 / 8 / 5</v>
      </c>
      <c r="BT43" s="166" t="str">
        <f t="shared" ref="BT43:BT48" si="50">BB43&amp;" / "&amp;BC43</f>
        <v>0.05 / 0.5</v>
      </c>
      <c r="BU43" s="66">
        <v>317</v>
      </c>
      <c r="BV43" s="66">
        <v>201</v>
      </c>
      <c r="BW43" s="66">
        <v>194</v>
      </c>
      <c r="BX43" s="99">
        <f t="shared" ref="BX43:BX48" si="51">BV43-BW43</f>
        <v>7</v>
      </c>
      <c r="BY43" s="66">
        <v>17</v>
      </c>
      <c r="BZ43" s="92">
        <f>BU43-SUM(BW43:BY43)</f>
        <v>99</v>
      </c>
      <c r="CA43" s="204">
        <f>IF(BU43=0,0,BV43/BU43)</f>
        <v>0.63406940063091488</v>
      </c>
      <c r="CB43" s="205">
        <f>IF(BU43=0,0,BY43/BU43)</f>
        <v>5.362776025236593E-2</v>
      </c>
      <c r="CC43" s="87">
        <v>7.59</v>
      </c>
      <c r="CD43" s="87">
        <v>31.17</v>
      </c>
      <c r="CE43" s="87">
        <v>0.46</v>
      </c>
      <c r="CF43" s="170">
        <f t="shared" ref="CF43:CF48" si="52">BK43</f>
        <v>3</v>
      </c>
      <c r="CG43" s="87">
        <v>0.68</v>
      </c>
      <c r="CH43" s="87">
        <v>0.47</v>
      </c>
      <c r="CI43" s="93">
        <v>4091.2</v>
      </c>
      <c r="CJ43" s="93"/>
      <c r="CK43" s="93"/>
      <c r="CL43" s="87">
        <v>-2.65</v>
      </c>
      <c r="CM43" s="66">
        <v>1000</v>
      </c>
      <c r="CN43" s="93">
        <v>9880.14</v>
      </c>
      <c r="CO43" s="108">
        <f t="shared" ref="CO43:CO48" si="53">CM43+CN43</f>
        <v>10880.14</v>
      </c>
      <c r="CP43" s="108">
        <f t="shared" ref="CP43:CP48" si="54">CN43/10</f>
        <v>988.0139999999999</v>
      </c>
    </row>
    <row r="44" spans="2:94" hidden="1" outlineLevel="1" x14ac:dyDescent="0.2">
      <c r="B44" s="72" t="s">
        <v>1497</v>
      </c>
      <c r="C44" s="57" t="s">
        <v>1387</v>
      </c>
      <c r="D44" s="57" t="s">
        <v>1440</v>
      </c>
      <c r="E44" s="65" t="s">
        <v>1389</v>
      </c>
      <c r="F44" s="57" t="s">
        <v>1454</v>
      </c>
      <c r="G44" s="62" t="s">
        <v>1556</v>
      </c>
      <c r="H44" s="128" t="b">
        <v>1</v>
      </c>
      <c r="I44" s="122" t="s">
        <v>1865</v>
      </c>
      <c r="N44" s="124">
        <v>21</v>
      </c>
      <c r="O44" s="124">
        <v>0.8</v>
      </c>
      <c r="P44" s="124">
        <v>5</v>
      </c>
      <c r="Q44" s="128" t="b">
        <v>1</v>
      </c>
      <c r="R44" s="127" t="s">
        <v>1559</v>
      </c>
      <c r="T44" s="126">
        <v>13</v>
      </c>
      <c r="U44" s="124">
        <v>1.4999999999999999E-2</v>
      </c>
      <c r="V44" s="126">
        <v>75</v>
      </c>
      <c r="W44" s="126">
        <v>-75</v>
      </c>
      <c r="X44" s="124">
        <v>50</v>
      </c>
      <c r="Y44" s="124">
        <v>5</v>
      </c>
      <c r="Z44" s="128" t="b">
        <v>1</v>
      </c>
      <c r="AA44" s="127" t="s">
        <v>1867</v>
      </c>
      <c r="AB44" s="122">
        <v>3</v>
      </c>
      <c r="AC44" s="146"/>
      <c r="AD44" s="147">
        <v>34</v>
      </c>
      <c r="AE44" s="124"/>
      <c r="AF44" s="124">
        <v>5.0000000000000001E-4</v>
      </c>
      <c r="AG44" s="135" t="b">
        <v>1</v>
      </c>
      <c r="AH44" s="125">
        <v>5</v>
      </c>
      <c r="AI44" s="125">
        <v>13</v>
      </c>
      <c r="AJ44" s="125">
        <v>34</v>
      </c>
      <c r="AK44" s="125">
        <v>89</v>
      </c>
      <c r="AL44" s="129" t="b">
        <v>0</v>
      </c>
      <c r="AM44" s="128" t="b">
        <v>1</v>
      </c>
      <c r="AN44" s="131" t="s">
        <v>1469</v>
      </c>
      <c r="AO44" s="127">
        <v>1E-4</v>
      </c>
      <c r="AP44" s="128" t="b">
        <v>1</v>
      </c>
      <c r="AQ44" s="127">
        <v>1E-3</v>
      </c>
      <c r="AR44" s="135">
        <v>5</v>
      </c>
      <c r="AS44" s="135">
        <v>13</v>
      </c>
      <c r="AT44" s="135">
        <v>8</v>
      </c>
      <c r="AU44" s="128" t="b">
        <v>1</v>
      </c>
      <c r="AV44" s="124">
        <v>3</v>
      </c>
      <c r="AW44" s="146">
        <v>5</v>
      </c>
      <c r="AX44" s="124">
        <v>1</v>
      </c>
      <c r="AY44" s="128" t="b">
        <v>1</v>
      </c>
      <c r="AZ44" s="122" t="s">
        <v>1576</v>
      </c>
      <c r="BA44" s="122">
        <v>4</v>
      </c>
      <c r="BB44" s="126">
        <v>0.05</v>
      </c>
      <c r="BC44" s="126">
        <v>0.5</v>
      </c>
      <c r="BD44" s="129" t="b">
        <v>0</v>
      </c>
      <c r="BE44" s="122" t="s">
        <v>1873</v>
      </c>
      <c r="BF44" s="128" t="b">
        <v>1</v>
      </c>
      <c r="BG44" s="122" t="s">
        <v>1578</v>
      </c>
      <c r="BH44" s="122">
        <v>0.01</v>
      </c>
      <c r="BI44" s="156" t="s">
        <v>403</v>
      </c>
      <c r="BJ44" s="128" t="b">
        <v>1</v>
      </c>
      <c r="BK44" s="158">
        <v>3</v>
      </c>
      <c r="BL44" s="128" t="b">
        <v>1</v>
      </c>
      <c r="BM44" s="156" t="s">
        <v>412</v>
      </c>
      <c r="BN44" s="129" t="b">
        <v>0</v>
      </c>
      <c r="BO44" s="156" t="s">
        <v>1382</v>
      </c>
      <c r="BP44" s="157"/>
      <c r="BQ44" s="157"/>
      <c r="BR44" s="166" t="str">
        <f t="shared" ref="BR44:BR48" si="55">AH44&amp;"/ "&amp;AI44&amp;"/ "&amp;AJ44&amp;"/ "&amp;AK44</f>
        <v>5/ 13/ 34/ 89</v>
      </c>
      <c r="BS44" s="169" t="str">
        <f t="shared" si="49"/>
        <v>5 / 13 / 8</v>
      </c>
      <c r="BT44" s="166" t="str">
        <f t="shared" si="50"/>
        <v>0.05 / 0.5</v>
      </c>
      <c r="BU44" s="66">
        <v>327</v>
      </c>
      <c r="BV44" s="66">
        <v>211</v>
      </c>
      <c r="BW44" s="66">
        <v>205</v>
      </c>
      <c r="BX44" s="99">
        <f t="shared" si="51"/>
        <v>6</v>
      </c>
      <c r="BY44" s="66">
        <v>19</v>
      </c>
      <c r="BZ44" s="92">
        <f t="shared" ref="BZ44:BZ48" si="56">BU44-SUM(BW44:BY44)</f>
        <v>97</v>
      </c>
      <c r="CA44" s="204">
        <f t="shared" ref="CA44:CA45" si="57">IF(BU44=0,0,BV44/BU44)</f>
        <v>0.64525993883792054</v>
      </c>
      <c r="CB44" s="205">
        <f t="shared" ref="CB44:CB45" si="58">IF(BU44=0,0,BY44/BU44)</f>
        <v>5.8103975535168197E-2</v>
      </c>
      <c r="CC44" s="87">
        <v>8.0500000000000007</v>
      </c>
      <c r="CD44" s="90">
        <v>32.35</v>
      </c>
      <c r="CE44" s="87">
        <v>0.46</v>
      </c>
      <c r="CF44" s="170">
        <f t="shared" si="52"/>
        <v>3</v>
      </c>
      <c r="CG44" s="87">
        <v>0.66</v>
      </c>
      <c r="CH44" s="66">
        <v>0.48</v>
      </c>
      <c r="CI44" s="93">
        <v>4089.8</v>
      </c>
      <c r="CJ44" s="93"/>
      <c r="CK44" s="93"/>
      <c r="CL44" s="87">
        <v>-5.14</v>
      </c>
      <c r="CM44" s="66">
        <v>1000</v>
      </c>
      <c r="CN44" s="102">
        <v>10545.46</v>
      </c>
      <c r="CO44" s="110">
        <f t="shared" si="53"/>
        <v>11545.46</v>
      </c>
      <c r="CP44" s="110">
        <f t="shared" si="54"/>
        <v>1054.5459999999998</v>
      </c>
    </row>
    <row r="45" spans="2:94" hidden="1" outlineLevel="1" x14ac:dyDescent="0.2">
      <c r="B45" s="72" t="s">
        <v>1503</v>
      </c>
      <c r="C45" s="57" t="s">
        <v>1387</v>
      </c>
      <c r="D45" s="57" t="s">
        <v>1440</v>
      </c>
      <c r="E45" s="65" t="s">
        <v>1389</v>
      </c>
      <c r="F45" s="57" t="s">
        <v>1454</v>
      </c>
      <c r="G45" s="62" t="s">
        <v>1556</v>
      </c>
      <c r="H45" s="128" t="b">
        <v>1</v>
      </c>
      <c r="I45" s="122" t="s">
        <v>1865</v>
      </c>
      <c r="N45" s="124">
        <v>21</v>
      </c>
      <c r="O45" s="124">
        <v>0.8</v>
      </c>
      <c r="P45" s="124">
        <v>5</v>
      </c>
      <c r="Q45" s="128" t="b">
        <v>1</v>
      </c>
      <c r="R45" s="127" t="s">
        <v>1559</v>
      </c>
      <c r="T45" s="126">
        <v>13</v>
      </c>
      <c r="U45" s="124">
        <v>1.4999999999999999E-2</v>
      </c>
      <c r="V45" s="126">
        <v>75</v>
      </c>
      <c r="W45" s="126">
        <v>-75</v>
      </c>
      <c r="X45" s="124">
        <v>50</v>
      </c>
      <c r="Y45" s="124">
        <v>5</v>
      </c>
      <c r="Z45" s="128" t="b">
        <v>1</v>
      </c>
      <c r="AA45" s="127" t="s">
        <v>1867</v>
      </c>
      <c r="AB45" s="122">
        <v>3</v>
      </c>
      <c r="AC45" s="146"/>
      <c r="AD45" s="147">
        <v>34</v>
      </c>
      <c r="AE45" s="124"/>
      <c r="AF45" s="124">
        <v>5.0000000000000001E-4</v>
      </c>
      <c r="AG45" s="135" t="b">
        <v>1</v>
      </c>
      <c r="AH45" s="125">
        <v>5</v>
      </c>
      <c r="AI45" s="125">
        <v>13</v>
      </c>
      <c r="AJ45" s="125">
        <v>34</v>
      </c>
      <c r="AK45" s="125">
        <v>89</v>
      </c>
      <c r="AL45" s="129" t="b">
        <v>0</v>
      </c>
      <c r="AM45" s="128" t="b">
        <v>1</v>
      </c>
      <c r="AN45" s="131" t="s">
        <v>1469</v>
      </c>
      <c r="AO45" s="127">
        <v>1E-4</v>
      </c>
      <c r="AP45" s="128" t="b">
        <v>1</v>
      </c>
      <c r="AQ45" s="127">
        <v>1E-3</v>
      </c>
      <c r="AR45" s="149">
        <v>8</v>
      </c>
      <c r="AS45" s="149">
        <v>13</v>
      </c>
      <c r="AT45" s="149">
        <v>8</v>
      </c>
      <c r="AU45" s="128" t="b">
        <v>1</v>
      </c>
      <c r="AV45" s="124">
        <v>3</v>
      </c>
      <c r="AW45" s="146">
        <v>5</v>
      </c>
      <c r="AX45" s="124">
        <v>1</v>
      </c>
      <c r="AY45" s="128" t="b">
        <v>1</v>
      </c>
      <c r="AZ45" s="122" t="s">
        <v>1576</v>
      </c>
      <c r="BA45" s="122">
        <v>4</v>
      </c>
      <c r="BB45" s="126">
        <v>0.05</v>
      </c>
      <c r="BC45" s="126">
        <v>0.5</v>
      </c>
      <c r="BD45" s="129" t="b">
        <v>0</v>
      </c>
      <c r="BE45" s="122" t="s">
        <v>1873</v>
      </c>
      <c r="BF45" s="128" t="b">
        <v>1</v>
      </c>
      <c r="BG45" s="122" t="s">
        <v>1578</v>
      </c>
      <c r="BH45" s="122">
        <v>0.01</v>
      </c>
      <c r="BI45" s="156" t="s">
        <v>403</v>
      </c>
      <c r="BJ45" s="128" t="b">
        <v>1</v>
      </c>
      <c r="BK45" s="158">
        <v>3</v>
      </c>
      <c r="BL45" s="128" t="b">
        <v>1</v>
      </c>
      <c r="BM45" s="156" t="s">
        <v>412</v>
      </c>
      <c r="BN45" s="129" t="b">
        <v>0</v>
      </c>
      <c r="BO45" s="156" t="s">
        <v>1382</v>
      </c>
      <c r="BP45" s="157"/>
      <c r="BQ45" s="157"/>
      <c r="BR45" s="166" t="str">
        <f t="shared" si="55"/>
        <v>5/ 13/ 34/ 89</v>
      </c>
      <c r="BS45" s="166" t="str">
        <f t="shared" si="49"/>
        <v>8 / 13 / 8</v>
      </c>
      <c r="BT45" s="166" t="str">
        <f t="shared" si="50"/>
        <v>0.05 / 0.5</v>
      </c>
      <c r="BU45" s="66">
        <v>306</v>
      </c>
      <c r="BV45" s="66">
        <v>193</v>
      </c>
      <c r="BW45" s="66">
        <v>187</v>
      </c>
      <c r="BX45" s="99">
        <f t="shared" si="51"/>
        <v>6</v>
      </c>
      <c r="BY45" s="66">
        <v>20</v>
      </c>
      <c r="BZ45" s="92">
        <f t="shared" si="56"/>
        <v>93</v>
      </c>
      <c r="CA45" s="204">
        <f t="shared" si="57"/>
        <v>0.63071895424836599</v>
      </c>
      <c r="CB45" s="205">
        <f t="shared" si="58"/>
        <v>6.535947712418301E-2</v>
      </c>
      <c r="CC45" s="87">
        <v>5.98</v>
      </c>
      <c r="CD45" s="66">
        <v>23.03</v>
      </c>
      <c r="CE45" s="87">
        <v>0.42</v>
      </c>
      <c r="CF45" s="170">
        <f t="shared" si="52"/>
        <v>3</v>
      </c>
      <c r="CG45" s="87">
        <v>0.63</v>
      </c>
      <c r="CH45" s="66">
        <v>0.46</v>
      </c>
      <c r="CI45" s="93">
        <v>3607</v>
      </c>
      <c r="CJ45" s="93"/>
      <c r="CK45" s="93"/>
      <c r="CL45" s="87">
        <v>-3.96</v>
      </c>
      <c r="CM45" s="66">
        <v>1000</v>
      </c>
      <c r="CN45" s="93">
        <v>7045.98</v>
      </c>
      <c r="CO45" s="108">
        <f t="shared" si="53"/>
        <v>8045.98</v>
      </c>
      <c r="CP45" s="108">
        <f t="shared" si="54"/>
        <v>704.59799999999996</v>
      </c>
    </row>
    <row r="46" spans="2:94" hidden="1" outlineLevel="1" x14ac:dyDescent="0.2">
      <c r="B46" s="72" t="s">
        <v>1504</v>
      </c>
      <c r="C46" s="57" t="s">
        <v>1387</v>
      </c>
      <c r="D46" s="57" t="s">
        <v>1440</v>
      </c>
      <c r="E46" s="65" t="s">
        <v>1389</v>
      </c>
      <c r="F46" s="57" t="s">
        <v>1454</v>
      </c>
      <c r="G46" s="62" t="s">
        <v>1556</v>
      </c>
      <c r="H46" s="128" t="b">
        <v>1</v>
      </c>
      <c r="I46" s="122" t="s">
        <v>1865</v>
      </c>
      <c r="N46" s="124">
        <v>21</v>
      </c>
      <c r="O46" s="124">
        <v>0.8</v>
      </c>
      <c r="P46" s="124">
        <v>5</v>
      </c>
      <c r="Q46" s="128" t="b">
        <v>1</v>
      </c>
      <c r="R46" s="127" t="s">
        <v>1559</v>
      </c>
      <c r="T46" s="126">
        <v>13</v>
      </c>
      <c r="U46" s="124">
        <v>1.4999999999999999E-2</v>
      </c>
      <c r="V46" s="126">
        <v>75</v>
      </c>
      <c r="W46" s="126">
        <v>-75</v>
      </c>
      <c r="X46" s="124">
        <v>50</v>
      </c>
      <c r="Y46" s="124">
        <v>5</v>
      </c>
      <c r="Z46" s="128" t="b">
        <v>1</v>
      </c>
      <c r="AA46" s="127" t="s">
        <v>1867</v>
      </c>
      <c r="AB46" s="122">
        <v>3</v>
      </c>
      <c r="AC46" s="146"/>
      <c r="AD46" s="147">
        <v>34</v>
      </c>
      <c r="AE46" s="124"/>
      <c r="AF46" s="124">
        <v>5.0000000000000001E-4</v>
      </c>
      <c r="AG46" s="135" t="b">
        <v>1</v>
      </c>
      <c r="AH46" s="125">
        <v>5</v>
      </c>
      <c r="AI46" s="125">
        <v>13</v>
      </c>
      <c r="AJ46" s="125">
        <v>34</v>
      </c>
      <c r="AK46" s="125">
        <v>89</v>
      </c>
      <c r="AL46" s="129" t="b">
        <v>0</v>
      </c>
      <c r="AM46" s="128" t="b">
        <v>1</v>
      </c>
      <c r="AN46" s="131" t="s">
        <v>1469</v>
      </c>
      <c r="AO46" s="127">
        <v>1E-4</v>
      </c>
      <c r="AP46" s="128" t="b">
        <v>1</v>
      </c>
      <c r="AQ46" s="127">
        <v>1E-3</v>
      </c>
      <c r="AR46" s="150">
        <v>8</v>
      </c>
      <c r="AS46" s="150">
        <v>17</v>
      </c>
      <c r="AT46" s="150">
        <v>9</v>
      </c>
      <c r="AU46" s="128" t="b">
        <v>1</v>
      </c>
      <c r="AV46" s="124">
        <v>3</v>
      </c>
      <c r="AW46" s="146">
        <v>5</v>
      </c>
      <c r="AX46" s="124">
        <v>1</v>
      </c>
      <c r="AY46" s="128" t="b">
        <v>1</v>
      </c>
      <c r="AZ46" s="122" t="s">
        <v>1576</v>
      </c>
      <c r="BA46" s="122">
        <v>4</v>
      </c>
      <c r="BB46" s="126">
        <v>0.05</v>
      </c>
      <c r="BC46" s="126">
        <v>0.5</v>
      </c>
      <c r="BD46" s="129" t="b">
        <v>0</v>
      </c>
      <c r="BE46" s="122" t="s">
        <v>1873</v>
      </c>
      <c r="BF46" s="128" t="b">
        <v>1</v>
      </c>
      <c r="BG46" s="122" t="s">
        <v>1578</v>
      </c>
      <c r="BH46" s="122">
        <v>0.01</v>
      </c>
      <c r="BI46" s="156" t="s">
        <v>403</v>
      </c>
      <c r="BJ46" s="128" t="b">
        <v>1</v>
      </c>
      <c r="BK46" s="158">
        <v>3</v>
      </c>
      <c r="BL46" s="128" t="b">
        <v>1</v>
      </c>
      <c r="BM46" s="156" t="s">
        <v>412</v>
      </c>
      <c r="BN46" s="129" t="b">
        <v>0</v>
      </c>
      <c r="BO46" s="156" t="s">
        <v>1382</v>
      </c>
      <c r="BP46" s="157"/>
      <c r="BQ46" s="157"/>
      <c r="BR46" s="166" t="str">
        <f t="shared" si="55"/>
        <v>5/ 13/ 34/ 89</v>
      </c>
      <c r="BS46" s="166" t="str">
        <f t="shared" si="49"/>
        <v>8 / 17 / 9</v>
      </c>
      <c r="BT46" s="166" t="str">
        <f t="shared" si="50"/>
        <v>0.05 / 0.5</v>
      </c>
      <c r="BU46" s="66">
        <v>312</v>
      </c>
      <c r="BV46" s="66">
        <v>189</v>
      </c>
      <c r="BW46" s="66">
        <v>184</v>
      </c>
      <c r="BX46" s="99">
        <f t="shared" si="51"/>
        <v>5</v>
      </c>
      <c r="BY46" s="66">
        <v>24</v>
      </c>
      <c r="BZ46" s="92">
        <f t="shared" si="56"/>
        <v>99</v>
      </c>
      <c r="CA46" s="204">
        <f>IF(BU46=0,0,BV46/BU46)</f>
        <v>0.60576923076923073</v>
      </c>
      <c r="CB46" s="205">
        <f>IF(BU46=0,0,BY46/BU46)</f>
        <v>7.6923076923076927E-2</v>
      </c>
      <c r="CC46" s="87">
        <v>5.01</v>
      </c>
      <c r="CD46" s="66">
        <v>20.329999999999998</v>
      </c>
      <c r="CE46" s="87">
        <v>0.4</v>
      </c>
      <c r="CF46" s="170">
        <f t="shared" si="52"/>
        <v>3</v>
      </c>
      <c r="CG46" s="87">
        <v>0.64</v>
      </c>
      <c r="CH46" s="66">
        <v>0.48</v>
      </c>
      <c r="CI46" s="93">
        <v>3589.9</v>
      </c>
      <c r="CJ46" s="93"/>
      <c r="CK46" s="93"/>
      <c r="CL46" s="87">
        <v>-5.53</v>
      </c>
      <c r="CM46" s="66">
        <v>1000</v>
      </c>
      <c r="CN46" s="93">
        <v>6344.07</v>
      </c>
      <c r="CO46" s="108">
        <f t="shared" si="53"/>
        <v>7344.07</v>
      </c>
      <c r="CP46" s="108">
        <f t="shared" si="54"/>
        <v>634.40699999999993</v>
      </c>
    </row>
    <row r="47" spans="2:94" hidden="1" outlineLevel="1" x14ac:dyDescent="0.2">
      <c r="B47" s="72" t="s">
        <v>1505</v>
      </c>
      <c r="C47" s="57" t="s">
        <v>1387</v>
      </c>
      <c r="D47" s="57" t="s">
        <v>1440</v>
      </c>
      <c r="E47" s="65" t="s">
        <v>1389</v>
      </c>
      <c r="F47" s="57" t="s">
        <v>1454</v>
      </c>
      <c r="G47" s="62" t="s">
        <v>1556</v>
      </c>
      <c r="H47" s="128" t="b">
        <v>1</v>
      </c>
      <c r="I47" s="122" t="s">
        <v>1865</v>
      </c>
      <c r="N47" s="124">
        <v>21</v>
      </c>
      <c r="O47" s="124">
        <v>0.8</v>
      </c>
      <c r="P47" s="124">
        <v>5</v>
      </c>
      <c r="Q47" s="128" t="b">
        <v>1</v>
      </c>
      <c r="R47" s="127" t="s">
        <v>1559</v>
      </c>
      <c r="T47" s="126">
        <v>13</v>
      </c>
      <c r="U47" s="124">
        <v>1.4999999999999999E-2</v>
      </c>
      <c r="V47" s="126">
        <v>75</v>
      </c>
      <c r="W47" s="126">
        <v>-75</v>
      </c>
      <c r="X47" s="124">
        <v>50</v>
      </c>
      <c r="Y47" s="124">
        <v>5</v>
      </c>
      <c r="Z47" s="128" t="b">
        <v>1</v>
      </c>
      <c r="AA47" s="127" t="s">
        <v>1867</v>
      </c>
      <c r="AB47" s="122">
        <v>3</v>
      </c>
      <c r="AC47" s="146"/>
      <c r="AD47" s="147">
        <v>34</v>
      </c>
      <c r="AE47" s="124"/>
      <c r="AF47" s="124">
        <v>5.0000000000000001E-4</v>
      </c>
      <c r="AG47" s="135" t="b">
        <v>1</v>
      </c>
      <c r="AH47" s="125">
        <v>5</v>
      </c>
      <c r="AI47" s="125">
        <v>13</v>
      </c>
      <c r="AJ47" s="125">
        <v>34</v>
      </c>
      <c r="AK47" s="125">
        <v>89</v>
      </c>
      <c r="AL47" s="129" t="b">
        <v>0</v>
      </c>
      <c r="AM47" s="128" t="b">
        <v>1</v>
      </c>
      <c r="AN47" s="131" t="s">
        <v>1469</v>
      </c>
      <c r="AO47" s="127">
        <v>1E-4</v>
      </c>
      <c r="AP47" s="128" t="b">
        <v>1</v>
      </c>
      <c r="AQ47" s="127">
        <v>1E-3</v>
      </c>
      <c r="AR47" s="151">
        <v>12</v>
      </c>
      <c r="AS47" s="151">
        <v>26</v>
      </c>
      <c r="AT47" s="151">
        <v>9</v>
      </c>
      <c r="AU47" s="128" t="b">
        <v>1</v>
      </c>
      <c r="AV47" s="124">
        <v>3</v>
      </c>
      <c r="AW47" s="146">
        <v>5</v>
      </c>
      <c r="AX47" s="124">
        <v>1</v>
      </c>
      <c r="AY47" s="128" t="b">
        <v>1</v>
      </c>
      <c r="AZ47" s="122" t="s">
        <v>1576</v>
      </c>
      <c r="BA47" s="122">
        <v>4</v>
      </c>
      <c r="BB47" s="126">
        <v>0.05</v>
      </c>
      <c r="BC47" s="126">
        <v>0.5</v>
      </c>
      <c r="BD47" s="129" t="b">
        <v>0</v>
      </c>
      <c r="BE47" s="122" t="s">
        <v>1873</v>
      </c>
      <c r="BF47" s="128" t="b">
        <v>1</v>
      </c>
      <c r="BG47" s="122" t="s">
        <v>1578</v>
      </c>
      <c r="BH47" s="122">
        <v>0.01</v>
      </c>
      <c r="BI47" s="156" t="s">
        <v>403</v>
      </c>
      <c r="BJ47" s="128" t="b">
        <v>1</v>
      </c>
      <c r="BK47" s="158">
        <v>3</v>
      </c>
      <c r="BL47" s="128" t="b">
        <v>1</v>
      </c>
      <c r="BM47" s="156" t="s">
        <v>412</v>
      </c>
      <c r="BN47" s="129" t="b">
        <v>0</v>
      </c>
      <c r="BO47" s="156" t="s">
        <v>1382</v>
      </c>
      <c r="BP47" s="157"/>
      <c r="BQ47" s="157"/>
      <c r="BR47" s="166" t="str">
        <f t="shared" si="55"/>
        <v>5/ 13/ 34/ 89</v>
      </c>
      <c r="BS47" s="166" t="str">
        <f t="shared" si="49"/>
        <v>12 / 26 / 9</v>
      </c>
      <c r="BT47" s="166" t="str">
        <f t="shared" si="50"/>
        <v>0.05 / 0.5</v>
      </c>
      <c r="BU47" s="66">
        <v>284</v>
      </c>
      <c r="BV47" s="66">
        <v>178</v>
      </c>
      <c r="BW47" s="66">
        <v>171</v>
      </c>
      <c r="BX47" s="99">
        <f t="shared" si="51"/>
        <v>7</v>
      </c>
      <c r="BY47" s="66">
        <v>21</v>
      </c>
      <c r="BZ47" s="92">
        <f t="shared" si="56"/>
        <v>85</v>
      </c>
      <c r="CA47" s="204">
        <f>IF(BU47=0,0,BV47/BU47)</f>
        <v>0.62676056338028174</v>
      </c>
      <c r="CB47" s="205">
        <f>IF(BU47=0,0,BY47/BU47)</f>
        <v>7.3943661971830985E-2</v>
      </c>
      <c r="CC47" s="87">
        <v>7.4</v>
      </c>
      <c r="CD47" s="66">
        <v>24.63</v>
      </c>
      <c r="CE47" s="87">
        <v>0.45</v>
      </c>
      <c r="CF47" s="170">
        <f t="shared" si="52"/>
        <v>3</v>
      </c>
      <c r="CG47" s="87">
        <v>0.69</v>
      </c>
      <c r="CH47" s="66">
        <v>0.46</v>
      </c>
      <c r="CI47" s="93">
        <v>3556.5</v>
      </c>
      <c r="CJ47" s="93"/>
      <c r="CK47" s="93"/>
      <c r="CL47" s="87">
        <v>-3.6</v>
      </c>
      <c r="CM47" s="66">
        <v>1000</v>
      </c>
      <c r="CN47" s="93">
        <v>6995.38</v>
      </c>
      <c r="CO47" s="108">
        <f t="shared" si="53"/>
        <v>7995.38</v>
      </c>
      <c r="CP47" s="108">
        <f t="shared" si="54"/>
        <v>699.53800000000001</v>
      </c>
    </row>
    <row r="48" spans="2:94" hidden="1" outlineLevel="1" x14ac:dyDescent="0.2">
      <c r="B48" s="72" t="s">
        <v>1506</v>
      </c>
      <c r="C48" s="57" t="s">
        <v>1387</v>
      </c>
      <c r="D48" s="57" t="s">
        <v>1440</v>
      </c>
      <c r="E48" s="65" t="s">
        <v>1389</v>
      </c>
      <c r="F48" s="57" t="s">
        <v>1454</v>
      </c>
      <c r="G48" s="62" t="s">
        <v>1556</v>
      </c>
      <c r="H48" s="128" t="b">
        <v>1</v>
      </c>
      <c r="I48" s="122" t="s">
        <v>1865</v>
      </c>
      <c r="N48" s="124">
        <v>21</v>
      </c>
      <c r="O48" s="124">
        <v>0.8</v>
      </c>
      <c r="P48" s="124">
        <v>5</v>
      </c>
      <c r="Q48" s="128" t="b">
        <v>1</v>
      </c>
      <c r="R48" s="127" t="s">
        <v>1559</v>
      </c>
      <c r="T48" s="126">
        <v>13</v>
      </c>
      <c r="U48" s="124">
        <v>1.4999999999999999E-2</v>
      </c>
      <c r="V48" s="126">
        <v>75</v>
      </c>
      <c r="W48" s="126">
        <v>-75</v>
      </c>
      <c r="X48" s="124">
        <v>50</v>
      </c>
      <c r="Y48" s="124">
        <v>5</v>
      </c>
      <c r="Z48" s="128" t="b">
        <v>1</v>
      </c>
      <c r="AA48" s="127" t="s">
        <v>1867</v>
      </c>
      <c r="AB48" s="122">
        <v>3</v>
      </c>
      <c r="AC48" s="146"/>
      <c r="AD48" s="147">
        <v>34</v>
      </c>
      <c r="AE48" s="124"/>
      <c r="AF48" s="124">
        <v>5.0000000000000001E-4</v>
      </c>
      <c r="AG48" s="135" t="b">
        <v>1</v>
      </c>
      <c r="AH48" s="125">
        <v>5</v>
      </c>
      <c r="AI48" s="125">
        <v>13</v>
      </c>
      <c r="AJ48" s="125">
        <v>34</v>
      </c>
      <c r="AK48" s="125">
        <v>89</v>
      </c>
      <c r="AL48" s="129" t="b">
        <v>0</v>
      </c>
      <c r="AM48" s="128" t="b">
        <v>1</v>
      </c>
      <c r="AN48" s="131" t="s">
        <v>1469</v>
      </c>
      <c r="AO48" s="127">
        <v>1E-4</v>
      </c>
      <c r="AP48" s="128" t="b">
        <v>1</v>
      </c>
      <c r="AQ48" s="127">
        <v>1E-3</v>
      </c>
      <c r="AR48" s="137">
        <v>21</v>
      </c>
      <c r="AS48" s="137">
        <v>34</v>
      </c>
      <c r="AT48" s="137">
        <v>9</v>
      </c>
      <c r="AU48" s="128" t="b">
        <v>1</v>
      </c>
      <c r="AV48" s="124">
        <v>3</v>
      </c>
      <c r="AW48" s="146">
        <v>5</v>
      </c>
      <c r="AX48" s="124">
        <v>1</v>
      </c>
      <c r="AY48" s="128" t="b">
        <v>1</v>
      </c>
      <c r="AZ48" s="122" t="s">
        <v>1576</v>
      </c>
      <c r="BA48" s="122">
        <v>4</v>
      </c>
      <c r="BB48" s="126">
        <v>0.05</v>
      </c>
      <c r="BC48" s="126">
        <v>0.5</v>
      </c>
      <c r="BD48" s="129" t="b">
        <v>0</v>
      </c>
      <c r="BE48" s="122" t="s">
        <v>1873</v>
      </c>
      <c r="BF48" s="128" t="b">
        <v>1</v>
      </c>
      <c r="BG48" s="122" t="s">
        <v>1578</v>
      </c>
      <c r="BH48" s="122">
        <v>0.01</v>
      </c>
      <c r="BI48" s="156" t="s">
        <v>403</v>
      </c>
      <c r="BJ48" s="128" t="b">
        <v>1</v>
      </c>
      <c r="BK48" s="158">
        <v>3</v>
      </c>
      <c r="BL48" s="128" t="b">
        <v>1</v>
      </c>
      <c r="BM48" s="156" t="s">
        <v>412</v>
      </c>
      <c r="BN48" s="129" t="b">
        <v>0</v>
      </c>
      <c r="BO48" s="156" t="s">
        <v>1382</v>
      </c>
      <c r="BP48" s="157"/>
      <c r="BQ48" s="157"/>
      <c r="BR48" s="166" t="str">
        <f t="shared" si="55"/>
        <v>5/ 13/ 34/ 89</v>
      </c>
      <c r="BS48" s="166" t="str">
        <f t="shared" si="49"/>
        <v>21 / 34 / 9</v>
      </c>
      <c r="BT48" s="166" t="str">
        <f t="shared" si="50"/>
        <v>0.05 / 0.5</v>
      </c>
      <c r="BU48" s="66">
        <v>230</v>
      </c>
      <c r="BV48" s="66">
        <v>147</v>
      </c>
      <c r="BW48" s="66">
        <v>141</v>
      </c>
      <c r="BX48" s="99">
        <f t="shared" si="51"/>
        <v>6</v>
      </c>
      <c r="BY48" s="66">
        <v>15</v>
      </c>
      <c r="BZ48" s="92">
        <f t="shared" si="56"/>
        <v>68</v>
      </c>
      <c r="CA48" s="204">
        <f t="shared" ref="CA48" si="59">IF(BU48=0,0,BV48/BU48)</f>
        <v>0.63913043478260867</v>
      </c>
      <c r="CB48" s="205">
        <f t="shared" ref="CB48" si="60">IF(BU48=0,0,BY48/BU48)</f>
        <v>6.5217391304347824E-2</v>
      </c>
      <c r="CC48" s="87">
        <v>7.8</v>
      </c>
      <c r="CD48" s="66">
        <v>20.22</v>
      </c>
      <c r="CE48" s="87">
        <v>0.48</v>
      </c>
      <c r="CF48" s="170">
        <f t="shared" si="52"/>
        <v>3</v>
      </c>
      <c r="CG48" s="87">
        <v>0.68</v>
      </c>
      <c r="CH48" s="66">
        <v>0.45</v>
      </c>
      <c r="CI48" s="93">
        <v>3044.3</v>
      </c>
      <c r="CJ48" s="93"/>
      <c r="CK48" s="93"/>
      <c r="CL48" s="87">
        <v>-2.68</v>
      </c>
      <c r="CM48" s="66">
        <v>1000</v>
      </c>
      <c r="CN48" s="101">
        <v>4651.58</v>
      </c>
      <c r="CO48" s="109">
        <f t="shared" si="53"/>
        <v>5651.58</v>
      </c>
      <c r="CP48" s="109">
        <f t="shared" si="54"/>
        <v>465.15800000000002</v>
      </c>
    </row>
    <row r="49" spans="2:94" hidden="1" outlineLevel="1" x14ac:dyDescent="0.2">
      <c r="G49" s="62"/>
      <c r="R49" s="130"/>
      <c r="AA49" s="130"/>
      <c r="AC49" s="124"/>
      <c r="AD49" s="124"/>
      <c r="AE49" s="124"/>
      <c r="AH49" s="125"/>
      <c r="AI49" s="125"/>
      <c r="AJ49" s="125"/>
      <c r="AK49" s="125"/>
      <c r="AO49" s="127"/>
      <c r="AR49" s="124"/>
      <c r="AS49" s="124"/>
      <c r="AT49" s="124"/>
      <c r="BB49" s="124"/>
      <c r="BC49" s="124"/>
      <c r="BI49" s="156"/>
      <c r="BK49" s="154"/>
      <c r="BP49" s="154"/>
      <c r="BQ49" s="154"/>
      <c r="BS49" s="167"/>
      <c r="BT49" s="167"/>
      <c r="BU49" s="85"/>
      <c r="BV49" s="85"/>
      <c r="BW49" s="85"/>
      <c r="BX49" s="100"/>
      <c r="BY49" s="85"/>
      <c r="BZ49" s="86"/>
      <c r="CA49" s="85"/>
      <c r="CB49" s="95"/>
      <c r="CC49" s="85"/>
      <c r="CD49" s="85"/>
      <c r="CE49" s="85"/>
      <c r="CF49" s="107"/>
      <c r="CG49" s="85"/>
      <c r="CH49" s="85"/>
      <c r="CI49" s="85"/>
      <c r="CJ49" s="85"/>
      <c r="CK49" s="85"/>
      <c r="CL49" s="85"/>
      <c r="CM49" s="84"/>
      <c r="CN49" s="85"/>
      <c r="CO49" s="107"/>
      <c r="CP49" s="107"/>
    </row>
    <row r="50" spans="2:94" collapsed="1" x14ac:dyDescent="0.2">
      <c r="B50" s="72" t="s">
        <v>1507</v>
      </c>
      <c r="C50" s="57" t="s">
        <v>1387</v>
      </c>
      <c r="D50" s="57" t="s">
        <v>1440</v>
      </c>
      <c r="E50" s="65" t="s">
        <v>1389</v>
      </c>
      <c r="F50" s="57" t="s">
        <v>1454</v>
      </c>
      <c r="G50" s="62" t="s">
        <v>1556</v>
      </c>
      <c r="H50" s="128" t="b">
        <v>1</v>
      </c>
      <c r="I50" s="122" t="s">
        <v>1865</v>
      </c>
      <c r="N50" s="124">
        <v>21</v>
      </c>
      <c r="O50" s="124">
        <v>0.8</v>
      </c>
      <c r="P50" s="124">
        <v>5</v>
      </c>
      <c r="Q50" s="128" t="b">
        <v>1</v>
      </c>
      <c r="R50" s="127" t="s">
        <v>1559</v>
      </c>
      <c r="T50" s="126">
        <v>13</v>
      </c>
      <c r="U50" s="124">
        <v>1.4999999999999999E-2</v>
      </c>
      <c r="V50" s="126">
        <v>75</v>
      </c>
      <c r="W50" s="126">
        <v>-75</v>
      </c>
      <c r="X50" s="124">
        <v>50</v>
      </c>
      <c r="Y50" s="124">
        <v>5</v>
      </c>
      <c r="Z50" s="128" t="b">
        <v>1</v>
      </c>
      <c r="AA50" s="127" t="s">
        <v>1867</v>
      </c>
      <c r="AB50" s="122">
        <v>3</v>
      </c>
      <c r="AC50" s="146"/>
      <c r="AD50" s="147">
        <v>34</v>
      </c>
      <c r="AE50" s="124"/>
      <c r="AF50" s="124">
        <v>5.0000000000000001E-4</v>
      </c>
      <c r="AG50" s="135" t="b">
        <v>1</v>
      </c>
      <c r="AH50" s="125">
        <v>5</v>
      </c>
      <c r="AI50" s="125">
        <v>13</v>
      </c>
      <c r="AJ50" s="125">
        <v>34</v>
      </c>
      <c r="AK50" s="125">
        <v>89</v>
      </c>
      <c r="AL50" s="129" t="b">
        <v>0</v>
      </c>
      <c r="AM50" s="128" t="b">
        <v>1</v>
      </c>
      <c r="AN50" s="131" t="s">
        <v>1469</v>
      </c>
      <c r="AO50" s="127">
        <v>1E-4</v>
      </c>
      <c r="AP50" s="128" t="b">
        <v>1</v>
      </c>
      <c r="AQ50" s="127">
        <v>1E-3</v>
      </c>
      <c r="AR50" s="126">
        <v>5</v>
      </c>
      <c r="AS50" s="126">
        <v>8</v>
      </c>
      <c r="AT50" s="126">
        <v>5</v>
      </c>
      <c r="AU50" s="128" t="b">
        <v>1</v>
      </c>
      <c r="AV50" s="124">
        <v>3</v>
      </c>
      <c r="AW50" s="146">
        <v>5</v>
      </c>
      <c r="AX50" s="124">
        <v>1</v>
      </c>
      <c r="AY50" s="128" t="b">
        <v>1</v>
      </c>
      <c r="AZ50" s="122" t="s">
        <v>1576</v>
      </c>
      <c r="BA50" s="122">
        <v>4</v>
      </c>
      <c r="BB50" s="126">
        <v>0.05</v>
      </c>
      <c r="BC50" s="126">
        <v>0.5</v>
      </c>
      <c r="BD50" s="129" t="b">
        <v>0</v>
      </c>
      <c r="BE50" s="122" t="s">
        <v>1873</v>
      </c>
      <c r="BF50" s="128" t="b">
        <v>1</v>
      </c>
      <c r="BG50" s="122" t="s">
        <v>1578</v>
      </c>
      <c r="BH50" s="122">
        <v>0.01</v>
      </c>
      <c r="BI50" s="156" t="s">
        <v>403</v>
      </c>
      <c r="BJ50" s="128" t="b">
        <v>1</v>
      </c>
      <c r="BK50" s="159">
        <v>4</v>
      </c>
      <c r="BL50" s="128" t="b">
        <v>1</v>
      </c>
      <c r="BM50" s="156" t="s">
        <v>412</v>
      </c>
      <c r="BN50" s="129" t="b">
        <v>0</v>
      </c>
      <c r="BO50" s="156" t="s">
        <v>1382</v>
      </c>
      <c r="BP50" s="157"/>
      <c r="BQ50" s="157"/>
      <c r="BR50" s="166" t="str">
        <f>AH50&amp;"/ "&amp;AI50&amp;"/ "&amp;AJ50&amp;"/ "&amp;AK50</f>
        <v>5/ 13/ 34/ 89</v>
      </c>
      <c r="BS50" s="166" t="str">
        <f t="shared" ref="BS50:BS55" si="61">AR50&amp;" / "&amp;AS50&amp;" / "&amp;AT50</f>
        <v>5 / 8 / 5</v>
      </c>
      <c r="BT50" s="166" t="str">
        <f t="shared" ref="BT50:BT55" si="62">BB50&amp;" / "&amp;BC50</f>
        <v>0.05 / 0.5</v>
      </c>
      <c r="BU50" s="66">
        <v>317</v>
      </c>
      <c r="BV50" s="66">
        <v>201</v>
      </c>
      <c r="BW50" s="66">
        <v>195</v>
      </c>
      <c r="BX50" s="99">
        <f t="shared" ref="BX50:BX55" si="63">BV50-BW50</f>
        <v>6</v>
      </c>
      <c r="BY50" s="66">
        <v>17</v>
      </c>
      <c r="BZ50" s="92">
        <f>BU50-SUM(BW50:BY50)</f>
        <v>99</v>
      </c>
      <c r="CA50" s="204">
        <f>IF(BU50=0,0,BV50/BU50)</f>
        <v>0.63406940063091488</v>
      </c>
      <c r="CB50" s="205">
        <f>IF(BU50=0,0,BY50/BU50)</f>
        <v>5.362776025236593E-2</v>
      </c>
      <c r="CC50" s="87">
        <v>7.72</v>
      </c>
      <c r="CD50" s="87">
        <v>33.22</v>
      </c>
      <c r="CE50" s="87">
        <v>0.44</v>
      </c>
      <c r="CF50" s="170">
        <f t="shared" ref="CF50:CF55" si="64">BK50</f>
        <v>4</v>
      </c>
      <c r="CG50" s="87">
        <v>0.69</v>
      </c>
      <c r="CH50" s="87">
        <v>0.47</v>
      </c>
      <c r="CI50" s="93">
        <v>4149.8999999999996</v>
      </c>
      <c r="CJ50" s="93"/>
      <c r="CK50" s="93"/>
      <c r="CL50" s="87">
        <v>-2.65</v>
      </c>
      <c r="CM50" s="66">
        <v>1000</v>
      </c>
      <c r="CN50" s="93">
        <v>10529.63</v>
      </c>
      <c r="CO50" s="108">
        <f t="shared" ref="CO50:CO55" si="65">CM50+CN50</f>
        <v>11529.63</v>
      </c>
      <c r="CP50" s="108">
        <f t="shared" ref="CP50:CP55" si="66">CN50/10</f>
        <v>1052.963</v>
      </c>
    </row>
    <row r="51" spans="2:94" hidden="1" outlineLevel="1" x14ac:dyDescent="0.2">
      <c r="B51" s="72" t="s">
        <v>1508</v>
      </c>
      <c r="C51" s="57" t="s">
        <v>1387</v>
      </c>
      <c r="D51" s="57" t="s">
        <v>1440</v>
      </c>
      <c r="E51" s="65" t="s">
        <v>1389</v>
      </c>
      <c r="F51" s="57" t="s">
        <v>1454</v>
      </c>
      <c r="G51" s="62" t="s">
        <v>1556</v>
      </c>
      <c r="H51" s="128" t="b">
        <v>1</v>
      </c>
      <c r="I51" s="122" t="s">
        <v>1865</v>
      </c>
      <c r="N51" s="124">
        <v>21</v>
      </c>
      <c r="O51" s="124">
        <v>0.8</v>
      </c>
      <c r="P51" s="124">
        <v>5</v>
      </c>
      <c r="Q51" s="128" t="b">
        <v>1</v>
      </c>
      <c r="R51" s="127" t="s">
        <v>1559</v>
      </c>
      <c r="T51" s="126">
        <v>13</v>
      </c>
      <c r="U51" s="124">
        <v>1.4999999999999999E-2</v>
      </c>
      <c r="V51" s="126">
        <v>75</v>
      </c>
      <c r="W51" s="126">
        <v>-75</v>
      </c>
      <c r="X51" s="124">
        <v>50</v>
      </c>
      <c r="Y51" s="124">
        <v>5</v>
      </c>
      <c r="Z51" s="128" t="b">
        <v>1</v>
      </c>
      <c r="AA51" s="127" t="s">
        <v>1867</v>
      </c>
      <c r="AB51" s="122">
        <v>3</v>
      </c>
      <c r="AC51" s="146"/>
      <c r="AD51" s="147">
        <v>34</v>
      </c>
      <c r="AE51" s="124"/>
      <c r="AF51" s="124">
        <v>5.0000000000000001E-4</v>
      </c>
      <c r="AG51" s="135" t="b">
        <v>1</v>
      </c>
      <c r="AH51" s="125">
        <v>5</v>
      </c>
      <c r="AI51" s="125">
        <v>13</v>
      </c>
      <c r="AJ51" s="125">
        <v>34</v>
      </c>
      <c r="AK51" s="125">
        <v>89</v>
      </c>
      <c r="AL51" s="129" t="b">
        <v>0</v>
      </c>
      <c r="AM51" s="128" t="b">
        <v>1</v>
      </c>
      <c r="AN51" s="131" t="s">
        <v>1469</v>
      </c>
      <c r="AO51" s="127">
        <v>1E-4</v>
      </c>
      <c r="AP51" s="128" t="b">
        <v>1</v>
      </c>
      <c r="AQ51" s="127">
        <v>1E-3</v>
      </c>
      <c r="AR51" s="135">
        <v>5</v>
      </c>
      <c r="AS51" s="135">
        <v>13</v>
      </c>
      <c r="AT51" s="135">
        <v>8</v>
      </c>
      <c r="AU51" s="128" t="b">
        <v>1</v>
      </c>
      <c r="AV51" s="124">
        <v>3</v>
      </c>
      <c r="AW51" s="146">
        <v>5</v>
      </c>
      <c r="AX51" s="124">
        <v>1</v>
      </c>
      <c r="AY51" s="128" t="b">
        <v>1</v>
      </c>
      <c r="AZ51" s="122" t="s">
        <v>1576</v>
      </c>
      <c r="BA51" s="122">
        <v>4</v>
      </c>
      <c r="BB51" s="126">
        <v>0.05</v>
      </c>
      <c r="BC51" s="126">
        <v>0.5</v>
      </c>
      <c r="BD51" s="129" t="b">
        <v>0</v>
      </c>
      <c r="BE51" s="122" t="s">
        <v>1873</v>
      </c>
      <c r="BF51" s="128" t="b">
        <v>1</v>
      </c>
      <c r="BG51" s="122" t="s">
        <v>1578</v>
      </c>
      <c r="BH51" s="122">
        <v>0.01</v>
      </c>
      <c r="BI51" s="156" t="s">
        <v>403</v>
      </c>
      <c r="BJ51" s="128" t="b">
        <v>1</v>
      </c>
      <c r="BK51" s="159">
        <v>4</v>
      </c>
      <c r="BL51" s="128" t="b">
        <v>1</v>
      </c>
      <c r="BM51" s="156" t="s">
        <v>412</v>
      </c>
      <c r="BN51" s="129" t="b">
        <v>0</v>
      </c>
      <c r="BO51" s="156" t="s">
        <v>1382</v>
      </c>
      <c r="BP51" s="157"/>
      <c r="BQ51" s="157"/>
      <c r="BR51" s="166" t="str">
        <f t="shared" ref="BR51:BR55" si="67">AH51&amp;"/ "&amp;AI51&amp;"/ "&amp;AJ51&amp;"/ "&amp;AK51</f>
        <v>5/ 13/ 34/ 89</v>
      </c>
      <c r="BS51" s="169" t="str">
        <f t="shared" si="61"/>
        <v>5 / 13 / 8</v>
      </c>
      <c r="BT51" s="166" t="str">
        <f t="shared" si="62"/>
        <v>0.05 / 0.5</v>
      </c>
      <c r="BU51" s="66">
        <v>327</v>
      </c>
      <c r="BV51" s="66">
        <v>211</v>
      </c>
      <c r="BW51" s="66">
        <v>208</v>
      </c>
      <c r="BX51" s="99">
        <f t="shared" si="63"/>
        <v>3</v>
      </c>
      <c r="BY51" s="66">
        <v>19</v>
      </c>
      <c r="BZ51" s="92">
        <f t="shared" ref="BZ51:BZ55" si="68">BU51-SUM(BW51:BY51)</f>
        <v>97</v>
      </c>
      <c r="CA51" s="204">
        <f t="shared" ref="CA51:CA52" si="69">IF(BU51=0,0,BV51/BU51)</f>
        <v>0.64525993883792054</v>
      </c>
      <c r="CB51" s="205">
        <f t="shared" ref="CB51:CB52" si="70">IF(BU51=0,0,BY51/BU51)</f>
        <v>5.8103975535168197E-2</v>
      </c>
      <c r="CC51" s="87">
        <v>8.1999999999999993</v>
      </c>
      <c r="CD51" s="90">
        <v>34.64</v>
      </c>
      <c r="CE51" s="87">
        <v>0.44</v>
      </c>
      <c r="CF51" s="170">
        <f t="shared" si="64"/>
        <v>4</v>
      </c>
      <c r="CG51" s="87">
        <v>0.68</v>
      </c>
      <c r="CH51" s="66">
        <v>0.48</v>
      </c>
      <c r="CI51" s="93">
        <v>4151.8</v>
      </c>
      <c r="CJ51" s="93"/>
      <c r="CK51" s="93"/>
      <c r="CL51" s="87">
        <v>-5.14</v>
      </c>
      <c r="CM51" s="66">
        <v>1000</v>
      </c>
      <c r="CN51" s="102">
        <v>11327.44</v>
      </c>
      <c r="CO51" s="110">
        <f t="shared" si="65"/>
        <v>12327.44</v>
      </c>
      <c r="CP51" s="110">
        <f t="shared" si="66"/>
        <v>1132.7440000000001</v>
      </c>
    </row>
    <row r="52" spans="2:94" hidden="1" outlineLevel="1" x14ac:dyDescent="0.2">
      <c r="B52" s="72" t="s">
        <v>1509</v>
      </c>
      <c r="C52" s="57" t="s">
        <v>1387</v>
      </c>
      <c r="D52" s="57" t="s">
        <v>1440</v>
      </c>
      <c r="E52" s="65" t="s">
        <v>1389</v>
      </c>
      <c r="F52" s="57" t="s">
        <v>1454</v>
      </c>
      <c r="G52" s="62" t="s">
        <v>1556</v>
      </c>
      <c r="H52" s="128" t="b">
        <v>1</v>
      </c>
      <c r="I52" s="122" t="s">
        <v>1865</v>
      </c>
      <c r="N52" s="124">
        <v>21</v>
      </c>
      <c r="O52" s="124">
        <v>0.8</v>
      </c>
      <c r="P52" s="124">
        <v>5</v>
      </c>
      <c r="Q52" s="128" t="b">
        <v>1</v>
      </c>
      <c r="R52" s="127" t="s">
        <v>1559</v>
      </c>
      <c r="T52" s="126">
        <v>13</v>
      </c>
      <c r="U52" s="124">
        <v>1.4999999999999999E-2</v>
      </c>
      <c r="V52" s="126">
        <v>75</v>
      </c>
      <c r="W52" s="126">
        <v>-75</v>
      </c>
      <c r="X52" s="124">
        <v>50</v>
      </c>
      <c r="Y52" s="124">
        <v>5</v>
      </c>
      <c r="Z52" s="128" t="b">
        <v>1</v>
      </c>
      <c r="AA52" s="127" t="s">
        <v>1867</v>
      </c>
      <c r="AB52" s="122">
        <v>3</v>
      </c>
      <c r="AC52" s="146"/>
      <c r="AD52" s="147">
        <v>34</v>
      </c>
      <c r="AE52" s="124"/>
      <c r="AF52" s="124">
        <v>5.0000000000000001E-4</v>
      </c>
      <c r="AG52" s="135" t="b">
        <v>1</v>
      </c>
      <c r="AH52" s="125">
        <v>5</v>
      </c>
      <c r="AI52" s="125">
        <v>13</v>
      </c>
      <c r="AJ52" s="125">
        <v>34</v>
      </c>
      <c r="AK52" s="125">
        <v>89</v>
      </c>
      <c r="AL52" s="129" t="b">
        <v>0</v>
      </c>
      <c r="AM52" s="128" t="b">
        <v>1</v>
      </c>
      <c r="AN52" s="131" t="s">
        <v>1469</v>
      </c>
      <c r="AO52" s="127">
        <v>1E-4</v>
      </c>
      <c r="AP52" s="128" t="b">
        <v>1</v>
      </c>
      <c r="AQ52" s="127">
        <v>1E-3</v>
      </c>
      <c r="AR52" s="149">
        <v>8</v>
      </c>
      <c r="AS52" s="149">
        <v>13</v>
      </c>
      <c r="AT52" s="149">
        <v>8</v>
      </c>
      <c r="AU52" s="128" t="b">
        <v>1</v>
      </c>
      <c r="AV52" s="124">
        <v>3</v>
      </c>
      <c r="AW52" s="146">
        <v>5</v>
      </c>
      <c r="AX52" s="124">
        <v>1</v>
      </c>
      <c r="AY52" s="128" t="b">
        <v>1</v>
      </c>
      <c r="AZ52" s="122" t="s">
        <v>1576</v>
      </c>
      <c r="BA52" s="122">
        <v>4</v>
      </c>
      <c r="BB52" s="126">
        <v>0.05</v>
      </c>
      <c r="BC52" s="126">
        <v>0.5</v>
      </c>
      <c r="BD52" s="129" t="b">
        <v>0</v>
      </c>
      <c r="BE52" s="122" t="s">
        <v>1873</v>
      </c>
      <c r="BF52" s="128" t="b">
        <v>1</v>
      </c>
      <c r="BG52" s="122" t="s">
        <v>1578</v>
      </c>
      <c r="BH52" s="122">
        <v>0.01</v>
      </c>
      <c r="BI52" s="156" t="s">
        <v>403</v>
      </c>
      <c r="BJ52" s="128" t="b">
        <v>1</v>
      </c>
      <c r="BK52" s="159">
        <v>4</v>
      </c>
      <c r="BL52" s="128" t="b">
        <v>1</v>
      </c>
      <c r="BM52" s="156" t="s">
        <v>412</v>
      </c>
      <c r="BN52" s="129" t="b">
        <v>0</v>
      </c>
      <c r="BO52" s="156" t="s">
        <v>1382</v>
      </c>
      <c r="BP52" s="157"/>
      <c r="BQ52" s="157"/>
      <c r="BR52" s="166" t="str">
        <f t="shared" si="67"/>
        <v>5/ 13/ 34/ 89</v>
      </c>
      <c r="BS52" s="166" t="str">
        <f t="shared" si="61"/>
        <v>8 / 13 / 8</v>
      </c>
      <c r="BT52" s="166" t="str">
        <f t="shared" si="62"/>
        <v>0.05 / 0.5</v>
      </c>
      <c r="BU52" s="66">
        <v>306</v>
      </c>
      <c r="BV52" s="66">
        <v>193</v>
      </c>
      <c r="BW52" s="66">
        <v>189</v>
      </c>
      <c r="BX52" s="99">
        <f t="shared" si="63"/>
        <v>4</v>
      </c>
      <c r="BY52" s="66">
        <v>20</v>
      </c>
      <c r="BZ52" s="92">
        <f t="shared" si="68"/>
        <v>93</v>
      </c>
      <c r="CA52" s="204">
        <f t="shared" si="69"/>
        <v>0.63071895424836599</v>
      </c>
      <c r="CB52" s="205">
        <f t="shared" si="70"/>
        <v>6.535947712418301E-2</v>
      </c>
      <c r="CC52" s="87">
        <v>6.11</v>
      </c>
      <c r="CD52" s="66">
        <v>24.95</v>
      </c>
      <c r="CE52" s="87">
        <v>0.4</v>
      </c>
      <c r="CF52" s="170">
        <f t="shared" si="64"/>
        <v>4</v>
      </c>
      <c r="CG52" s="87">
        <v>0.65</v>
      </c>
      <c r="CH52" s="66">
        <v>0.46</v>
      </c>
      <c r="CI52" s="93">
        <v>3677.8</v>
      </c>
      <c r="CJ52" s="93"/>
      <c r="CK52" s="93"/>
      <c r="CL52" s="87">
        <v>-3.96</v>
      </c>
      <c r="CM52" s="66">
        <v>1000</v>
      </c>
      <c r="CN52" s="93">
        <v>7635.09</v>
      </c>
      <c r="CO52" s="108">
        <f t="shared" si="65"/>
        <v>8635.09</v>
      </c>
      <c r="CP52" s="108">
        <f t="shared" si="66"/>
        <v>763.50900000000001</v>
      </c>
    </row>
    <row r="53" spans="2:94" hidden="1" outlineLevel="1" x14ac:dyDescent="0.2">
      <c r="B53" s="72" t="s">
        <v>1510</v>
      </c>
      <c r="C53" s="57" t="s">
        <v>1387</v>
      </c>
      <c r="D53" s="57" t="s">
        <v>1440</v>
      </c>
      <c r="E53" s="65" t="s">
        <v>1389</v>
      </c>
      <c r="F53" s="57" t="s">
        <v>1454</v>
      </c>
      <c r="G53" s="62" t="s">
        <v>1556</v>
      </c>
      <c r="H53" s="128" t="b">
        <v>1</v>
      </c>
      <c r="I53" s="122" t="s">
        <v>1865</v>
      </c>
      <c r="N53" s="124">
        <v>21</v>
      </c>
      <c r="O53" s="124">
        <v>0.8</v>
      </c>
      <c r="P53" s="124">
        <v>5</v>
      </c>
      <c r="Q53" s="128" t="b">
        <v>1</v>
      </c>
      <c r="R53" s="127" t="s">
        <v>1559</v>
      </c>
      <c r="T53" s="126">
        <v>13</v>
      </c>
      <c r="U53" s="124">
        <v>1.4999999999999999E-2</v>
      </c>
      <c r="V53" s="126">
        <v>75</v>
      </c>
      <c r="W53" s="126">
        <v>-75</v>
      </c>
      <c r="X53" s="124">
        <v>50</v>
      </c>
      <c r="Y53" s="124">
        <v>5</v>
      </c>
      <c r="Z53" s="128" t="b">
        <v>1</v>
      </c>
      <c r="AA53" s="127" t="s">
        <v>1867</v>
      </c>
      <c r="AB53" s="122">
        <v>3</v>
      </c>
      <c r="AC53" s="146"/>
      <c r="AD53" s="147">
        <v>34</v>
      </c>
      <c r="AE53" s="124"/>
      <c r="AF53" s="124">
        <v>5.0000000000000001E-4</v>
      </c>
      <c r="AG53" s="135" t="b">
        <v>1</v>
      </c>
      <c r="AH53" s="125">
        <v>5</v>
      </c>
      <c r="AI53" s="125">
        <v>13</v>
      </c>
      <c r="AJ53" s="125">
        <v>34</v>
      </c>
      <c r="AK53" s="125">
        <v>89</v>
      </c>
      <c r="AL53" s="129" t="b">
        <v>0</v>
      </c>
      <c r="AM53" s="128" t="b">
        <v>1</v>
      </c>
      <c r="AN53" s="131" t="s">
        <v>1469</v>
      </c>
      <c r="AO53" s="127">
        <v>1E-4</v>
      </c>
      <c r="AP53" s="128" t="b">
        <v>1</v>
      </c>
      <c r="AQ53" s="127">
        <v>1E-3</v>
      </c>
      <c r="AR53" s="150">
        <v>8</v>
      </c>
      <c r="AS53" s="150">
        <v>17</v>
      </c>
      <c r="AT53" s="150">
        <v>9</v>
      </c>
      <c r="AU53" s="128" t="b">
        <v>1</v>
      </c>
      <c r="AV53" s="124">
        <v>3</v>
      </c>
      <c r="AW53" s="146">
        <v>5</v>
      </c>
      <c r="AX53" s="124">
        <v>1</v>
      </c>
      <c r="AY53" s="128" t="b">
        <v>1</v>
      </c>
      <c r="AZ53" s="122" t="s">
        <v>1576</v>
      </c>
      <c r="BA53" s="122">
        <v>4</v>
      </c>
      <c r="BB53" s="126">
        <v>0.05</v>
      </c>
      <c r="BC53" s="126">
        <v>0.5</v>
      </c>
      <c r="BD53" s="129" t="b">
        <v>0</v>
      </c>
      <c r="BE53" s="122" t="s">
        <v>1873</v>
      </c>
      <c r="BF53" s="128" t="b">
        <v>1</v>
      </c>
      <c r="BG53" s="122" t="s">
        <v>1578</v>
      </c>
      <c r="BH53" s="122">
        <v>0.01</v>
      </c>
      <c r="BI53" s="156" t="s">
        <v>403</v>
      </c>
      <c r="BJ53" s="128" t="b">
        <v>1</v>
      </c>
      <c r="BK53" s="159">
        <v>4</v>
      </c>
      <c r="BL53" s="128" t="b">
        <v>1</v>
      </c>
      <c r="BM53" s="156" t="s">
        <v>412</v>
      </c>
      <c r="BN53" s="129" t="b">
        <v>0</v>
      </c>
      <c r="BO53" s="156" t="s">
        <v>1382</v>
      </c>
      <c r="BP53" s="157"/>
      <c r="BQ53" s="157"/>
      <c r="BR53" s="166" t="str">
        <f t="shared" si="67"/>
        <v>5/ 13/ 34/ 89</v>
      </c>
      <c r="BS53" s="166" t="str">
        <f t="shared" si="61"/>
        <v>8 / 17 / 9</v>
      </c>
      <c r="BT53" s="166" t="str">
        <f t="shared" si="62"/>
        <v>0.05 / 0.5</v>
      </c>
      <c r="BU53" s="66">
        <v>312</v>
      </c>
      <c r="BV53" s="66">
        <v>189</v>
      </c>
      <c r="BW53" s="66">
        <v>185</v>
      </c>
      <c r="BX53" s="99">
        <f t="shared" si="63"/>
        <v>4</v>
      </c>
      <c r="BY53" s="66">
        <v>24</v>
      </c>
      <c r="BZ53" s="92">
        <f t="shared" si="68"/>
        <v>99</v>
      </c>
      <c r="CA53" s="204">
        <f>IF(BU53=0,0,BV53/BU53)</f>
        <v>0.60576923076923073</v>
      </c>
      <c r="CB53" s="205">
        <f>IF(BU53=0,0,BY53/BU53)</f>
        <v>7.6923076923076927E-2</v>
      </c>
      <c r="CC53" s="87">
        <v>5.09</v>
      </c>
      <c r="CD53" s="66">
        <v>21.59</v>
      </c>
      <c r="CE53" s="87">
        <v>0.38</v>
      </c>
      <c r="CF53" s="170">
        <f t="shared" si="64"/>
        <v>4</v>
      </c>
      <c r="CG53" s="87">
        <v>0.66</v>
      </c>
      <c r="CH53" s="66">
        <v>0.48</v>
      </c>
      <c r="CI53" s="93">
        <v>3647.7</v>
      </c>
      <c r="CJ53" s="93"/>
      <c r="CK53" s="93"/>
      <c r="CL53" s="87">
        <v>-5.52</v>
      </c>
      <c r="CM53" s="66">
        <v>1000</v>
      </c>
      <c r="CN53" s="93">
        <v>6735.96</v>
      </c>
      <c r="CO53" s="108">
        <f t="shared" si="65"/>
        <v>7735.96</v>
      </c>
      <c r="CP53" s="108">
        <f t="shared" si="66"/>
        <v>673.596</v>
      </c>
    </row>
    <row r="54" spans="2:94" hidden="1" outlineLevel="1" x14ac:dyDescent="0.2">
      <c r="B54" s="72" t="s">
        <v>1511</v>
      </c>
      <c r="C54" s="57" t="s">
        <v>1387</v>
      </c>
      <c r="D54" s="57" t="s">
        <v>1440</v>
      </c>
      <c r="E54" s="65" t="s">
        <v>1389</v>
      </c>
      <c r="F54" s="57" t="s">
        <v>1454</v>
      </c>
      <c r="G54" s="62" t="s">
        <v>1556</v>
      </c>
      <c r="H54" s="128" t="b">
        <v>1</v>
      </c>
      <c r="I54" s="122" t="s">
        <v>1865</v>
      </c>
      <c r="N54" s="124">
        <v>21</v>
      </c>
      <c r="O54" s="124">
        <v>0.8</v>
      </c>
      <c r="P54" s="124">
        <v>5</v>
      </c>
      <c r="Q54" s="128" t="b">
        <v>1</v>
      </c>
      <c r="R54" s="127" t="s">
        <v>1559</v>
      </c>
      <c r="T54" s="126">
        <v>13</v>
      </c>
      <c r="U54" s="124">
        <v>1.4999999999999999E-2</v>
      </c>
      <c r="V54" s="126">
        <v>75</v>
      </c>
      <c r="W54" s="126">
        <v>-75</v>
      </c>
      <c r="X54" s="124">
        <v>50</v>
      </c>
      <c r="Y54" s="124">
        <v>5</v>
      </c>
      <c r="Z54" s="128" t="b">
        <v>1</v>
      </c>
      <c r="AA54" s="127" t="s">
        <v>1867</v>
      </c>
      <c r="AB54" s="122">
        <v>3</v>
      </c>
      <c r="AC54" s="146"/>
      <c r="AD54" s="147">
        <v>34</v>
      </c>
      <c r="AE54" s="124"/>
      <c r="AF54" s="124">
        <v>5.0000000000000001E-4</v>
      </c>
      <c r="AG54" s="135" t="b">
        <v>1</v>
      </c>
      <c r="AH54" s="125">
        <v>5</v>
      </c>
      <c r="AI54" s="125">
        <v>13</v>
      </c>
      <c r="AJ54" s="125">
        <v>34</v>
      </c>
      <c r="AK54" s="125">
        <v>89</v>
      </c>
      <c r="AL54" s="129" t="b">
        <v>0</v>
      </c>
      <c r="AM54" s="128" t="b">
        <v>1</v>
      </c>
      <c r="AN54" s="131" t="s">
        <v>1469</v>
      </c>
      <c r="AO54" s="127">
        <v>1E-4</v>
      </c>
      <c r="AP54" s="128" t="b">
        <v>1</v>
      </c>
      <c r="AQ54" s="127">
        <v>1E-3</v>
      </c>
      <c r="AR54" s="151">
        <v>12</v>
      </c>
      <c r="AS54" s="151">
        <v>26</v>
      </c>
      <c r="AT54" s="151">
        <v>9</v>
      </c>
      <c r="AU54" s="128" t="b">
        <v>1</v>
      </c>
      <c r="AV54" s="124">
        <v>3</v>
      </c>
      <c r="AW54" s="146">
        <v>5</v>
      </c>
      <c r="AX54" s="124">
        <v>1</v>
      </c>
      <c r="AY54" s="128" t="b">
        <v>1</v>
      </c>
      <c r="AZ54" s="122" t="s">
        <v>1576</v>
      </c>
      <c r="BA54" s="122">
        <v>4</v>
      </c>
      <c r="BB54" s="126">
        <v>0.05</v>
      </c>
      <c r="BC54" s="126">
        <v>0.5</v>
      </c>
      <c r="BD54" s="129" t="b">
        <v>0</v>
      </c>
      <c r="BE54" s="122" t="s">
        <v>1873</v>
      </c>
      <c r="BF54" s="128" t="b">
        <v>1</v>
      </c>
      <c r="BG54" s="122" t="s">
        <v>1578</v>
      </c>
      <c r="BH54" s="122">
        <v>0.01</v>
      </c>
      <c r="BI54" s="156" t="s">
        <v>403</v>
      </c>
      <c r="BJ54" s="128" t="b">
        <v>1</v>
      </c>
      <c r="BK54" s="159">
        <v>4</v>
      </c>
      <c r="BL54" s="128" t="b">
        <v>1</v>
      </c>
      <c r="BM54" s="156" t="s">
        <v>412</v>
      </c>
      <c r="BN54" s="129" t="b">
        <v>0</v>
      </c>
      <c r="BO54" s="156" t="s">
        <v>1382</v>
      </c>
      <c r="BP54" s="157"/>
      <c r="BQ54" s="157"/>
      <c r="BR54" s="166" t="str">
        <f t="shared" si="67"/>
        <v>5/ 13/ 34/ 89</v>
      </c>
      <c r="BS54" s="166" t="str">
        <f t="shared" si="61"/>
        <v>12 / 26 / 9</v>
      </c>
      <c r="BT54" s="166" t="str">
        <f t="shared" si="62"/>
        <v>0.05 / 0.5</v>
      </c>
      <c r="BU54" s="66">
        <v>284</v>
      </c>
      <c r="BV54" s="66">
        <v>178</v>
      </c>
      <c r="BW54" s="66">
        <v>173</v>
      </c>
      <c r="BX54" s="99">
        <f t="shared" si="63"/>
        <v>5</v>
      </c>
      <c r="BY54" s="66">
        <v>21</v>
      </c>
      <c r="BZ54" s="92">
        <f t="shared" si="68"/>
        <v>85</v>
      </c>
      <c r="CA54" s="204">
        <f>IF(BU54=0,0,BV54/BU54)</f>
        <v>0.62676056338028174</v>
      </c>
      <c r="CB54" s="205">
        <f>IF(BU54=0,0,BY54/BU54)</f>
        <v>7.3943661971830985E-2</v>
      </c>
      <c r="CC54" s="87">
        <v>7.21</v>
      </c>
      <c r="CD54" s="66">
        <v>26.27</v>
      </c>
      <c r="CE54" s="87">
        <v>0.43</v>
      </c>
      <c r="CF54" s="170">
        <f t="shared" si="64"/>
        <v>4</v>
      </c>
      <c r="CG54" s="94">
        <v>0.7</v>
      </c>
      <c r="CH54" s="66">
        <v>0.46</v>
      </c>
      <c r="CI54" s="93">
        <v>3617.3</v>
      </c>
      <c r="CJ54" s="93"/>
      <c r="CK54" s="93"/>
      <c r="CL54" s="87">
        <v>-3.6</v>
      </c>
      <c r="CM54" s="66">
        <v>1000</v>
      </c>
      <c r="CN54" s="93">
        <v>7461.11</v>
      </c>
      <c r="CO54" s="108">
        <f t="shared" si="65"/>
        <v>8461.11</v>
      </c>
      <c r="CP54" s="108">
        <f t="shared" si="66"/>
        <v>746.11099999999999</v>
      </c>
    </row>
    <row r="55" spans="2:94" hidden="1" outlineLevel="1" x14ac:dyDescent="0.2">
      <c r="B55" s="72" t="s">
        <v>1512</v>
      </c>
      <c r="C55" s="57" t="s">
        <v>1387</v>
      </c>
      <c r="D55" s="57" t="s">
        <v>1440</v>
      </c>
      <c r="E55" s="65" t="s">
        <v>1389</v>
      </c>
      <c r="F55" s="57" t="s">
        <v>1454</v>
      </c>
      <c r="G55" s="62" t="s">
        <v>1556</v>
      </c>
      <c r="H55" s="128" t="b">
        <v>1</v>
      </c>
      <c r="I55" s="122" t="s">
        <v>1865</v>
      </c>
      <c r="N55" s="124">
        <v>21</v>
      </c>
      <c r="O55" s="124">
        <v>0.8</v>
      </c>
      <c r="P55" s="124">
        <v>5</v>
      </c>
      <c r="Q55" s="128" t="b">
        <v>1</v>
      </c>
      <c r="R55" s="127" t="s">
        <v>1559</v>
      </c>
      <c r="T55" s="126">
        <v>13</v>
      </c>
      <c r="U55" s="124">
        <v>1.4999999999999999E-2</v>
      </c>
      <c r="V55" s="126">
        <v>75</v>
      </c>
      <c r="W55" s="126">
        <v>-75</v>
      </c>
      <c r="X55" s="124">
        <v>50</v>
      </c>
      <c r="Y55" s="124">
        <v>5</v>
      </c>
      <c r="Z55" s="128" t="b">
        <v>1</v>
      </c>
      <c r="AA55" s="127" t="s">
        <v>1867</v>
      </c>
      <c r="AB55" s="122">
        <v>3</v>
      </c>
      <c r="AC55" s="146"/>
      <c r="AD55" s="147">
        <v>34</v>
      </c>
      <c r="AE55" s="124"/>
      <c r="AF55" s="124">
        <v>5.0000000000000001E-4</v>
      </c>
      <c r="AG55" s="135" t="b">
        <v>1</v>
      </c>
      <c r="AH55" s="125">
        <v>5</v>
      </c>
      <c r="AI55" s="125">
        <v>13</v>
      </c>
      <c r="AJ55" s="125">
        <v>34</v>
      </c>
      <c r="AK55" s="125">
        <v>89</v>
      </c>
      <c r="AL55" s="129" t="b">
        <v>0</v>
      </c>
      <c r="AM55" s="128" t="b">
        <v>1</v>
      </c>
      <c r="AN55" s="131" t="s">
        <v>1469</v>
      </c>
      <c r="AO55" s="127">
        <v>1E-4</v>
      </c>
      <c r="AP55" s="128" t="b">
        <v>1</v>
      </c>
      <c r="AQ55" s="127">
        <v>1E-3</v>
      </c>
      <c r="AR55" s="137">
        <v>21</v>
      </c>
      <c r="AS55" s="137">
        <v>34</v>
      </c>
      <c r="AT55" s="137">
        <v>9</v>
      </c>
      <c r="AU55" s="128" t="b">
        <v>1</v>
      </c>
      <c r="AV55" s="124">
        <v>3</v>
      </c>
      <c r="AW55" s="146">
        <v>5</v>
      </c>
      <c r="AX55" s="124">
        <v>1</v>
      </c>
      <c r="AY55" s="128" t="b">
        <v>1</v>
      </c>
      <c r="AZ55" s="122" t="s">
        <v>1576</v>
      </c>
      <c r="BA55" s="122">
        <v>4</v>
      </c>
      <c r="BB55" s="126">
        <v>0.05</v>
      </c>
      <c r="BC55" s="126">
        <v>0.5</v>
      </c>
      <c r="BD55" s="129" t="b">
        <v>0</v>
      </c>
      <c r="BE55" s="122" t="s">
        <v>1873</v>
      </c>
      <c r="BF55" s="128" t="b">
        <v>1</v>
      </c>
      <c r="BG55" s="122" t="s">
        <v>1578</v>
      </c>
      <c r="BH55" s="122">
        <v>0.01</v>
      </c>
      <c r="BI55" s="156" t="s">
        <v>403</v>
      </c>
      <c r="BJ55" s="128" t="b">
        <v>1</v>
      </c>
      <c r="BK55" s="159">
        <v>4</v>
      </c>
      <c r="BL55" s="128" t="b">
        <v>1</v>
      </c>
      <c r="BM55" s="156" t="s">
        <v>412</v>
      </c>
      <c r="BN55" s="129" t="b">
        <v>0</v>
      </c>
      <c r="BO55" s="156" t="s">
        <v>1382</v>
      </c>
      <c r="BP55" s="157"/>
      <c r="BQ55" s="157"/>
      <c r="BR55" s="166" t="str">
        <f t="shared" si="67"/>
        <v>5/ 13/ 34/ 89</v>
      </c>
      <c r="BS55" s="166" t="str">
        <f t="shared" si="61"/>
        <v>21 / 34 / 9</v>
      </c>
      <c r="BT55" s="166" t="str">
        <f t="shared" si="62"/>
        <v>0.05 / 0.5</v>
      </c>
      <c r="BU55" s="66">
        <v>230</v>
      </c>
      <c r="BV55" s="66">
        <v>147</v>
      </c>
      <c r="BW55" s="66">
        <v>142</v>
      </c>
      <c r="BX55" s="99">
        <f t="shared" si="63"/>
        <v>5</v>
      </c>
      <c r="BY55" s="66">
        <v>15</v>
      </c>
      <c r="BZ55" s="92">
        <f t="shared" si="68"/>
        <v>68</v>
      </c>
      <c r="CA55" s="204">
        <f t="shared" ref="CA55" si="71">IF(BU55=0,0,BV55/BU55)</f>
        <v>0.63913043478260867</v>
      </c>
      <c r="CB55" s="205">
        <f t="shared" ref="CB55" si="72">IF(BU55=0,0,BY55/BU55)</f>
        <v>6.5217391304347824E-2</v>
      </c>
      <c r="CC55" s="87">
        <v>7.97</v>
      </c>
      <c r="CD55" s="66">
        <v>21.25</v>
      </c>
      <c r="CE55" s="87">
        <v>0.46</v>
      </c>
      <c r="CF55" s="170">
        <f t="shared" si="64"/>
        <v>4</v>
      </c>
      <c r="CG55" s="94">
        <v>0.7</v>
      </c>
      <c r="CH55" s="66">
        <v>0.45</v>
      </c>
      <c r="CI55" s="93">
        <v>3090</v>
      </c>
      <c r="CJ55" s="93"/>
      <c r="CK55" s="93"/>
      <c r="CL55" s="87">
        <v>-2.68</v>
      </c>
      <c r="CM55" s="66">
        <v>1000</v>
      </c>
      <c r="CN55" s="101">
        <v>4886.68</v>
      </c>
      <c r="CO55" s="109">
        <f t="shared" si="65"/>
        <v>5886.68</v>
      </c>
      <c r="CP55" s="109">
        <f t="shared" si="66"/>
        <v>488.66800000000001</v>
      </c>
    </row>
    <row r="56" spans="2:94" hidden="1" outlineLevel="1" x14ac:dyDescent="0.2">
      <c r="G56" s="62"/>
      <c r="R56" s="130"/>
      <c r="AA56" s="130"/>
      <c r="AC56" s="124"/>
      <c r="AD56" s="124"/>
      <c r="AE56" s="124"/>
      <c r="AH56" s="125"/>
      <c r="AI56" s="125"/>
      <c r="AJ56" s="125"/>
      <c r="AK56" s="125"/>
      <c r="AO56" s="127"/>
      <c r="AR56" s="124"/>
      <c r="AS56" s="124"/>
      <c r="AT56" s="124"/>
      <c r="BB56" s="124"/>
      <c r="BC56" s="124"/>
      <c r="BI56" s="156"/>
      <c r="BK56" s="154"/>
      <c r="BP56" s="154"/>
      <c r="BQ56" s="154"/>
      <c r="BS56" s="167"/>
      <c r="BT56" s="167"/>
      <c r="BU56" s="85"/>
      <c r="BV56" s="85"/>
      <c r="BW56" s="85"/>
      <c r="BX56" s="100"/>
      <c r="BY56" s="85"/>
      <c r="BZ56" s="86"/>
      <c r="CA56" s="85"/>
      <c r="CB56" s="95"/>
      <c r="CC56" s="85"/>
      <c r="CD56" s="85"/>
      <c r="CE56" s="85"/>
      <c r="CF56" s="107"/>
      <c r="CG56" s="85"/>
      <c r="CH56" s="85"/>
      <c r="CI56" s="85"/>
      <c r="CJ56" s="85"/>
      <c r="CK56" s="85"/>
      <c r="CL56" s="85"/>
      <c r="CM56" s="84"/>
      <c r="CN56" s="85"/>
      <c r="CO56" s="107"/>
      <c r="CP56" s="107"/>
    </row>
    <row r="57" spans="2:94" collapsed="1" x14ac:dyDescent="0.2">
      <c r="B57" s="72" t="s">
        <v>1513</v>
      </c>
      <c r="C57" s="57" t="s">
        <v>1387</v>
      </c>
      <c r="D57" s="57" t="s">
        <v>1440</v>
      </c>
      <c r="E57" s="65" t="s">
        <v>1389</v>
      </c>
      <c r="F57" s="57" t="s">
        <v>1454</v>
      </c>
      <c r="G57" s="62" t="s">
        <v>1556</v>
      </c>
      <c r="H57" s="128" t="b">
        <v>1</v>
      </c>
      <c r="I57" s="122" t="s">
        <v>1865</v>
      </c>
      <c r="N57" s="124">
        <v>21</v>
      </c>
      <c r="O57" s="124">
        <v>0.8</v>
      </c>
      <c r="P57" s="124">
        <v>5</v>
      </c>
      <c r="Q57" s="128" t="b">
        <v>1</v>
      </c>
      <c r="R57" s="127" t="s">
        <v>1559</v>
      </c>
      <c r="T57" s="126">
        <v>13</v>
      </c>
      <c r="U57" s="124">
        <v>1.4999999999999999E-2</v>
      </c>
      <c r="V57" s="126">
        <v>75</v>
      </c>
      <c r="W57" s="126">
        <v>-75</v>
      </c>
      <c r="X57" s="124">
        <v>50</v>
      </c>
      <c r="Y57" s="124">
        <v>5</v>
      </c>
      <c r="Z57" s="128" t="b">
        <v>1</v>
      </c>
      <c r="AA57" s="127" t="s">
        <v>1867</v>
      </c>
      <c r="AB57" s="122">
        <v>3</v>
      </c>
      <c r="AC57" s="146"/>
      <c r="AD57" s="147">
        <v>34</v>
      </c>
      <c r="AE57" s="124"/>
      <c r="AF57" s="124">
        <v>5.0000000000000001E-4</v>
      </c>
      <c r="AG57" s="135" t="b">
        <v>1</v>
      </c>
      <c r="AH57" s="125">
        <v>5</v>
      </c>
      <c r="AI57" s="125">
        <v>13</v>
      </c>
      <c r="AJ57" s="125">
        <v>34</v>
      </c>
      <c r="AK57" s="125">
        <v>89</v>
      </c>
      <c r="AL57" s="129" t="b">
        <v>0</v>
      </c>
      <c r="AM57" s="128" t="b">
        <v>1</v>
      </c>
      <c r="AN57" s="131" t="s">
        <v>1469</v>
      </c>
      <c r="AO57" s="127">
        <v>1E-4</v>
      </c>
      <c r="AP57" s="128" t="b">
        <v>1</v>
      </c>
      <c r="AQ57" s="127">
        <v>1E-3</v>
      </c>
      <c r="AR57" s="126">
        <v>5</v>
      </c>
      <c r="AS57" s="126">
        <v>8</v>
      </c>
      <c r="AT57" s="126">
        <v>5</v>
      </c>
      <c r="AU57" s="128" t="b">
        <v>1</v>
      </c>
      <c r="AV57" s="124">
        <v>3</v>
      </c>
      <c r="AW57" s="146">
        <v>5</v>
      </c>
      <c r="AX57" s="124">
        <v>1</v>
      </c>
      <c r="AY57" s="128" t="b">
        <v>1</v>
      </c>
      <c r="AZ57" s="122" t="s">
        <v>1576</v>
      </c>
      <c r="BA57" s="122">
        <v>4</v>
      </c>
      <c r="BB57" s="126">
        <v>0.05</v>
      </c>
      <c r="BC57" s="126">
        <v>0.5</v>
      </c>
      <c r="BD57" s="129" t="b">
        <v>0</v>
      </c>
      <c r="BE57" s="122" t="s">
        <v>1873</v>
      </c>
      <c r="BF57" s="128" t="b">
        <v>1</v>
      </c>
      <c r="BG57" s="122" t="s">
        <v>1578</v>
      </c>
      <c r="BH57" s="122">
        <v>0.01</v>
      </c>
      <c r="BI57" s="156" t="s">
        <v>403</v>
      </c>
      <c r="BJ57" s="128" t="b">
        <v>1</v>
      </c>
      <c r="BK57" s="157">
        <v>2</v>
      </c>
      <c r="BL57" s="128" t="b">
        <v>1</v>
      </c>
      <c r="BM57" s="156" t="s">
        <v>412</v>
      </c>
      <c r="BN57" s="128" t="b">
        <v>1</v>
      </c>
      <c r="BO57" s="156" t="s">
        <v>1382</v>
      </c>
      <c r="BP57" s="157">
        <v>1</v>
      </c>
      <c r="BQ57" s="157">
        <v>0.5</v>
      </c>
      <c r="BR57" s="166" t="str">
        <f>AH57&amp;"/ "&amp;AI57&amp;"/ "&amp;AJ57&amp;"/ "&amp;AK57</f>
        <v>5/ 13/ 34/ 89</v>
      </c>
      <c r="BS57" s="166" t="str">
        <f t="shared" ref="BS57:BS62" si="73">AR57&amp;" / "&amp;AS57&amp;" / "&amp;AT57</f>
        <v>5 / 8 / 5</v>
      </c>
      <c r="BT57" s="166" t="str">
        <f t="shared" ref="BT57:BT62" si="74">BB57&amp;" / "&amp;BC57</f>
        <v>0.05 / 0.5</v>
      </c>
      <c r="BU57" s="66">
        <v>319</v>
      </c>
      <c r="BV57" s="66">
        <v>202</v>
      </c>
      <c r="BW57" s="66">
        <v>181</v>
      </c>
      <c r="BX57" s="99">
        <f t="shared" ref="BX57:BX62" si="75">BV57-BW57</f>
        <v>21</v>
      </c>
      <c r="BY57" s="66">
        <v>17</v>
      </c>
      <c r="BZ57" s="92">
        <f>BU57-SUM(BW57:BY57)</f>
        <v>100</v>
      </c>
      <c r="CA57" s="204">
        <f>IF(BU57=0,0,BV57/BU57)</f>
        <v>0.63322884012539182</v>
      </c>
      <c r="CB57" s="205">
        <f>IF(BU57=0,0,BY57/BU57)</f>
        <v>5.329153605015674E-2</v>
      </c>
      <c r="CC57" s="87">
        <v>7.36</v>
      </c>
      <c r="CD57" s="87">
        <v>27.79</v>
      </c>
      <c r="CE57" s="87">
        <v>0.49</v>
      </c>
      <c r="CF57" s="170">
        <f t="shared" ref="CF57:CF62" si="76">BK57</f>
        <v>2</v>
      </c>
      <c r="CG57" s="87">
        <v>0.65</v>
      </c>
      <c r="CH57" s="87">
        <v>0.47</v>
      </c>
      <c r="CI57" s="93">
        <v>3923.5</v>
      </c>
      <c r="CJ57" s="93"/>
      <c r="CK57" s="93"/>
      <c r="CL57" s="87">
        <v>-2.65</v>
      </c>
      <c r="CM57" s="66">
        <v>1000</v>
      </c>
      <c r="CN57" s="93">
        <v>8863.9500000000007</v>
      </c>
      <c r="CO57" s="108">
        <f t="shared" ref="CO57:CO62" si="77">CM57+CN57</f>
        <v>9863.9500000000007</v>
      </c>
      <c r="CP57" s="108">
        <f t="shared" ref="CP57:CP62" si="78">CN57/10</f>
        <v>886.3950000000001</v>
      </c>
    </row>
    <row r="58" spans="2:94" hidden="1" outlineLevel="1" x14ac:dyDescent="0.2">
      <c r="B58" s="72" t="s">
        <v>1514</v>
      </c>
      <c r="C58" s="57" t="s">
        <v>1387</v>
      </c>
      <c r="D58" s="57" t="s">
        <v>1440</v>
      </c>
      <c r="E58" s="65" t="s">
        <v>1389</v>
      </c>
      <c r="F58" s="57" t="s">
        <v>1454</v>
      </c>
      <c r="G58" s="62" t="s">
        <v>1556</v>
      </c>
      <c r="H58" s="128" t="b">
        <v>1</v>
      </c>
      <c r="I58" s="122" t="s">
        <v>1865</v>
      </c>
      <c r="N58" s="124">
        <v>21</v>
      </c>
      <c r="O58" s="124">
        <v>0.8</v>
      </c>
      <c r="P58" s="124">
        <v>5</v>
      </c>
      <c r="Q58" s="128" t="b">
        <v>1</v>
      </c>
      <c r="R58" s="127" t="s">
        <v>1559</v>
      </c>
      <c r="T58" s="126">
        <v>13</v>
      </c>
      <c r="U58" s="124">
        <v>1.4999999999999999E-2</v>
      </c>
      <c r="V58" s="126">
        <v>75</v>
      </c>
      <c r="W58" s="126">
        <v>-75</v>
      </c>
      <c r="X58" s="124">
        <v>50</v>
      </c>
      <c r="Y58" s="124">
        <v>5</v>
      </c>
      <c r="Z58" s="128" t="b">
        <v>1</v>
      </c>
      <c r="AA58" s="127" t="s">
        <v>1867</v>
      </c>
      <c r="AB58" s="122">
        <v>3</v>
      </c>
      <c r="AC58" s="146"/>
      <c r="AD58" s="147">
        <v>34</v>
      </c>
      <c r="AE58" s="124"/>
      <c r="AF58" s="124">
        <v>5.0000000000000001E-4</v>
      </c>
      <c r="AG58" s="135" t="b">
        <v>1</v>
      </c>
      <c r="AH58" s="125">
        <v>5</v>
      </c>
      <c r="AI58" s="125">
        <v>13</v>
      </c>
      <c r="AJ58" s="125">
        <v>34</v>
      </c>
      <c r="AK58" s="125">
        <v>89</v>
      </c>
      <c r="AL58" s="129" t="b">
        <v>0</v>
      </c>
      <c r="AM58" s="128" t="b">
        <v>1</v>
      </c>
      <c r="AN58" s="131" t="s">
        <v>1469</v>
      </c>
      <c r="AO58" s="127">
        <v>1E-4</v>
      </c>
      <c r="AP58" s="128" t="b">
        <v>1</v>
      </c>
      <c r="AQ58" s="127">
        <v>1E-3</v>
      </c>
      <c r="AR58" s="135">
        <v>5</v>
      </c>
      <c r="AS58" s="135">
        <v>13</v>
      </c>
      <c r="AT58" s="135">
        <v>8</v>
      </c>
      <c r="AU58" s="128" t="b">
        <v>1</v>
      </c>
      <c r="AV58" s="124">
        <v>3</v>
      </c>
      <c r="AW58" s="146">
        <v>5</v>
      </c>
      <c r="AX58" s="124">
        <v>1</v>
      </c>
      <c r="AY58" s="128" t="b">
        <v>1</v>
      </c>
      <c r="AZ58" s="122" t="s">
        <v>1576</v>
      </c>
      <c r="BA58" s="122">
        <v>4</v>
      </c>
      <c r="BB58" s="126">
        <v>0.05</v>
      </c>
      <c r="BC58" s="126">
        <v>0.5</v>
      </c>
      <c r="BD58" s="129" t="b">
        <v>0</v>
      </c>
      <c r="BE58" s="122" t="s">
        <v>1873</v>
      </c>
      <c r="BF58" s="128" t="b">
        <v>1</v>
      </c>
      <c r="BG58" s="122" t="s">
        <v>1578</v>
      </c>
      <c r="BH58" s="122">
        <v>0.01</v>
      </c>
      <c r="BI58" s="156" t="s">
        <v>403</v>
      </c>
      <c r="BJ58" s="128" t="b">
        <v>1</v>
      </c>
      <c r="BK58" s="157">
        <v>2</v>
      </c>
      <c r="BL58" s="128" t="b">
        <v>1</v>
      </c>
      <c r="BM58" s="156" t="s">
        <v>412</v>
      </c>
      <c r="BN58" s="128" t="b">
        <v>1</v>
      </c>
      <c r="BO58" s="156" t="s">
        <v>1382</v>
      </c>
      <c r="BP58" s="157">
        <v>1</v>
      </c>
      <c r="BQ58" s="157">
        <v>0.5</v>
      </c>
      <c r="BR58" s="166" t="str">
        <f t="shared" ref="BR58:BR62" si="79">AH58&amp;"/ "&amp;AI58&amp;"/ "&amp;AJ58&amp;"/ "&amp;AK58</f>
        <v>5/ 13/ 34/ 89</v>
      </c>
      <c r="BS58" s="169" t="str">
        <f t="shared" si="73"/>
        <v>5 / 13 / 8</v>
      </c>
      <c r="BT58" s="166" t="str">
        <f t="shared" si="74"/>
        <v>0.05 / 0.5</v>
      </c>
      <c r="BU58" s="66">
        <v>328</v>
      </c>
      <c r="BV58" s="66">
        <v>211</v>
      </c>
      <c r="BW58" s="66">
        <v>191</v>
      </c>
      <c r="BX58" s="99">
        <f t="shared" si="75"/>
        <v>20</v>
      </c>
      <c r="BY58" s="66">
        <v>19</v>
      </c>
      <c r="BZ58" s="92">
        <f t="shared" ref="BZ58:BZ62" si="80">BU58-SUM(BW58:BY58)</f>
        <v>98</v>
      </c>
      <c r="CA58" s="204">
        <f t="shared" ref="CA58:CA59" si="81">IF(BU58=0,0,BV58/BU58)</f>
        <v>0.64329268292682928</v>
      </c>
      <c r="CB58" s="205">
        <f t="shared" ref="CB58:CB59" si="82">IF(BU58=0,0,BY58/BU58)</f>
        <v>5.7926829268292686E-2</v>
      </c>
      <c r="CC58" s="87">
        <v>7.8</v>
      </c>
      <c r="CD58" s="90">
        <v>28.95</v>
      </c>
      <c r="CE58" s="87">
        <v>0.49</v>
      </c>
      <c r="CF58" s="170">
        <f t="shared" si="76"/>
        <v>2</v>
      </c>
      <c r="CG58" s="87">
        <v>0.64</v>
      </c>
      <c r="CH58" s="66">
        <v>0.48</v>
      </c>
      <c r="CI58" s="93">
        <v>3990.9</v>
      </c>
      <c r="CJ58" s="93"/>
      <c r="CK58" s="93"/>
      <c r="CL58" s="87">
        <v>-5.15</v>
      </c>
      <c r="CM58" s="66">
        <v>1000</v>
      </c>
      <c r="CN58" s="102">
        <v>9497.16</v>
      </c>
      <c r="CO58" s="110">
        <f t="shared" si="77"/>
        <v>10497.16</v>
      </c>
      <c r="CP58" s="110">
        <f t="shared" si="78"/>
        <v>949.71600000000001</v>
      </c>
    </row>
    <row r="59" spans="2:94" hidden="1" outlineLevel="1" x14ac:dyDescent="0.2">
      <c r="B59" s="72" t="s">
        <v>1515</v>
      </c>
      <c r="C59" s="57" t="s">
        <v>1387</v>
      </c>
      <c r="D59" s="57" t="s">
        <v>1440</v>
      </c>
      <c r="E59" s="65" t="s">
        <v>1389</v>
      </c>
      <c r="F59" s="57" t="s">
        <v>1454</v>
      </c>
      <c r="G59" s="62" t="s">
        <v>1556</v>
      </c>
      <c r="H59" s="128" t="b">
        <v>1</v>
      </c>
      <c r="I59" s="122" t="s">
        <v>1865</v>
      </c>
      <c r="N59" s="124">
        <v>21</v>
      </c>
      <c r="O59" s="124">
        <v>0.8</v>
      </c>
      <c r="P59" s="124">
        <v>5</v>
      </c>
      <c r="Q59" s="128" t="b">
        <v>1</v>
      </c>
      <c r="R59" s="127" t="s">
        <v>1559</v>
      </c>
      <c r="T59" s="126">
        <v>13</v>
      </c>
      <c r="U59" s="124">
        <v>1.4999999999999999E-2</v>
      </c>
      <c r="V59" s="126">
        <v>75</v>
      </c>
      <c r="W59" s="126">
        <v>-75</v>
      </c>
      <c r="X59" s="124">
        <v>50</v>
      </c>
      <c r="Y59" s="124">
        <v>5</v>
      </c>
      <c r="Z59" s="128" t="b">
        <v>1</v>
      </c>
      <c r="AA59" s="127" t="s">
        <v>1867</v>
      </c>
      <c r="AB59" s="122">
        <v>3</v>
      </c>
      <c r="AC59" s="146"/>
      <c r="AD59" s="147">
        <v>34</v>
      </c>
      <c r="AE59" s="124"/>
      <c r="AF59" s="124">
        <v>5.0000000000000001E-4</v>
      </c>
      <c r="AG59" s="135" t="b">
        <v>1</v>
      </c>
      <c r="AH59" s="125">
        <v>5</v>
      </c>
      <c r="AI59" s="125">
        <v>13</v>
      </c>
      <c r="AJ59" s="125">
        <v>34</v>
      </c>
      <c r="AK59" s="125">
        <v>89</v>
      </c>
      <c r="AL59" s="129" t="b">
        <v>0</v>
      </c>
      <c r="AM59" s="128" t="b">
        <v>1</v>
      </c>
      <c r="AN59" s="131" t="s">
        <v>1469</v>
      </c>
      <c r="AO59" s="127">
        <v>1E-4</v>
      </c>
      <c r="AP59" s="128" t="b">
        <v>1</v>
      </c>
      <c r="AQ59" s="127">
        <v>1E-3</v>
      </c>
      <c r="AR59" s="149">
        <v>8</v>
      </c>
      <c r="AS59" s="149">
        <v>13</v>
      </c>
      <c r="AT59" s="149">
        <v>8</v>
      </c>
      <c r="AU59" s="128" t="b">
        <v>1</v>
      </c>
      <c r="AV59" s="124">
        <v>3</v>
      </c>
      <c r="AW59" s="146">
        <v>5</v>
      </c>
      <c r="AX59" s="124">
        <v>1</v>
      </c>
      <c r="AY59" s="128" t="b">
        <v>1</v>
      </c>
      <c r="AZ59" s="122" t="s">
        <v>1576</v>
      </c>
      <c r="BA59" s="122">
        <v>4</v>
      </c>
      <c r="BB59" s="126">
        <v>0.05</v>
      </c>
      <c r="BC59" s="126">
        <v>0.5</v>
      </c>
      <c r="BD59" s="129" t="b">
        <v>0</v>
      </c>
      <c r="BE59" s="122" t="s">
        <v>1873</v>
      </c>
      <c r="BF59" s="128" t="b">
        <v>1</v>
      </c>
      <c r="BG59" s="122" t="s">
        <v>1578</v>
      </c>
      <c r="BH59" s="122">
        <v>0.01</v>
      </c>
      <c r="BI59" s="156" t="s">
        <v>403</v>
      </c>
      <c r="BJ59" s="128" t="b">
        <v>1</v>
      </c>
      <c r="BK59" s="157">
        <v>2</v>
      </c>
      <c r="BL59" s="128" t="b">
        <v>1</v>
      </c>
      <c r="BM59" s="156" t="s">
        <v>412</v>
      </c>
      <c r="BN59" s="128" t="b">
        <v>1</v>
      </c>
      <c r="BO59" s="156" t="s">
        <v>1382</v>
      </c>
      <c r="BP59" s="157">
        <v>1</v>
      </c>
      <c r="BQ59" s="157">
        <v>0.5</v>
      </c>
      <c r="BR59" s="166" t="str">
        <f t="shared" si="79"/>
        <v>5/ 13/ 34/ 89</v>
      </c>
      <c r="BS59" s="166" t="str">
        <f t="shared" si="73"/>
        <v>8 / 13 / 8</v>
      </c>
      <c r="BT59" s="166" t="str">
        <f t="shared" si="74"/>
        <v>0.05 / 0.5</v>
      </c>
      <c r="BU59" s="66">
        <v>306</v>
      </c>
      <c r="BV59" s="66">
        <v>193</v>
      </c>
      <c r="BW59" s="66">
        <v>176</v>
      </c>
      <c r="BX59" s="99">
        <f t="shared" si="75"/>
        <v>17</v>
      </c>
      <c r="BY59" s="66">
        <v>20</v>
      </c>
      <c r="BZ59" s="92">
        <f t="shared" si="80"/>
        <v>93</v>
      </c>
      <c r="CA59" s="204">
        <f t="shared" si="81"/>
        <v>0.63071895424836599</v>
      </c>
      <c r="CB59" s="205">
        <f t="shared" si="82"/>
        <v>6.535947712418301E-2</v>
      </c>
      <c r="CC59" s="87">
        <v>5.8</v>
      </c>
      <c r="CD59" s="66">
        <v>20.65</v>
      </c>
      <c r="CE59" s="87">
        <v>0.44</v>
      </c>
      <c r="CF59" s="170">
        <f t="shared" si="76"/>
        <v>2</v>
      </c>
      <c r="CG59" s="87">
        <v>0.61</v>
      </c>
      <c r="CH59" s="66">
        <v>0.46</v>
      </c>
      <c r="CI59" s="93">
        <v>3495.5</v>
      </c>
      <c r="CJ59" s="93"/>
      <c r="CK59" s="93"/>
      <c r="CL59" s="87">
        <v>-3.96</v>
      </c>
      <c r="CM59" s="66">
        <v>1000</v>
      </c>
      <c r="CN59" s="93">
        <v>6318.23</v>
      </c>
      <c r="CO59" s="108">
        <f t="shared" si="77"/>
        <v>7318.23</v>
      </c>
      <c r="CP59" s="108">
        <f t="shared" si="78"/>
        <v>631.82299999999998</v>
      </c>
    </row>
    <row r="60" spans="2:94" hidden="1" outlineLevel="1" x14ac:dyDescent="0.2">
      <c r="B60" s="72" t="s">
        <v>1516</v>
      </c>
      <c r="C60" s="57" t="s">
        <v>1387</v>
      </c>
      <c r="D60" s="57" t="s">
        <v>1440</v>
      </c>
      <c r="E60" s="65" t="s">
        <v>1389</v>
      </c>
      <c r="F60" s="57" t="s">
        <v>1454</v>
      </c>
      <c r="G60" s="62" t="s">
        <v>1556</v>
      </c>
      <c r="H60" s="128" t="b">
        <v>1</v>
      </c>
      <c r="I60" s="122" t="s">
        <v>1865</v>
      </c>
      <c r="N60" s="124">
        <v>21</v>
      </c>
      <c r="O60" s="124">
        <v>0.8</v>
      </c>
      <c r="P60" s="124">
        <v>5</v>
      </c>
      <c r="Q60" s="128" t="b">
        <v>1</v>
      </c>
      <c r="R60" s="127" t="s">
        <v>1559</v>
      </c>
      <c r="T60" s="126">
        <v>13</v>
      </c>
      <c r="U60" s="124">
        <v>1.4999999999999999E-2</v>
      </c>
      <c r="V60" s="126">
        <v>75</v>
      </c>
      <c r="W60" s="126">
        <v>-75</v>
      </c>
      <c r="X60" s="124">
        <v>50</v>
      </c>
      <c r="Y60" s="124">
        <v>5</v>
      </c>
      <c r="Z60" s="128" t="b">
        <v>1</v>
      </c>
      <c r="AA60" s="127" t="s">
        <v>1867</v>
      </c>
      <c r="AB60" s="122">
        <v>3</v>
      </c>
      <c r="AC60" s="146"/>
      <c r="AD60" s="147">
        <v>34</v>
      </c>
      <c r="AE60" s="124"/>
      <c r="AF60" s="124">
        <v>5.0000000000000001E-4</v>
      </c>
      <c r="AG60" s="135" t="b">
        <v>1</v>
      </c>
      <c r="AH60" s="125">
        <v>5</v>
      </c>
      <c r="AI60" s="125">
        <v>13</v>
      </c>
      <c r="AJ60" s="125">
        <v>34</v>
      </c>
      <c r="AK60" s="125">
        <v>89</v>
      </c>
      <c r="AL60" s="129" t="b">
        <v>0</v>
      </c>
      <c r="AM60" s="128" t="b">
        <v>1</v>
      </c>
      <c r="AN60" s="131" t="s">
        <v>1469</v>
      </c>
      <c r="AO60" s="127">
        <v>1E-4</v>
      </c>
      <c r="AP60" s="128" t="b">
        <v>1</v>
      </c>
      <c r="AQ60" s="127">
        <v>1E-3</v>
      </c>
      <c r="AR60" s="150">
        <v>8</v>
      </c>
      <c r="AS60" s="150">
        <v>17</v>
      </c>
      <c r="AT60" s="150">
        <v>9</v>
      </c>
      <c r="AU60" s="128" t="b">
        <v>1</v>
      </c>
      <c r="AV60" s="124">
        <v>3</v>
      </c>
      <c r="AW60" s="146">
        <v>5</v>
      </c>
      <c r="AX60" s="124">
        <v>1</v>
      </c>
      <c r="AY60" s="128" t="b">
        <v>1</v>
      </c>
      <c r="AZ60" s="122" t="s">
        <v>1576</v>
      </c>
      <c r="BA60" s="122">
        <v>4</v>
      </c>
      <c r="BB60" s="126">
        <v>0.05</v>
      </c>
      <c r="BC60" s="126">
        <v>0.5</v>
      </c>
      <c r="BD60" s="129" t="b">
        <v>0</v>
      </c>
      <c r="BE60" s="122" t="s">
        <v>1873</v>
      </c>
      <c r="BF60" s="128" t="b">
        <v>1</v>
      </c>
      <c r="BG60" s="122" t="s">
        <v>1578</v>
      </c>
      <c r="BH60" s="122">
        <v>0.01</v>
      </c>
      <c r="BI60" s="156" t="s">
        <v>403</v>
      </c>
      <c r="BJ60" s="128" t="b">
        <v>1</v>
      </c>
      <c r="BK60" s="157">
        <v>2</v>
      </c>
      <c r="BL60" s="128" t="b">
        <v>1</v>
      </c>
      <c r="BM60" s="156" t="s">
        <v>412</v>
      </c>
      <c r="BN60" s="128" t="b">
        <v>1</v>
      </c>
      <c r="BO60" s="156" t="s">
        <v>1382</v>
      </c>
      <c r="BP60" s="157">
        <v>1</v>
      </c>
      <c r="BQ60" s="157">
        <v>0.5</v>
      </c>
      <c r="BR60" s="166" t="str">
        <f t="shared" si="79"/>
        <v>5/ 13/ 34/ 89</v>
      </c>
      <c r="BS60" s="166" t="str">
        <f t="shared" si="73"/>
        <v>8 / 17 / 9</v>
      </c>
      <c r="BT60" s="166" t="str">
        <f t="shared" si="74"/>
        <v>0.05 / 0.5</v>
      </c>
      <c r="BU60" s="66">
        <v>312</v>
      </c>
      <c r="BV60" s="66">
        <v>189</v>
      </c>
      <c r="BW60" s="66">
        <v>173</v>
      </c>
      <c r="BX60" s="99">
        <f t="shared" si="75"/>
        <v>16</v>
      </c>
      <c r="BY60" s="66">
        <v>24</v>
      </c>
      <c r="BZ60" s="92">
        <f t="shared" si="80"/>
        <v>99</v>
      </c>
      <c r="CA60" s="204">
        <f>IF(BU60=0,0,BV60/BU60)</f>
        <v>0.60576923076923073</v>
      </c>
      <c r="CB60" s="205">
        <f>IF(BU60=0,0,BY60/BU60)</f>
        <v>7.6923076923076927E-2</v>
      </c>
      <c r="CC60" s="87">
        <v>4.8600000000000003</v>
      </c>
      <c r="CD60" s="66">
        <v>18.29</v>
      </c>
      <c r="CE60" s="87">
        <v>0.41</v>
      </c>
      <c r="CF60" s="170">
        <f t="shared" si="76"/>
        <v>2</v>
      </c>
      <c r="CG60" s="87">
        <v>0.62</v>
      </c>
      <c r="CH60" s="66">
        <v>0.48</v>
      </c>
      <c r="CI60" s="93">
        <v>3481.1</v>
      </c>
      <c r="CJ60" s="93"/>
      <c r="CK60" s="93"/>
      <c r="CL60" s="87">
        <v>-5.53</v>
      </c>
      <c r="CM60" s="66">
        <v>1000</v>
      </c>
      <c r="CN60" s="93">
        <v>5707.68</v>
      </c>
      <c r="CO60" s="108">
        <f t="shared" si="77"/>
        <v>6707.68</v>
      </c>
      <c r="CP60" s="108">
        <f t="shared" si="78"/>
        <v>570.76800000000003</v>
      </c>
    </row>
    <row r="61" spans="2:94" hidden="1" outlineLevel="1" x14ac:dyDescent="0.2">
      <c r="B61" s="72" t="s">
        <v>1517</v>
      </c>
      <c r="C61" s="57" t="s">
        <v>1387</v>
      </c>
      <c r="D61" s="57" t="s">
        <v>1440</v>
      </c>
      <c r="E61" s="65" t="s">
        <v>1389</v>
      </c>
      <c r="F61" s="57" t="s">
        <v>1454</v>
      </c>
      <c r="G61" s="62" t="s">
        <v>1556</v>
      </c>
      <c r="H61" s="128" t="b">
        <v>1</v>
      </c>
      <c r="I61" s="122" t="s">
        <v>1865</v>
      </c>
      <c r="N61" s="124">
        <v>21</v>
      </c>
      <c r="O61" s="124">
        <v>0.8</v>
      </c>
      <c r="P61" s="124">
        <v>5</v>
      </c>
      <c r="Q61" s="128" t="b">
        <v>1</v>
      </c>
      <c r="R61" s="127" t="s">
        <v>1559</v>
      </c>
      <c r="T61" s="126">
        <v>13</v>
      </c>
      <c r="U61" s="124">
        <v>1.4999999999999999E-2</v>
      </c>
      <c r="V61" s="126">
        <v>75</v>
      </c>
      <c r="W61" s="126">
        <v>-75</v>
      </c>
      <c r="X61" s="124">
        <v>50</v>
      </c>
      <c r="Y61" s="124">
        <v>5</v>
      </c>
      <c r="Z61" s="128" t="b">
        <v>1</v>
      </c>
      <c r="AA61" s="127" t="s">
        <v>1867</v>
      </c>
      <c r="AB61" s="122">
        <v>3</v>
      </c>
      <c r="AC61" s="146"/>
      <c r="AD61" s="147">
        <v>34</v>
      </c>
      <c r="AE61" s="124"/>
      <c r="AF61" s="124">
        <v>5.0000000000000001E-4</v>
      </c>
      <c r="AG61" s="135" t="b">
        <v>1</v>
      </c>
      <c r="AH61" s="125">
        <v>5</v>
      </c>
      <c r="AI61" s="125">
        <v>13</v>
      </c>
      <c r="AJ61" s="125">
        <v>34</v>
      </c>
      <c r="AK61" s="125">
        <v>89</v>
      </c>
      <c r="AL61" s="129" t="b">
        <v>0</v>
      </c>
      <c r="AM61" s="128" t="b">
        <v>1</v>
      </c>
      <c r="AN61" s="131" t="s">
        <v>1469</v>
      </c>
      <c r="AO61" s="127">
        <v>1E-4</v>
      </c>
      <c r="AP61" s="128" t="b">
        <v>1</v>
      </c>
      <c r="AQ61" s="127">
        <v>1E-3</v>
      </c>
      <c r="AR61" s="151">
        <v>12</v>
      </c>
      <c r="AS61" s="151">
        <v>26</v>
      </c>
      <c r="AT61" s="151">
        <v>9</v>
      </c>
      <c r="AU61" s="128" t="b">
        <v>1</v>
      </c>
      <c r="AV61" s="124">
        <v>3</v>
      </c>
      <c r="AW61" s="146">
        <v>5</v>
      </c>
      <c r="AX61" s="124">
        <v>1</v>
      </c>
      <c r="AY61" s="128" t="b">
        <v>1</v>
      </c>
      <c r="AZ61" s="122" t="s">
        <v>1576</v>
      </c>
      <c r="BA61" s="122">
        <v>4</v>
      </c>
      <c r="BB61" s="126">
        <v>0.05</v>
      </c>
      <c r="BC61" s="126">
        <v>0.5</v>
      </c>
      <c r="BD61" s="129" t="b">
        <v>0</v>
      </c>
      <c r="BE61" s="122" t="s">
        <v>1873</v>
      </c>
      <c r="BF61" s="128" t="b">
        <v>1</v>
      </c>
      <c r="BG61" s="122" t="s">
        <v>1578</v>
      </c>
      <c r="BH61" s="122">
        <v>0.01</v>
      </c>
      <c r="BI61" s="156" t="s">
        <v>403</v>
      </c>
      <c r="BJ61" s="128" t="b">
        <v>1</v>
      </c>
      <c r="BK61" s="157">
        <v>2</v>
      </c>
      <c r="BL61" s="128" t="b">
        <v>1</v>
      </c>
      <c r="BM61" s="156" t="s">
        <v>412</v>
      </c>
      <c r="BN61" s="128" t="b">
        <v>1</v>
      </c>
      <c r="BO61" s="156" t="s">
        <v>1382</v>
      </c>
      <c r="BP61" s="157">
        <v>1</v>
      </c>
      <c r="BQ61" s="157">
        <v>0.5</v>
      </c>
      <c r="BR61" s="166" t="str">
        <f t="shared" si="79"/>
        <v>5/ 13/ 34/ 89</v>
      </c>
      <c r="BS61" s="166" t="str">
        <f t="shared" si="73"/>
        <v>12 / 26 / 9</v>
      </c>
      <c r="BT61" s="166" t="str">
        <f t="shared" si="74"/>
        <v>0.05 / 0.5</v>
      </c>
      <c r="BU61" s="66">
        <v>284</v>
      </c>
      <c r="BV61" s="66">
        <v>178</v>
      </c>
      <c r="BW61" s="66">
        <v>161</v>
      </c>
      <c r="BX61" s="99">
        <f t="shared" si="75"/>
        <v>17</v>
      </c>
      <c r="BY61" s="66">
        <v>21</v>
      </c>
      <c r="BZ61" s="92">
        <f t="shared" si="80"/>
        <v>85</v>
      </c>
      <c r="CA61" s="204">
        <f>IF(BU61=0,0,BV61/BU61)</f>
        <v>0.62676056338028174</v>
      </c>
      <c r="CB61" s="205">
        <f>IF(BU61=0,0,BY61/BU61)</f>
        <v>7.3943661971830985E-2</v>
      </c>
      <c r="CC61" s="87">
        <v>6.75</v>
      </c>
      <c r="CD61" s="66">
        <v>22.01</v>
      </c>
      <c r="CE61" s="87">
        <v>0.48</v>
      </c>
      <c r="CF61" s="170">
        <f t="shared" si="76"/>
        <v>2</v>
      </c>
      <c r="CG61" s="87">
        <v>0.66</v>
      </c>
      <c r="CH61" s="66">
        <v>0.46</v>
      </c>
      <c r="CI61" s="93">
        <v>3434.6</v>
      </c>
      <c r="CJ61" s="93"/>
      <c r="CK61" s="93"/>
      <c r="CL61" s="87">
        <v>-3.6</v>
      </c>
      <c r="CM61" s="66">
        <v>1000</v>
      </c>
      <c r="CN61" s="93">
        <v>6249.66</v>
      </c>
      <c r="CO61" s="108">
        <f t="shared" si="77"/>
        <v>7249.66</v>
      </c>
      <c r="CP61" s="108">
        <f t="shared" si="78"/>
        <v>624.96600000000001</v>
      </c>
    </row>
    <row r="62" spans="2:94" hidden="1" outlineLevel="1" x14ac:dyDescent="0.2">
      <c r="B62" s="72" t="s">
        <v>1518</v>
      </c>
      <c r="C62" s="57" t="s">
        <v>1387</v>
      </c>
      <c r="D62" s="57" t="s">
        <v>1440</v>
      </c>
      <c r="E62" s="65" t="s">
        <v>1389</v>
      </c>
      <c r="F62" s="57" t="s">
        <v>1454</v>
      </c>
      <c r="G62" s="62" t="s">
        <v>1556</v>
      </c>
      <c r="H62" s="128" t="b">
        <v>1</v>
      </c>
      <c r="I62" s="122" t="s">
        <v>1865</v>
      </c>
      <c r="N62" s="124">
        <v>21</v>
      </c>
      <c r="O62" s="124">
        <v>0.8</v>
      </c>
      <c r="P62" s="124">
        <v>5</v>
      </c>
      <c r="Q62" s="128" t="b">
        <v>1</v>
      </c>
      <c r="R62" s="127" t="s">
        <v>1559</v>
      </c>
      <c r="T62" s="126">
        <v>13</v>
      </c>
      <c r="U62" s="124">
        <v>1.4999999999999999E-2</v>
      </c>
      <c r="V62" s="126">
        <v>75</v>
      </c>
      <c r="W62" s="126">
        <v>-75</v>
      </c>
      <c r="X62" s="124">
        <v>50</v>
      </c>
      <c r="Y62" s="124">
        <v>5</v>
      </c>
      <c r="Z62" s="128" t="b">
        <v>1</v>
      </c>
      <c r="AA62" s="127" t="s">
        <v>1867</v>
      </c>
      <c r="AB62" s="122">
        <v>3</v>
      </c>
      <c r="AC62" s="146"/>
      <c r="AD62" s="147">
        <v>34</v>
      </c>
      <c r="AE62" s="124"/>
      <c r="AF62" s="124">
        <v>5.0000000000000001E-4</v>
      </c>
      <c r="AG62" s="135" t="b">
        <v>1</v>
      </c>
      <c r="AH62" s="125">
        <v>5</v>
      </c>
      <c r="AI62" s="125">
        <v>13</v>
      </c>
      <c r="AJ62" s="125">
        <v>34</v>
      </c>
      <c r="AK62" s="125">
        <v>89</v>
      </c>
      <c r="AL62" s="129" t="b">
        <v>0</v>
      </c>
      <c r="AM62" s="128" t="b">
        <v>1</v>
      </c>
      <c r="AN62" s="131" t="s">
        <v>1469</v>
      </c>
      <c r="AO62" s="127">
        <v>1E-4</v>
      </c>
      <c r="AP62" s="128" t="b">
        <v>1</v>
      </c>
      <c r="AQ62" s="127">
        <v>1E-3</v>
      </c>
      <c r="AR62" s="137">
        <v>21</v>
      </c>
      <c r="AS62" s="137">
        <v>34</v>
      </c>
      <c r="AT62" s="137">
        <v>9</v>
      </c>
      <c r="AU62" s="128" t="b">
        <v>1</v>
      </c>
      <c r="AV62" s="124">
        <v>3</v>
      </c>
      <c r="AW62" s="146">
        <v>5</v>
      </c>
      <c r="AX62" s="124">
        <v>1</v>
      </c>
      <c r="AY62" s="128" t="b">
        <v>1</v>
      </c>
      <c r="AZ62" s="122" t="s">
        <v>1576</v>
      </c>
      <c r="BA62" s="122">
        <v>4</v>
      </c>
      <c r="BB62" s="126">
        <v>0.05</v>
      </c>
      <c r="BC62" s="126">
        <v>0.5</v>
      </c>
      <c r="BD62" s="129" t="b">
        <v>0</v>
      </c>
      <c r="BE62" s="122" t="s">
        <v>1873</v>
      </c>
      <c r="BF62" s="128" t="b">
        <v>1</v>
      </c>
      <c r="BG62" s="122" t="s">
        <v>1578</v>
      </c>
      <c r="BH62" s="122">
        <v>0.01</v>
      </c>
      <c r="BI62" s="156" t="s">
        <v>403</v>
      </c>
      <c r="BJ62" s="128" t="b">
        <v>1</v>
      </c>
      <c r="BK62" s="157">
        <v>2</v>
      </c>
      <c r="BL62" s="128" t="b">
        <v>1</v>
      </c>
      <c r="BM62" s="156" t="s">
        <v>412</v>
      </c>
      <c r="BN62" s="128" t="b">
        <v>1</v>
      </c>
      <c r="BO62" s="156" t="s">
        <v>1382</v>
      </c>
      <c r="BP62" s="157">
        <v>1</v>
      </c>
      <c r="BQ62" s="157">
        <v>0.5</v>
      </c>
      <c r="BR62" s="166" t="str">
        <f t="shared" si="79"/>
        <v>5/ 13/ 34/ 89</v>
      </c>
      <c r="BS62" s="166" t="str">
        <f t="shared" si="73"/>
        <v>21 / 34 / 9</v>
      </c>
      <c r="BT62" s="166" t="str">
        <f t="shared" si="74"/>
        <v>0.05 / 0.5</v>
      </c>
      <c r="BU62" s="66">
        <v>231</v>
      </c>
      <c r="BV62" s="66">
        <v>147</v>
      </c>
      <c r="BW62" s="66">
        <v>133</v>
      </c>
      <c r="BX62" s="99">
        <f t="shared" si="75"/>
        <v>14</v>
      </c>
      <c r="BY62" s="66">
        <v>15</v>
      </c>
      <c r="BZ62" s="92">
        <f t="shared" si="80"/>
        <v>69</v>
      </c>
      <c r="CA62" s="204">
        <f t="shared" ref="CA62" si="83">IF(BU62=0,0,BV62/BU62)</f>
        <v>0.63636363636363635</v>
      </c>
      <c r="CB62" s="205">
        <f t="shared" ref="CB62" si="84">IF(BU62=0,0,BY62/BU62)</f>
        <v>6.4935064935064929E-2</v>
      </c>
      <c r="CC62" s="87">
        <v>7.42</v>
      </c>
      <c r="CD62" s="66">
        <v>17.79</v>
      </c>
      <c r="CE62" s="87">
        <v>0.52</v>
      </c>
      <c r="CF62" s="170">
        <f t="shared" si="76"/>
        <v>2</v>
      </c>
      <c r="CG62" s="87">
        <v>0.64</v>
      </c>
      <c r="CH62" s="66">
        <v>0.45</v>
      </c>
      <c r="CI62" s="93">
        <v>2863.6</v>
      </c>
      <c r="CJ62" s="93"/>
      <c r="CK62" s="93"/>
      <c r="CL62" s="87">
        <v>-2.68</v>
      </c>
      <c r="CM62" s="66">
        <v>1000</v>
      </c>
      <c r="CN62" s="101">
        <v>4108.8</v>
      </c>
      <c r="CO62" s="109">
        <f t="shared" si="77"/>
        <v>5108.8</v>
      </c>
      <c r="CP62" s="109">
        <f t="shared" si="78"/>
        <v>410.88</v>
      </c>
    </row>
    <row r="63" spans="2:94" hidden="1" outlineLevel="1" x14ac:dyDescent="0.2">
      <c r="G63" s="62"/>
      <c r="R63" s="130"/>
      <c r="AA63" s="130"/>
      <c r="AC63" s="124"/>
      <c r="AD63" s="124"/>
      <c r="AE63" s="124"/>
      <c r="AH63" s="125"/>
      <c r="AI63" s="125"/>
      <c r="AJ63" s="125"/>
      <c r="AK63" s="125"/>
      <c r="AO63" s="127"/>
      <c r="AR63" s="124"/>
      <c r="AS63" s="124"/>
      <c r="AT63" s="124"/>
      <c r="BB63" s="124"/>
      <c r="BC63" s="124"/>
      <c r="BI63" s="156"/>
      <c r="BK63" s="154"/>
      <c r="BP63" s="154"/>
      <c r="BQ63" s="154"/>
      <c r="BS63" s="167"/>
      <c r="BT63" s="167"/>
      <c r="BU63" s="85"/>
      <c r="BV63" s="85"/>
      <c r="BW63" s="85"/>
      <c r="BX63" s="100"/>
      <c r="BY63" s="85"/>
      <c r="BZ63" s="86"/>
      <c r="CA63" s="85"/>
      <c r="CB63" s="95"/>
      <c r="CC63" s="85"/>
      <c r="CD63" s="85"/>
      <c r="CE63" s="85"/>
      <c r="CF63" s="107"/>
      <c r="CG63" s="85"/>
      <c r="CH63" s="85"/>
      <c r="CI63" s="85"/>
      <c r="CJ63" s="85"/>
      <c r="CK63" s="85"/>
      <c r="CL63" s="85"/>
      <c r="CM63" s="84"/>
      <c r="CN63" s="85"/>
      <c r="CO63" s="107"/>
      <c r="CP63" s="107"/>
    </row>
    <row r="64" spans="2:94" collapsed="1" x14ac:dyDescent="0.2">
      <c r="B64" s="72" t="s">
        <v>1519</v>
      </c>
      <c r="C64" s="57" t="s">
        <v>1387</v>
      </c>
      <c r="D64" s="57" t="s">
        <v>1440</v>
      </c>
      <c r="E64" s="65" t="s">
        <v>1389</v>
      </c>
      <c r="F64" s="57" t="s">
        <v>1454</v>
      </c>
      <c r="G64" s="62" t="s">
        <v>1556</v>
      </c>
      <c r="H64" s="128" t="b">
        <v>1</v>
      </c>
      <c r="I64" s="122" t="s">
        <v>1865</v>
      </c>
      <c r="N64" s="124">
        <v>21</v>
      </c>
      <c r="O64" s="124">
        <v>0.8</v>
      </c>
      <c r="P64" s="124">
        <v>5</v>
      </c>
      <c r="Q64" s="128" t="b">
        <v>1</v>
      </c>
      <c r="R64" s="127" t="s">
        <v>1559</v>
      </c>
      <c r="T64" s="126">
        <v>13</v>
      </c>
      <c r="U64" s="124">
        <v>1.4999999999999999E-2</v>
      </c>
      <c r="V64" s="126">
        <v>75</v>
      </c>
      <c r="W64" s="126">
        <v>-75</v>
      </c>
      <c r="X64" s="124">
        <v>50</v>
      </c>
      <c r="Y64" s="124">
        <v>5</v>
      </c>
      <c r="Z64" s="128" t="b">
        <v>1</v>
      </c>
      <c r="AA64" s="127" t="s">
        <v>1867</v>
      </c>
      <c r="AB64" s="122">
        <v>3</v>
      </c>
      <c r="AC64" s="146"/>
      <c r="AD64" s="147">
        <v>34</v>
      </c>
      <c r="AE64" s="124"/>
      <c r="AF64" s="124">
        <v>5.0000000000000001E-4</v>
      </c>
      <c r="AG64" s="135" t="b">
        <v>1</v>
      </c>
      <c r="AH64" s="125">
        <v>5</v>
      </c>
      <c r="AI64" s="125">
        <v>13</v>
      </c>
      <c r="AJ64" s="125">
        <v>34</v>
      </c>
      <c r="AK64" s="125">
        <v>89</v>
      </c>
      <c r="AL64" s="129" t="b">
        <v>0</v>
      </c>
      <c r="AM64" s="128" t="b">
        <v>1</v>
      </c>
      <c r="AN64" s="131" t="s">
        <v>1469</v>
      </c>
      <c r="AO64" s="127">
        <v>1E-4</v>
      </c>
      <c r="AP64" s="128" t="b">
        <v>1</v>
      </c>
      <c r="AQ64" s="127">
        <v>1E-3</v>
      </c>
      <c r="AR64" s="126">
        <v>5</v>
      </c>
      <c r="AS64" s="126">
        <v>8</v>
      </c>
      <c r="AT64" s="126">
        <v>5</v>
      </c>
      <c r="AU64" s="128" t="b">
        <v>1</v>
      </c>
      <c r="AV64" s="124">
        <v>3</v>
      </c>
      <c r="AW64" s="146">
        <v>5</v>
      </c>
      <c r="AX64" s="124">
        <v>1</v>
      </c>
      <c r="AY64" s="128" t="b">
        <v>1</v>
      </c>
      <c r="AZ64" s="122" t="s">
        <v>1576</v>
      </c>
      <c r="BA64" s="122">
        <v>4</v>
      </c>
      <c r="BB64" s="126">
        <v>0.05</v>
      </c>
      <c r="BC64" s="126">
        <v>0.5</v>
      </c>
      <c r="BD64" s="129" t="b">
        <v>0</v>
      </c>
      <c r="BE64" s="122" t="s">
        <v>1873</v>
      </c>
      <c r="BF64" s="128" t="b">
        <v>1</v>
      </c>
      <c r="BG64" s="122" t="s">
        <v>1578</v>
      </c>
      <c r="BH64" s="122">
        <v>0.01</v>
      </c>
      <c r="BI64" s="156" t="s">
        <v>403</v>
      </c>
      <c r="BJ64" s="128" t="b">
        <v>1</v>
      </c>
      <c r="BK64" s="158">
        <v>3</v>
      </c>
      <c r="BL64" s="128" t="b">
        <v>1</v>
      </c>
      <c r="BM64" s="156" t="s">
        <v>412</v>
      </c>
      <c r="BN64" s="128" t="b">
        <v>1</v>
      </c>
      <c r="BO64" s="156" t="s">
        <v>1382</v>
      </c>
      <c r="BP64" s="157">
        <v>1</v>
      </c>
      <c r="BQ64" s="157">
        <v>0.5</v>
      </c>
      <c r="BR64" s="166" t="str">
        <f>AH64&amp;"/ "&amp;AI64&amp;"/ "&amp;AJ64&amp;"/ "&amp;AK64</f>
        <v>5/ 13/ 34/ 89</v>
      </c>
      <c r="BS64" s="166" t="str">
        <f t="shared" ref="BS64:BS70" si="85">AR64&amp;" / "&amp;AS64&amp;" / "&amp;AT64</f>
        <v>5 / 8 / 5</v>
      </c>
      <c r="BT64" s="166" t="str">
        <f t="shared" ref="BT64:BT70" si="86">BB64&amp;" / "&amp;BC64</f>
        <v>0.05 / 0.5</v>
      </c>
      <c r="BU64" s="66">
        <v>317</v>
      </c>
      <c r="BV64" s="66">
        <v>201</v>
      </c>
      <c r="BW64" s="66">
        <v>194</v>
      </c>
      <c r="BX64" s="99">
        <f t="shared" ref="BX64:BX70" si="87">BV64-BW64</f>
        <v>7</v>
      </c>
      <c r="BY64" s="66">
        <v>17</v>
      </c>
      <c r="BZ64" s="92">
        <f>BU64-SUM(BW64:BY64)</f>
        <v>99</v>
      </c>
      <c r="CA64" s="204">
        <f>IF(BU64=0,0,BV64/BU64)</f>
        <v>0.63406940063091488</v>
      </c>
      <c r="CB64" s="205">
        <f>IF(BU64=0,0,BY64/BU64)</f>
        <v>5.362776025236593E-2</v>
      </c>
      <c r="CC64" s="87">
        <v>7.66</v>
      </c>
      <c r="CD64" s="87">
        <v>32.159999999999997</v>
      </c>
      <c r="CE64" s="87">
        <v>0.45</v>
      </c>
      <c r="CF64" s="170">
        <f t="shared" ref="CF64:CF70" si="88">BK64</f>
        <v>3</v>
      </c>
      <c r="CG64" s="87">
        <v>0.68</v>
      </c>
      <c r="CH64" s="87">
        <v>0.47</v>
      </c>
      <c r="CI64" s="93">
        <v>4121.8999999999996</v>
      </c>
      <c r="CJ64" s="93"/>
      <c r="CK64" s="93"/>
      <c r="CL64" s="87">
        <v>-2.65</v>
      </c>
      <c r="CM64" s="66">
        <v>1000</v>
      </c>
      <c r="CN64" s="93">
        <v>10195.379999999999</v>
      </c>
      <c r="CO64" s="108">
        <f t="shared" ref="CO64:CO70" si="89">CM64+CN64</f>
        <v>11195.38</v>
      </c>
      <c r="CP64" s="108">
        <f t="shared" ref="CP64:CP70" si="90">CN64/10</f>
        <v>1019.5379999999999</v>
      </c>
    </row>
    <row r="65" spans="2:94" hidden="1" outlineLevel="1" x14ac:dyDescent="0.2">
      <c r="B65" s="72" t="s">
        <v>1520</v>
      </c>
      <c r="C65" s="57" t="s">
        <v>1387</v>
      </c>
      <c r="D65" s="57" t="s">
        <v>1440</v>
      </c>
      <c r="E65" s="65" t="s">
        <v>1389</v>
      </c>
      <c r="F65" s="57" t="s">
        <v>1454</v>
      </c>
      <c r="G65" s="62" t="s">
        <v>1556</v>
      </c>
      <c r="H65" s="128" t="b">
        <v>1</v>
      </c>
      <c r="I65" s="122" t="s">
        <v>1865</v>
      </c>
      <c r="N65" s="124">
        <v>21</v>
      </c>
      <c r="O65" s="124">
        <v>0.8</v>
      </c>
      <c r="P65" s="124">
        <v>5</v>
      </c>
      <c r="Q65" s="128" t="b">
        <v>1</v>
      </c>
      <c r="R65" s="127" t="s">
        <v>1559</v>
      </c>
      <c r="T65" s="126">
        <v>13</v>
      </c>
      <c r="U65" s="124">
        <v>1.4999999999999999E-2</v>
      </c>
      <c r="V65" s="126">
        <v>75</v>
      </c>
      <c r="W65" s="126">
        <v>-75</v>
      </c>
      <c r="X65" s="124">
        <v>50</v>
      </c>
      <c r="Y65" s="124">
        <v>5</v>
      </c>
      <c r="Z65" s="128" t="b">
        <v>1</v>
      </c>
      <c r="AA65" s="127" t="s">
        <v>1867</v>
      </c>
      <c r="AB65" s="122">
        <v>3</v>
      </c>
      <c r="AC65" s="146"/>
      <c r="AD65" s="147">
        <v>34</v>
      </c>
      <c r="AE65" s="124"/>
      <c r="AF65" s="124">
        <v>5.0000000000000001E-4</v>
      </c>
      <c r="AG65" s="135" t="b">
        <v>1</v>
      </c>
      <c r="AH65" s="125">
        <v>5</v>
      </c>
      <c r="AI65" s="125">
        <v>13</v>
      </c>
      <c r="AJ65" s="125">
        <v>34</v>
      </c>
      <c r="AK65" s="125">
        <v>89</v>
      </c>
      <c r="AL65" s="129" t="b">
        <v>0</v>
      </c>
      <c r="AM65" s="128" t="b">
        <v>1</v>
      </c>
      <c r="AN65" s="131" t="s">
        <v>1469</v>
      </c>
      <c r="AO65" s="127">
        <v>1E-4</v>
      </c>
      <c r="AP65" s="128" t="b">
        <v>1</v>
      </c>
      <c r="AQ65" s="127">
        <v>1E-3</v>
      </c>
      <c r="AR65" s="137">
        <v>5</v>
      </c>
      <c r="AS65" s="137">
        <v>13</v>
      </c>
      <c r="AT65" s="137">
        <v>5</v>
      </c>
      <c r="AU65" s="128" t="b">
        <v>1</v>
      </c>
      <c r="AV65" s="124">
        <v>3</v>
      </c>
      <c r="AW65" s="146">
        <v>5</v>
      </c>
      <c r="AX65" s="124">
        <v>1</v>
      </c>
      <c r="AY65" s="128" t="b">
        <v>1</v>
      </c>
      <c r="AZ65" s="122" t="s">
        <v>1576</v>
      </c>
      <c r="BA65" s="122">
        <v>4</v>
      </c>
      <c r="BB65" s="126">
        <v>0.05</v>
      </c>
      <c r="BC65" s="126">
        <v>0.5</v>
      </c>
      <c r="BD65" s="129" t="b">
        <v>0</v>
      </c>
      <c r="BE65" s="122" t="s">
        <v>1873</v>
      </c>
      <c r="BF65" s="128" t="b">
        <v>1</v>
      </c>
      <c r="BG65" s="122" t="s">
        <v>1578</v>
      </c>
      <c r="BH65" s="122">
        <v>0.01</v>
      </c>
      <c r="BI65" s="156" t="s">
        <v>403</v>
      </c>
      <c r="BJ65" s="128" t="b">
        <v>1</v>
      </c>
      <c r="BK65" s="158">
        <v>3</v>
      </c>
      <c r="BL65" s="128" t="b">
        <v>1</v>
      </c>
      <c r="BM65" s="156" t="s">
        <v>412</v>
      </c>
      <c r="BN65" s="128" t="b">
        <v>1</v>
      </c>
      <c r="BO65" s="156" t="s">
        <v>1382</v>
      </c>
      <c r="BP65" s="157">
        <v>1</v>
      </c>
      <c r="BQ65" s="157">
        <v>0.5</v>
      </c>
      <c r="BR65" s="166" t="str">
        <f t="shared" ref="BR65:BR70" si="91">AH65&amp;"/ "&amp;AI65&amp;"/ "&amp;AJ65&amp;"/ "&amp;AK65</f>
        <v>5/ 13/ 34/ 89</v>
      </c>
      <c r="BS65" s="169" t="str">
        <f t="shared" si="85"/>
        <v>5 / 13 / 5</v>
      </c>
      <c r="BT65" s="166" t="str">
        <f t="shared" si="86"/>
        <v>0.05 / 0.5</v>
      </c>
      <c r="BU65" s="66">
        <v>329</v>
      </c>
      <c r="BV65" s="66">
        <v>211</v>
      </c>
      <c r="BW65" s="66">
        <v>203</v>
      </c>
      <c r="BX65" s="99">
        <f t="shared" si="87"/>
        <v>8</v>
      </c>
      <c r="BY65" s="66">
        <v>19</v>
      </c>
      <c r="BZ65" s="92">
        <f t="shared" ref="BZ65:BZ70" si="92">BU65-SUM(BW65:BY65)</f>
        <v>99</v>
      </c>
      <c r="CA65" s="204">
        <f t="shared" ref="CA65:CA66" si="93">IF(BU65=0,0,BV65/BU65)</f>
        <v>0.64133738601823709</v>
      </c>
      <c r="CB65" s="205">
        <f t="shared" ref="CB65:CB66" si="94">IF(BU65=0,0,BY65/BU65)</f>
        <v>5.7750759878419454E-2</v>
      </c>
      <c r="CC65" s="87">
        <v>7.48</v>
      </c>
      <c r="CD65" s="90">
        <v>35.64</v>
      </c>
      <c r="CE65" s="87">
        <v>0.44</v>
      </c>
      <c r="CF65" s="170">
        <f t="shared" si="88"/>
        <v>3</v>
      </c>
      <c r="CG65" s="87">
        <v>0.69</v>
      </c>
      <c r="CH65" s="66">
        <v>0.48</v>
      </c>
      <c r="CI65" s="93">
        <v>4259.6000000000004</v>
      </c>
      <c r="CJ65" s="93"/>
      <c r="CK65" s="93"/>
      <c r="CL65" s="87">
        <v>-3.96</v>
      </c>
      <c r="CM65" s="66">
        <v>1000</v>
      </c>
      <c r="CN65" s="102">
        <v>11725.9</v>
      </c>
      <c r="CO65" s="110">
        <f t="shared" si="89"/>
        <v>12725.9</v>
      </c>
      <c r="CP65" s="110">
        <f t="shared" si="90"/>
        <v>1172.5899999999999</v>
      </c>
    </row>
    <row r="66" spans="2:94" hidden="1" outlineLevel="1" x14ac:dyDescent="0.2">
      <c r="B66" s="72" t="s">
        <v>1521</v>
      </c>
      <c r="C66" s="57" t="s">
        <v>1387</v>
      </c>
      <c r="D66" s="57" t="s">
        <v>1440</v>
      </c>
      <c r="E66" s="65" t="s">
        <v>1389</v>
      </c>
      <c r="F66" s="57" t="s">
        <v>1454</v>
      </c>
      <c r="G66" s="62" t="s">
        <v>1556</v>
      </c>
      <c r="H66" s="128" t="b">
        <v>1</v>
      </c>
      <c r="I66" s="122" t="s">
        <v>1865</v>
      </c>
      <c r="N66" s="124">
        <v>21</v>
      </c>
      <c r="O66" s="124">
        <v>0.8</v>
      </c>
      <c r="P66" s="124">
        <v>5</v>
      </c>
      <c r="Q66" s="128" t="b">
        <v>1</v>
      </c>
      <c r="R66" s="127" t="s">
        <v>1559</v>
      </c>
      <c r="T66" s="126">
        <v>13</v>
      </c>
      <c r="U66" s="124">
        <v>1.4999999999999999E-2</v>
      </c>
      <c r="V66" s="126">
        <v>75</v>
      </c>
      <c r="W66" s="126">
        <v>-75</v>
      </c>
      <c r="X66" s="124">
        <v>50</v>
      </c>
      <c r="Y66" s="124">
        <v>5</v>
      </c>
      <c r="Z66" s="128" t="b">
        <v>1</v>
      </c>
      <c r="AA66" s="127" t="s">
        <v>1867</v>
      </c>
      <c r="AB66" s="122">
        <v>3</v>
      </c>
      <c r="AC66" s="146"/>
      <c r="AD66" s="147">
        <v>34</v>
      </c>
      <c r="AE66" s="124"/>
      <c r="AF66" s="124">
        <v>5.0000000000000001E-4</v>
      </c>
      <c r="AG66" s="135" t="b">
        <v>1</v>
      </c>
      <c r="AH66" s="125">
        <v>5</v>
      </c>
      <c r="AI66" s="125">
        <v>13</v>
      </c>
      <c r="AJ66" s="125">
        <v>34</v>
      </c>
      <c r="AK66" s="125">
        <v>89</v>
      </c>
      <c r="AL66" s="129" t="b">
        <v>0</v>
      </c>
      <c r="AM66" s="128" t="b">
        <v>1</v>
      </c>
      <c r="AN66" s="131" t="s">
        <v>1469</v>
      </c>
      <c r="AO66" s="127">
        <v>1E-4</v>
      </c>
      <c r="AP66" s="128" t="b">
        <v>1</v>
      </c>
      <c r="AQ66" s="127">
        <v>1E-3</v>
      </c>
      <c r="AR66" s="135">
        <v>5</v>
      </c>
      <c r="AS66" s="135">
        <v>13</v>
      </c>
      <c r="AT66" s="135">
        <v>8</v>
      </c>
      <c r="AU66" s="128" t="b">
        <v>1</v>
      </c>
      <c r="AV66" s="124">
        <v>3</v>
      </c>
      <c r="AW66" s="146">
        <v>5</v>
      </c>
      <c r="AX66" s="124">
        <v>1</v>
      </c>
      <c r="AY66" s="128" t="b">
        <v>1</v>
      </c>
      <c r="AZ66" s="122" t="s">
        <v>1576</v>
      </c>
      <c r="BA66" s="122">
        <v>4</v>
      </c>
      <c r="BB66" s="126">
        <v>0.05</v>
      </c>
      <c r="BC66" s="126">
        <v>0.5</v>
      </c>
      <c r="BD66" s="129" t="b">
        <v>0</v>
      </c>
      <c r="BE66" s="122" t="s">
        <v>1873</v>
      </c>
      <c r="BF66" s="128" t="b">
        <v>1</v>
      </c>
      <c r="BG66" s="122" t="s">
        <v>1578</v>
      </c>
      <c r="BH66" s="122">
        <v>0.01</v>
      </c>
      <c r="BI66" s="156" t="s">
        <v>403</v>
      </c>
      <c r="BJ66" s="128" t="b">
        <v>1</v>
      </c>
      <c r="BK66" s="158">
        <v>3</v>
      </c>
      <c r="BL66" s="128" t="b">
        <v>1</v>
      </c>
      <c r="BM66" s="156" t="s">
        <v>412</v>
      </c>
      <c r="BN66" s="128" t="b">
        <v>1</v>
      </c>
      <c r="BO66" s="156" t="s">
        <v>1382</v>
      </c>
      <c r="BP66" s="157">
        <v>1</v>
      </c>
      <c r="BQ66" s="157">
        <v>0.5</v>
      </c>
      <c r="BR66" s="166" t="str">
        <f t="shared" si="91"/>
        <v>5/ 13/ 34/ 89</v>
      </c>
      <c r="BS66" s="166" t="str">
        <f t="shared" si="85"/>
        <v>5 / 13 / 8</v>
      </c>
      <c r="BT66" s="166" t="str">
        <f t="shared" si="86"/>
        <v>0.05 / 0.5</v>
      </c>
      <c r="BU66" s="66">
        <v>327</v>
      </c>
      <c r="BV66" s="66">
        <v>211</v>
      </c>
      <c r="BW66" s="66">
        <v>205</v>
      </c>
      <c r="BX66" s="99">
        <f t="shared" si="87"/>
        <v>6</v>
      </c>
      <c r="BY66" s="66">
        <v>19</v>
      </c>
      <c r="BZ66" s="92">
        <f t="shared" si="92"/>
        <v>97</v>
      </c>
      <c r="CA66" s="204">
        <f t="shared" si="93"/>
        <v>0.64525993883792054</v>
      </c>
      <c r="CB66" s="205">
        <f t="shared" si="94"/>
        <v>5.8103975535168197E-2</v>
      </c>
      <c r="CC66" s="87">
        <v>8.15</v>
      </c>
      <c r="CD66" s="66">
        <v>33.520000000000003</v>
      </c>
      <c r="CE66" s="87">
        <v>0.45</v>
      </c>
      <c r="CF66" s="170">
        <f t="shared" si="88"/>
        <v>3</v>
      </c>
      <c r="CG66" s="87">
        <v>0.67</v>
      </c>
      <c r="CH66" s="66">
        <v>0.48</v>
      </c>
      <c r="CI66" s="93">
        <v>4259.6000000000004</v>
      </c>
      <c r="CJ66" s="93"/>
      <c r="CK66" s="93"/>
      <c r="CL66" s="87">
        <v>-5.14</v>
      </c>
      <c r="CM66" s="66">
        <v>1000</v>
      </c>
      <c r="CN66" s="93">
        <v>10959.85</v>
      </c>
      <c r="CO66" s="108">
        <f t="shared" si="89"/>
        <v>11959.85</v>
      </c>
      <c r="CP66" s="108">
        <f t="shared" si="90"/>
        <v>1095.9850000000001</v>
      </c>
    </row>
    <row r="67" spans="2:94" hidden="1" outlineLevel="1" x14ac:dyDescent="0.2">
      <c r="B67" s="72" t="s">
        <v>1522</v>
      </c>
      <c r="C67" s="57" t="s">
        <v>1387</v>
      </c>
      <c r="D67" s="57" t="s">
        <v>1440</v>
      </c>
      <c r="E67" s="65" t="s">
        <v>1389</v>
      </c>
      <c r="F67" s="57" t="s">
        <v>1454</v>
      </c>
      <c r="G67" s="62" t="s">
        <v>1556</v>
      </c>
      <c r="H67" s="128" t="b">
        <v>1</v>
      </c>
      <c r="I67" s="122" t="s">
        <v>1865</v>
      </c>
      <c r="N67" s="124">
        <v>21</v>
      </c>
      <c r="O67" s="124">
        <v>0.8</v>
      </c>
      <c r="P67" s="124">
        <v>5</v>
      </c>
      <c r="Q67" s="128" t="b">
        <v>1</v>
      </c>
      <c r="R67" s="127" t="s">
        <v>1559</v>
      </c>
      <c r="T67" s="126">
        <v>13</v>
      </c>
      <c r="U67" s="124">
        <v>1.4999999999999999E-2</v>
      </c>
      <c r="V67" s="126">
        <v>75</v>
      </c>
      <c r="W67" s="126">
        <v>-75</v>
      </c>
      <c r="X67" s="124">
        <v>50</v>
      </c>
      <c r="Y67" s="124">
        <v>5</v>
      </c>
      <c r="Z67" s="128" t="b">
        <v>1</v>
      </c>
      <c r="AA67" s="127" t="s">
        <v>1867</v>
      </c>
      <c r="AB67" s="122">
        <v>3</v>
      </c>
      <c r="AC67" s="146"/>
      <c r="AD67" s="147">
        <v>34</v>
      </c>
      <c r="AE67" s="124"/>
      <c r="AF67" s="124">
        <v>5.0000000000000001E-4</v>
      </c>
      <c r="AG67" s="135" t="b">
        <v>1</v>
      </c>
      <c r="AH67" s="125">
        <v>5</v>
      </c>
      <c r="AI67" s="125">
        <v>13</v>
      </c>
      <c r="AJ67" s="125">
        <v>34</v>
      </c>
      <c r="AK67" s="125">
        <v>89</v>
      </c>
      <c r="AL67" s="129" t="b">
        <v>0</v>
      </c>
      <c r="AM67" s="128" t="b">
        <v>1</v>
      </c>
      <c r="AN67" s="131" t="s">
        <v>1469</v>
      </c>
      <c r="AO67" s="127">
        <v>1E-4</v>
      </c>
      <c r="AP67" s="128" t="b">
        <v>1</v>
      </c>
      <c r="AQ67" s="127">
        <v>1E-3</v>
      </c>
      <c r="AR67" s="149">
        <v>8</v>
      </c>
      <c r="AS67" s="149">
        <v>13</v>
      </c>
      <c r="AT67" s="149">
        <v>8</v>
      </c>
      <c r="AU67" s="128" t="b">
        <v>1</v>
      </c>
      <c r="AV67" s="124">
        <v>3</v>
      </c>
      <c r="AW67" s="146">
        <v>5</v>
      </c>
      <c r="AX67" s="124">
        <v>1</v>
      </c>
      <c r="AY67" s="128" t="b">
        <v>1</v>
      </c>
      <c r="AZ67" s="122" t="s">
        <v>1576</v>
      </c>
      <c r="BA67" s="122">
        <v>4</v>
      </c>
      <c r="BB67" s="126">
        <v>0.05</v>
      </c>
      <c r="BC67" s="126">
        <v>0.5</v>
      </c>
      <c r="BD67" s="129" t="b">
        <v>0</v>
      </c>
      <c r="BE67" s="122" t="s">
        <v>1873</v>
      </c>
      <c r="BF67" s="128" t="b">
        <v>1</v>
      </c>
      <c r="BG67" s="122" t="s">
        <v>1578</v>
      </c>
      <c r="BH67" s="122">
        <v>0.01</v>
      </c>
      <c r="BI67" s="156" t="s">
        <v>403</v>
      </c>
      <c r="BJ67" s="128" t="b">
        <v>1</v>
      </c>
      <c r="BK67" s="158">
        <v>3</v>
      </c>
      <c r="BL67" s="128" t="b">
        <v>1</v>
      </c>
      <c r="BM67" s="156" t="s">
        <v>412</v>
      </c>
      <c r="BN67" s="128" t="b">
        <v>1</v>
      </c>
      <c r="BO67" s="156" t="s">
        <v>1382</v>
      </c>
      <c r="BP67" s="157">
        <v>1</v>
      </c>
      <c r="BQ67" s="157">
        <v>0.5</v>
      </c>
      <c r="BR67" s="166" t="str">
        <f t="shared" si="91"/>
        <v>5/ 13/ 34/ 89</v>
      </c>
      <c r="BS67" s="166" t="str">
        <f t="shared" si="85"/>
        <v>8 / 13 / 8</v>
      </c>
      <c r="BT67" s="166" t="str">
        <f t="shared" si="86"/>
        <v>0.05 / 0.5</v>
      </c>
      <c r="BU67" s="66">
        <v>386</v>
      </c>
      <c r="BV67" s="66">
        <v>193</v>
      </c>
      <c r="BW67" s="66">
        <v>187</v>
      </c>
      <c r="BX67" s="99">
        <f t="shared" si="87"/>
        <v>6</v>
      </c>
      <c r="BY67" s="66">
        <v>20</v>
      </c>
      <c r="BZ67" s="92">
        <f t="shared" si="92"/>
        <v>173</v>
      </c>
      <c r="CA67" s="204">
        <f>IF(BU67=0,0,BV67/BU67)</f>
        <v>0.5</v>
      </c>
      <c r="CB67" s="205">
        <f>IF(BU67=0,0,BY67/BU67)</f>
        <v>5.181347150259067E-2</v>
      </c>
      <c r="CC67" s="87">
        <v>6.05</v>
      </c>
      <c r="CD67" s="66">
        <v>23.93</v>
      </c>
      <c r="CE67" s="87">
        <v>0.41</v>
      </c>
      <c r="CF67" s="170">
        <f t="shared" si="88"/>
        <v>3</v>
      </c>
      <c r="CG67" s="87">
        <v>0.64</v>
      </c>
      <c r="CH67" s="66">
        <v>0.46</v>
      </c>
      <c r="CI67" s="93">
        <v>3642</v>
      </c>
      <c r="CJ67" s="93"/>
      <c r="CK67" s="93"/>
      <c r="CL67" s="87">
        <v>-3.96</v>
      </c>
      <c r="CM67" s="66">
        <v>1000</v>
      </c>
      <c r="CN67" s="93">
        <v>7323.23</v>
      </c>
      <c r="CO67" s="108">
        <f t="shared" si="89"/>
        <v>8323.23</v>
      </c>
      <c r="CP67" s="108">
        <f t="shared" si="90"/>
        <v>732.32299999999998</v>
      </c>
    </row>
    <row r="68" spans="2:94" hidden="1" outlineLevel="1" x14ac:dyDescent="0.2">
      <c r="B68" s="72" t="s">
        <v>1523</v>
      </c>
      <c r="C68" s="57" t="s">
        <v>1387</v>
      </c>
      <c r="D68" s="57" t="s">
        <v>1440</v>
      </c>
      <c r="E68" s="65" t="s">
        <v>1389</v>
      </c>
      <c r="F68" s="57" t="s">
        <v>1454</v>
      </c>
      <c r="G68" s="62" t="s">
        <v>1556</v>
      </c>
      <c r="H68" s="128" t="b">
        <v>1</v>
      </c>
      <c r="I68" s="122" t="s">
        <v>1865</v>
      </c>
      <c r="N68" s="124">
        <v>21</v>
      </c>
      <c r="O68" s="124">
        <v>0.8</v>
      </c>
      <c r="P68" s="124">
        <v>5</v>
      </c>
      <c r="Q68" s="128" t="b">
        <v>1</v>
      </c>
      <c r="R68" s="127" t="s">
        <v>1559</v>
      </c>
      <c r="T68" s="126">
        <v>13</v>
      </c>
      <c r="U68" s="124">
        <v>1.4999999999999999E-2</v>
      </c>
      <c r="V68" s="126">
        <v>75</v>
      </c>
      <c r="W68" s="126">
        <v>-75</v>
      </c>
      <c r="X68" s="124">
        <v>50</v>
      </c>
      <c r="Y68" s="124">
        <v>5</v>
      </c>
      <c r="Z68" s="128" t="b">
        <v>1</v>
      </c>
      <c r="AA68" s="127" t="s">
        <v>1867</v>
      </c>
      <c r="AB68" s="122">
        <v>3</v>
      </c>
      <c r="AC68" s="146"/>
      <c r="AD68" s="147">
        <v>34</v>
      </c>
      <c r="AE68" s="124"/>
      <c r="AF68" s="124">
        <v>5.0000000000000001E-4</v>
      </c>
      <c r="AG68" s="135" t="b">
        <v>1</v>
      </c>
      <c r="AH68" s="125">
        <v>5</v>
      </c>
      <c r="AI68" s="125">
        <v>13</v>
      </c>
      <c r="AJ68" s="125">
        <v>34</v>
      </c>
      <c r="AK68" s="125">
        <v>89</v>
      </c>
      <c r="AL68" s="129" t="b">
        <v>0</v>
      </c>
      <c r="AM68" s="128" t="b">
        <v>1</v>
      </c>
      <c r="AN68" s="131" t="s">
        <v>1469</v>
      </c>
      <c r="AO68" s="127">
        <v>1E-4</v>
      </c>
      <c r="AP68" s="128" t="b">
        <v>1</v>
      </c>
      <c r="AQ68" s="127">
        <v>1E-3</v>
      </c>
      <c r="AR68" s="150">
        <v>8</v>
      </c>
      <c r="AS68" s="150">
        <v>17</v>
      </c>
      <c r="AT68" s="150">
        <v>9</v>
      </c>
      <c r="AU68" s="128" t="b">
        <v>1</v>
      </c>
      <c r="AV68" s="124">
        <v>3</v>
      </c>
      <c r="AW68" s="146">
        <v>5</v>
      </c>
      <c r="AX68" s="124">
        <v>1</v>
      </c>
      <c r="AY68" s="128" t="b">
        <v>1</v>
      </c>
      <c r="AZ68" s="122" t="s">
        <v>1576</v>
      </c>
      <c r="BA68" s="122">
        <v>4</v>
      </c>
      <c r="BB68" s="126">
        <v>0.05</v>
      </c>
      <c r="BC68" s="126">
        <v>0.5</v>
      </c>
      <c r="BD68" s="129" t="b">
        <v>0</v>
      </c>
      <c r="BE68" s="122" t="s">
        <v>1873</v>
      </c>
      <c r="BF68" s="128" t="b">
        <v>1</v>
      </c>
      <c r="BG68" s="122" t="s">
        <v>1578</v>
      </c>
      <c r="BH68" s="122">
        <v>0.01</v>
      </c>
      <c r="BI68" s="156" t="s">
        <v>403</v>
      </c>
      <c r="BJ68" s="128" t="b">
        <v>1</v>
      </c>
      <c r="BK68" s="158">
        <v>3</v>
      </c>
      <c r="BL68" s="128" t="b">
        <v>1</v>
      </c>
      <c r="BM68" s="156" t="s">
        <v>412</v>
      </c>
      <c r="BN68" s="128" t="b">
        <v>1</v>
      </c>
      <c r="BO68" s="156" t="s">
        <v>1382</v>
      </c>
      <c r="BP68" s="157">
        <v>1</v>
      </c>
      <c r="BQ68" s="157">
        <v>0.5</v>
      </c>
      <c r="BR68" s="166" t="str">
        <f t="shared" si="91"/>
        <v>5/ 13/ 34/ 89</v>
      </c>
      <c r="BS68" s="166" t="str">
        <f t="shared" si="85"/>
        <v>8 / 17 / 9</v>
      </c>
      <c r="BT68" s="166" t="str">
        <f t="shared" si="86"/>
        <v>0.05 / 0.5</v>
      </c>
      <c r="BU68" s="66">
        <v>312</v>
      </c>
      <c r="BV68" s="66">
        <v>189</v>
      </c>
      <c r="BW68" s="66">
        <v>184</v>
      </c>
      <c r="BX68" s="99">
        <f t="shared" si="87"/>
        <v>5</v>
      </c>
      <c r="BY68" s="66">
        <v>24</v>
      </c>
      <c r="BZ68" s="92">
        <f t="shared" si="92"/>
        <v>99</v>
      </c>
      <c r="CA68" s="204">
        <f>IF(BU68=0,0,BV68/BU68)</f>
        <v>0.60576923076923073</v>
      </c>
      <c r="CB68" s="205">
        <f>IF(BU68=0,0,BY68/BU68)</f>
        <v>7.6923076923076927E-2</v>
      </c>
      <c r="CC68" s="87">
        <v>5.07</v>
      </c>
      <c r="CD68" s="66">
        <v>21.17</v>
      </c>
      <c r="CE68" s="87">
        <v>0.39</v>
      </c>
      <c r="CF68" s="170">
        <f t="shared" si="88"/>
        <v>3</v>
      </c>
      <c r="CG68" s="87">
        <v>0.65</v>
      </c>
      <c r="CH68" s="66">
        <v>0.48</v>
      </c>
      <c r="CI68" s="93">
        <v>3624.9</v>
      </c>
      <c r="CJ68" s="93"/>
      <c r="CK68" s="93"/>
      <c r="CL68" s="87">
        <v>-5.53</v>
      </c>
      <c r="CM68" s="66">
        <v>1000</v>
      </c>
      <c r="CN68" s="93">
        <v>6604.71</v>
      </c>
      <c r="CO68" s="108">
        <f t="shared" si="89"/>
        <v>7604.71</v>
      </c>
      <c r="CP68" s="108">
        <f t="shared" si="90"/>
        <v>660.471</v>
      </c>
    </row>
    <row r="69" spans="2:94" hidden="1" outlineLevel="1" x14ac:dyDescent="0.2">
      <c r="B69" s="72" t="s">
        <v>1524</v>
      </c>
      <c r="C69" s="57" t="s">
        <v>1387</v>
      </c>
      <c r="D69" s="57" t="s">
        <v>1440</v>
      </c>
      <c r="E69" s="65" t="s">
        <v>1389</v>
      </c>
      <c r="F69" s="57" t="s">
        <v>1454</v>
      </c>
      <c r="G69" s="62" t="s">
        <v>1556</v>
      </c>
      <c r="H69" s="128" t="b">
        <v>1</v>
      </c>
      <c r="I69" s="122" t="s">
        <v>1865</v>
      </c>
      <c r="N69" s="124">
        <v>21</v>
      </c>
      <c r="O69" s="124">
        <v>0.8</v>
      </c>
      <c r="P69" s="124">
        <v>5</v>
      </c>
      <c r="Q69" s="128" t="b">
        <v>1</v>
      </c>
      <c r="R69" s="127" t="s">
        <v>1559</v>
      </c>
      <c r="T69" s="126">
        <v>13</v>
      </c>
      <c r="U69" s="124">
        <v>1.4999999999999999E-2</v>
      </c>
      <c r="V69" s="126">
        <v>75</v>
      </c>
      <c r="W69" s="126">
        <v>-75</v>
      </c>
      <c r="X69" s="124">
        <v>50</v>
      </c>
      <c r="Y69" s="124">
        <v>5</v>
      </c>
      <c r="Z69" s="128" t="b">
        <v>1</v>
      </c>
      <c r="AA69" s="127" t="s">
        <v>1867</v>
      </c>
      <c r="AB69" s="122">
        <v>3</v>
      </c>
      <c r="AC69" s="146"/>
      <c r="AD69" s="147">
        <v>34</v>
      </c>
      <c r="AE69" s="124"/>
      <c r="AF69" s="124">
        <v>5.0000000000000001E-4</v>
      </c>
      <c r="AG69" s="135" t="b">
        <v>1</v>
      </c>
      <c r="AH69" s="125">
        <v>5</v>
      </c>
      <c r="AI69" s="125">
        <v>13</v>
      </c>
      <c r="AJ69" s="125">
        <v>34</v>
      </c>
      <c r="AK69" s="125">
        <v>89</v>
      </c>
      <c r="AL69" s="129" t="b">
        <v>0</v>
      </c>
      <c r="AM69" s="128" t="b">
        <v>1</v>
      </c>
      <c r="AN69" s="131" t="s">
        <v>1469</v>
      </c>
      <c r="AO69" s="127">
        <v>1E-4</v>
      </c>
      <c r="AP69" s="128" t="b">
        <v>1</v>
      </c>
      <c r="AQ69" s="127">
        <v>1E-3</v>
      </c>
      <c r="AR69" s="151">
        <v>12</v>
      </c>
      <c r="AS69" s="151">
        <v>26</v>
      </c>
      <c r="AT69" s="151">
        <v>9</v>
      </c>
      <c r="AU69" s="128" t="b">
        <v>1</v>
      </c>
      <c r="AV69" s="124">
        <v>3</v>
      </c>
      <c r="AW69" s="146">
        <v>5</v>
      </c>
      <c r="AX69" s="124">
        <v>1</v>
      </c>
      <c r="AY69" s="128" t="b">
        <v>1</v>
      </c>
      <c r="AZ69" s="122" t="s">
        <v>1576</v>
      </c>
      <c r="BA69" s="122">
        <v>4</v>
      </c>
      <c r="BB69" s="126">
        <v>0.05</v>
      </c>
      <c r="BC69" s="126">
        <v>0.5</v>
      </c>
      <c r="BD69" s="129" t="b">
        <v>0</v>
      </c>
      <c r="BE69" s="122" t="s">
        <v>1873</v>
      </c>
      <c r="BF69" s="128" t="b">
        <v>1</v>
      </c>
      <c r="BG69" s="122" t="s">
        <v>1578</v>
      </c>
      <c r="BH69" s="122">
        <v>0.01</v>
      </c>
      <c r="BI69" s="156" t="s">
        <v>403</v>
      </c>
      <c r="BJ69" s="128" t="b">
        <v>1</v>
      </c>
      <c r="BK69" s="158">
        <v>3</v>
      </c>
      <c r="BL69" s="128" t="b">
        <v>1</v>
      </c>
      <c r="BM69" s="156" t="s">
        <v>412</v>
      </c>
      <c r="BN69" s="128" t="b">
        <v>1</v>
      </c>
      <c r="BO69" s="156" t="s">
        <v>1382</v>
      </c>
      <c r="BP69" s="157">
        <v>1</v>
      </c>
      <c r="BQ69" s="157">
        <v>0.5</v>
      </c>
      <c r="BR69" s="166" t="str">
        <f t="shared" si="91"/>
        <v>5/ 13/ 34/ 89</v>
      </c>
      <c r="BS69" s="166" t="str">
        <f t="shared" si="85"/>
        <v>12 / 26 / 9</v>
      </c>
      <c r="BT69" s="166" t="str">
        <f t="shared" si="86"/>
        <v>0.05 / 0.5</v>
      </c>
      <c r="BU69" s="66">
        <v>284</v>
      </c>
      <c r="BV69" s="66">
        <v>178</v>
      </c>
      <c r="BW69" s="66">
        <v>171</v>
      </c>
      <c r="BX69" s="99">
        <f t="shared" si="87"/>
        <v>7</v>
      </c>
      <c r="BY69" s="66">
        <v>21</v>
      </c>
      <c r="BZ69" s="92">
        <f t="shared" si="92"/>
        <v>85</v>
      </c>
      <c r="CA69" s="204">
        <f t="shared" ref="CA69" si="95">IF(BU69=0,0,BV69/BU69)</f>
        <v>0.62676056338028174</v>
      </c>
      <c r="CB69" s="205">
        <f t="shared" ref="CB69" si="96">IF(BU69=0,0,BY69/BU69)</f>
        <v>7.3943661971830985E-2</v>
      </c>
      <c r="CC69" s="87">
        <v>7.15</v>
      </c>
      <c r="CD69" s="66">
        <v>25.76</v>
      </c>
      <c r="CE69" s="87">
        <v>0.44</v>
      </c>
      <c r="CF69" s="170">
        <f t="shared" si="88"/>
        <v>3</v>
      </c>
      <c r="CG69" s="94">
        <v>0.7</v>
      </c>
      <c r="CH69" s="66">
        <v>0.46</v>
      </c>
      <c r="CI69" s="93">
        <v>3596</v>
      </c>
      <c r="CJ69" s="93"/>
      <c r="CK69" s="93"/>
      <c r="CL69" s="87">
        <v>-3.6</v>
      </c>
      <c r="CM69" s="66">
        <v>1000</v>
      </c>
      <c r="CN69" s="93">
        <v>7315.71</v>
      </c>
      <c r="CO69" s="108">
        <f t="shared" si="89"/>
        <v>8315.7099999999991</v>
      </c>
      <c r="CP69" s="108">
        <f t="shared" si="90"/>
        <v>731.57100000000003</v>
      </c>
    </row>
    <row r="70" spans="2:94" hidden="1" outlineLevel="1" x14ac:dyDescent="0.2">
      <c r="B70" s="72" t="s">
        <v>1525</v>
      </c>
      <c r="C70" s="57" t="s">
        <v>1387</v>
      </c>
      <c r="D70" s="57" t="s">
        <v>1440</v>
      </c>
      <c r="E70" s="65" t="s">
        <v>1389</v>
      </c>
      <c r="F70" s="57" t="s">
        <v>1454</v>
      </c>
      <c r="G70" s="62" t="s">
        <v>1556</v>
      </c>
      <c r="H70" s="128" t="b">
        <v>1</v>
      </c>
      <c r="I70" s="122" t="s">
        <v>1865</v>
      </c>
      <c r="N70" s="124">
        <v>21</v>
      </c>
      <c r="O70" s="124">
        <v>0.8</v>
      </c>
      <c r="P70" s="124">
        <v>5</v>
      </c>
      <c r="Q70" s="128" t="b">
        <v>1</v>
      </c>
      <c r="R70" s="127" t="s">
        <v>1559</v>
      </c>
      <c r="T70" s="126">
        <v>13</v>
      </c>
      <c r="U70" s="124">
        <v>1.4999999999999999E-2</v>
      </c>
      <c r="V70" s="126">
        <v>75</v>
      </c>
      <c r="W70" s="126">
        <v>-75</v>
      </c>
      <c r="X70" s="124">
        <v>50</v>
      </c>
      <c r="Y70" s="124">
        <v>5</v>
      </c>
      <c r="Z70" s="128" t="b">
        <v>1</v>
      </c>
      <c r="AA70" s="127" t="s">
        <v>1867</v>
      </c>
      <c r="AB70" s="122">
        <v>3</v>
      </c>
      <c r="AC70" s="146"/>
      <c r="AD70" s="147">
        <v>34</v>
      </c>
      <c r="AE70" s="124"/>
      <c r="AF70" s="124">
        <v>5.0000000000000001E-4</v>
      </c>
      <c r="AG70" s="135" t="b">
        <v>1</v>
      </c>
      <c r="AH70" s="125">
        <v>5</v>
      </c>
      <c r="AI70" s="125">
        <v>13</v>
      </c>
      <c r="AJ70" s="125">
        <v>34</v>
      </c>
      <c r="AK70" s="125">
        <v>89</v>
      </c>
      <c r="AL70" s="129" t="b">
        <v>0</v>
      </c>
      <c r="AM70" s="128" t="b">
        <v>1</v>
      </c>
      <c r="AN70" s="131" t="s">
        <v>1469</v>
      </c>
      <c r="AO70" s="127">
        <v>1E-4</v>
      </c>
      <c r="AP70" s="128" t="b">
        <v>1</v>
      </c>
      <c r="AQ70" s="127">
        <v>1E-3</v>
      </c>
      <c r="AR70" s="137">
        <v>21</v>
      </c>
      <c r="AS70" s="137">
        <v>34</v>
      </c>
      <c r="AT70" s="137">
        <v>9</v>
      </c>
      <c r="AU70" s="128" t="b">
        <v>1</v>
      </c>
      <c r="AY70" s="128" t="b">
        <v>1</v>
      </c>
      <c r="AZ70" s="122" t="s">
        <v>1576</v>
      </c>
      <c r="BA70" s="122">
        <v>4</v>
      </c>
      <c r="BB70" s="126">
        <v>0.05</v>
      </c>
      <c r="BC70" s="126">
        <v>0.5</v>
      </c>
      <c r="BD70" s="129" t="b">
        <v>0</v>
      </c>
      <c r="BE70" s="122" t="s">
        <v>1873</v>
      </c>
      <c r="BF70" s="128" t="b">
        <v>1</v>
      </c>
      <c r="BG70" s="122" t="s">
        <v>1578</v>
      </c>
      <c r="BH70" s="122">
        <v>0.01</v>
      </c>
      <c r="BI70" s="156" t="s">
        <v>403</v>
      </c>
      <c r="BJ70" s="128" t="b">
        <v>1</v>
      </c>
      <c r="BK70" s="158">
        <v>3</v>
      </c>
      <c r="BL70" s="128" t="b">
        <v>1</v>
      </c>
      <c r="BM70" s="156" t="s">
        <v>412</v>
      </c>
      <c r="BN70" s="128" t="b">
        <v>1</v>
      </c>
      <c r="BO70" s="156" t="s">
        <v>1382</v>
      </c>
      <c r="BP70" s="157">
        <v>1</v>
      </c>
      <c r="BQ70" s="157">
        <v>0.5</v>
      </c>
      <c r="BR70" s="166" t="str">
        <f t="shared" si="91"/>
        <v>5/ 13/ 34/ 89</v>
      </c>
      <c r="BS70" s="166" t="str">
        <f t="shared" si="85"/>
        <v>21 / 34 / 9</v>
      </c>
      <c r="BT70" s="166" t="str">
        <f t="shared" si="86"/>
        <v>0.05 / 0.5</v>
      </c>
      <c r="BU70" s="66">
        <v>230</v>
      </c>
      <c r="BV70" s="66">
        <v>147</v>
      </c>
      <c r="BW70" s="66">
        <v>141</v>
      </c>
      <c r="BX70" s="99">
        <f t="shared" si="87"/>
        <v>6</v>
      </c>
      <c r="BY70" s="66">
        <v>15</v>
      </c>
      <c r="BZ70" s="92">
        <f t="shared" si="92"/>
        <v>68</v>
      </c>
      <c r="CA70" s="204">
        <f>IF(BU70=0,0,BV70/BU70)</f>
        <v>0.63913043478260867</v>
      </c>
      <c r="CB70" s="205">
        <f>IF(BU70=0,0,BY70/BU70)</f>
        <v>6.5217391304347824E-2</v>
      </c>
      <c r="CC70" s="87">
        <v>7.91</v>
      </c>
      <c r="CD70" s="66">
        <v>20.94</v>
      </c>
      <c r="CE70" s="87">
        <v>0.47</v>
      </c>
      <c r="CF70" s="170">
        <f t="shared" si="88"/>
        <v>3</v>
      </c>
      <c r="CG70" s="87">
        <v>0.69</v>
      </c>
      <c r="CH70" s="66">
        <v>0.45</v>
      </c>
      <c r="CI70" s="93">
        <v>3075</v>
      </c>
      <c r="CJ70" s="93"/>
      <c r="CK70" s="93"/>
      <c r="CL70" s="87">
        <v>-2.69</v>
      </c>
      <c r="CM70" s="66">
        <v>1000</v>
      </c>
      <c r="CN70" s="101">
        <v>4816.8500000000004</v>
      </c>
      <c r="CO70" s="109">
        <f t="shared" si="89"/>
        <v>5816.85</v>
      </c>
      <c r="CP70" s="109">
        <f t="shared" si="90"/>
        <v>481.68500000000006</v>
      </c>
    </row>
    <row r="71" spans="2:94" hidden="1" outlineLevel="1" x14ac:dyDescent="0.2">
      <c r="G71" s="62"/>
      <c r="AC71" s="124"/>
      <c r="AD71" s="124"/>
      <c r="AE71" s="124"/>
      <c r="AH71" s="125"/>
      <c r="AI71" s="125"/>
      <c r="AJ71" s="125"/>
      <c r="AK71" s="125"/>
      <c r="AO71" s="127"/>
      <c r="AR71" s="124"/>
      <c r="AS71" s="124"/>
      <c r="AT71" s="124"/>
      <c r="BB71" s="124"/>
      <c r="BC71" s="124"/>
      <c r="BK71" s="154"/>
      <c r="BP71" s="154"/>
      <c r="BQ71" s="154"/>
      <c r="BS71" s="167"/>
      <c r="BT71" s="167"/>
      <c r="BU71" s="85"/>
      <c r="BV71" s="85"/>
      <c r="BW71" s="85"/>
      <c r="BX71" s="100"/>
      <c r="BY71" s="85"/>
      <c r="BZ71" s="86"/>
      <c r="CA71" s="85"/>
      <c r="CB71" s="95"/>
      <c r="CC71" s="85"/>
      <c r="CD71" s="85"/>
      <c r="CE71" s="85"/>
      <c r="CF71" s="107"/>
      <c r="CG71" s="85"/>
      <c r="CH71" s="85"/>
      <c r="CI71" s="85"/>
      <c r="CJ71" s="85"/>
      <c r="CK71" s="85"/>
      <c r="CL71" s="85"/>
      <c r="CM71" s="84"/>
      <c r="CN71" s="85"/>
      <c r="CO71" s="107"/>
      <c r="CP71" s="107"/>
    </row>
    <row r="72" spans="2:94" collapsed="1" x14ac:dyDescent="0.2">
      <c r="B72" s="72" t="s">
        <v>1526</v>
      </c>
      <c r="C72" s="57" t="s">
        <v>1387</v>
      </c>
      <c r="D72" s="57" t="s">
        <v>1440</v>
      </c>
      <c r="E72" s="65" t="s">
        <v>1389</v>
      </c>
      <c r="F72" s="57" t="s">
        <v>1454</v>
      </c>
      <c r="G72" s="62" t="s">
        <v>1556</v>
      </c>
      <c r="H72" s="128" t="b">
        <v>1</v>
      </c>
      <c r="I72" s="122" t="s">
        <v>1865</v>
      </c>
      <c r="N72" s="124">
        <v>21</v>
      </c>
      <c r="O72" s="124">
        <v>0.8</v>
      </c>
      <c r="P72" s="124">
        <v>5</v>
      </c>
      <c r="Q72" s="128" t="b">
        <v>1</v>
      </c>
      <c r="R72" s="127" t="s">
        <v>1559</v>
      </c>
      <c r="T72" s="126">
        <v>13</v>
      </c>
      <c r="U72" s="124">
        <v>1.4999999999999999E-2</v>
      </c>
      <c r="V72" s="126">
        <v>75</v>
      </c>
      <c r="W72" s="126">
        <v>-75</v>
      </c>
      <c r="X72" s="124">
        <v>50</v>
      </c>
      <c r="Y72" s="124">
        <v>5</v>
      </c>
      <c r="Z72" s="128" t="b">
        <v>1</v>
      </c>
      <c r="AA72" s="127" t="s">
        <v>1867</v>
      </c>
      <c r="AB72" s="122">
        <v>3</v>
      </c>
      <c r="AC72" s="146"/>
      <c r="AD72" s="147">
        <v>34</v>
      </c>
      <c r="AE72" s="124"/>
      <c r="AF72" s="124">
        <v>5.0000000000000001E-4</v>
      </c>
      <c r="AG72" s="135" t="b">
        <v>1</v>
      </c>
      <c r="AH72" s="125">
        <v>5</v>
      </c>
      <c r="AI72" s="125">
        <v>13</v>
      </c>
      <c r="AJ72" s="125">
        <v>34</v>
      </c>
      <c r="AK72" s="125">
        <v>89</v>
      </c>
      <c r="AL72" s="129" t="b">
        <v>0</v>
      </c>
      <c r="AM72" s="128" t="b">
        <v>1</v>
      </c>
      <c r="AN72" s="131" t="s">
        <v>1469</v>
      </c>
      <c r="AO72" s="127">
        <v>1E-4</v>
      </c>
      <c r="AP72" s="128" t="b">
        <v>1</v>
      </c>
      <c r="AQ72" s="127">
        <v>1E-3</v>
      </c>
      <c r="AR72" s="126">
        <v>5</v>
      </c>
      <c r="AS72" s="126">
        <v>8</v>
      </c>
      <c r="AT72" s="126">
        <v>5</v>
      </c>
      <c r="AU72" s="128" t="b">
        <v>1</v>
      </c>
      <c r="AV72" s="124">
        <v>3</v>
      </c>
      <c r="AW72" s="146">
        <v>5</v>
      </c>
      <c r="AX72" s="124">
        <v>1</v>
      </c>
      <c r="AY72" s="128" t="b">
        <v>1</v>
      </c>
      <c r="AZ72" s="122" t="s">
        <v>1576</v>
      </c>
      <c r="BA72" s="122">
        <v>4</v>
      </c>
      <c r="BB72" s="126">
        <v>0.05</v>
      </c>
      <c r="BC72" s="126">
        <v>0.5</v>
      </c>
      <c r="BD72" s="129" t="b">
        <v>0</v>
      </c>
      <c r="BE72" s="122" t="s">
        <v>1873</v>
      </c>
      <c r="BF72" s="128" t="b">
        <v>1</v>
      </c>
      <c r="BG72" s="122" t="s">
        <v>1578</v>
      </c>
      <c r="BH72" s="122">
        <v>0.01</v>
      </c>
      <c r="BI72" s="156" t="s">
        <v>403</v>
      </c>
      <c r="BJ72" s="128" t="b">
        <v>1</v>
      </c>
      <c r="BK72" s="159">
        <v>4</v>
      </c>
      <c r="BL72" s="128" t="b">
        <v>1</v>
      </c>
      <c r="BM72" s="156" t="s">
        <v>412</v>
      </c>
      <c r="BN72" s="128" t="b">
        <v>1</v>
      </c>
      <c r="BO72" s="156" t="s">
        <v>1382</v>
      </c>
      <c r="BP72" s="157">
        <v>1</v>
      </c>
      <c r="BQ72" s="157">
        <v>0.5</v>
      </c>
      <c r="BR72" s="166" t="str">
        <f t="shared" ref="BR72:BR102" si="97">AH72&amp;"/ "&amp;AI72&amp;"/ "&amp;AJ72&amp;"/ "&amp;AK72</f>
        <v>5/ 13/ 34/ 89</v>
      </c>
      <c r="BS72" s="166" t="str">
        <f t="shared" ref="BS72:BS78" si="98">AR72&amp;" / "&amp;AS72&amp;" / "&amp;AT72</f>
        <v>5 / 8 / 5</v>
      </c>
      <c r="BT72" s="166" t="str">
        <f t="shared" ref="BT72:BT78" si="99">BB72&amp;" / "&amp;BC72</f>
        <v>0.05 / 0.5</v>
      </c>
      <c r="BU72" s="66">
        <v>317</v>
      </c>
      <c r="BV72" s="66">
        <v>201</v>
      </c>
      <c r="BW72" s="66">
        <v>195</v>
      </c>
      <c r="BX72" s="99">
        <f t="shared" ref="BX72:BX78" si="100">BV72-BW72</f>
        <v>6</v>
      </c>
      <c r="BY72" s="66">
        <v>17</v>
      </c>
      <c r="BZ72" s="92">
        <f>BU72-SUM(BW72:BY72)</f>
        <v>99</v>
      </c>
      <c r="CA72" s="204">
        <f>IF(BU72=0,0,BV72/BU72)</f>
        <v>0.63406940063091488</v>
      </c>
      <c r="CB72" s="205">
        <f>IF(BU72=0,0,BY72/BU72)</f>
        <v>5.362776025236593E-2</v>
      </c>
      <c r="CC72" s="87">
        <v>7.73</v>
      </c>
      <c r="CD72" s="87">
        <v>33.549999999999997</v>
      </c>
      <c r="CE72" s="87">
        <v>0.44</v>
      </c>
      <c r="CF72" s="170">
        <f t="shared" ref="CF72:CF78" si="101">BK72</f>
        <v>4</v>
      </c>
      <c r="CG72" s="87">
        <v>0.69</v>
      </c>
      <c r="CH72" s="87">
        <v>0.47</v>
      </c>
      <c r="CI72" s="93">
        <v>4159</v>
      </c>
      <c r="CJ72" s="93"/>
      <c r="CK72" s="93"/>
      <c r="CL72" s="87">
        <v>-2.65</v>
      </c>
      <c r="CM72" s="66">
        <v>1000</v>
      </c>
      <c r="CN72" s="93">
        <v>10634.6</v>
      </c>
      <c r="CO72" s="108">
        <f t="shared" ref="CO72:CO78" si="102">CM72+CN72</f>
        <v>11634.6</v>
      </c>
      <c r="CP72" s="108">
        <f t="shared" ref="CP72:CP78" si="103">CN72/10</f>
        <v>1063.46</v>
      </c>
    </row>
    <row r="73" spans="2:94" hidden="1" outlineLevel="1" x14ac:dyDescent="0.2">
      <c r="B73" s="72" t="s">
        <v>1527</v>
      </c>
      <c r="C73" s="57" t="s">
        <v>1387</v>
      </c>
      <c r="D73" s="57" t="s">
        <v>1440</v>
      </c>
      <c r="E73" s="65" t="s">
        <v>1389</v>
      </c>
      <c r="F73" s="57" t="s">
        <v>1454</v>
      </c>
      <c r="G73" s="62" t="s">
        <v>1556</v>
      </c>
      <c r="H73" s="128" t="b">
        <v>1</v>
      </c>
      <c r="I73" s="122" t="s">
        <v>1865</v>
      </c>
      <c r="N73" s="124">
        <v>21</v>
      </c>
      <c r="O73" s="124">
        <v>0.8</v>
      </c>
      <c r="P73" s="124">
        <v>5</v>
      </c>
      <c r="Q73" s="128" t="b">
        <v>1</v>
      </c>
      <c r="R73" s="127" t="s">
        <v>1559</v>
      </c>
      <c r="T73" s="126">
        <v>13</v>
      </c>
      <c r="U73" s="124">
        <v>1.4999999999999999E-2</v>
      </c>
      <c r="V73" s="126">
        <v>75</v>
      </c>
      <c r="W73" s="126">
        <v>-75</v>
      </c>
      <c r="X73" s="124">
        <v>50</v>
      </c>
      <c r="Y73" s="124">
        <v>5</v>
      </c>
      <c r="Z73" s="128" t="b">
        <v>1</v>
      </c>
      <c r="AA73" s="127" t="s">
        <v>1867</v>
      </c>
      <c r="AB73" s="122">
        <v>3</v>
      </c>
      <c r="AC73" s="146"/>
      <c r="AD73" s="147">
        <v>34</v>
      </c>
      <c r="AE73" s="124"/>
      <c r="AF73" s="124">
        <v>5.0000000000000001E-4</v>
      </c>
      <c r="AG73" s="135" t="b">
        <v>1</v>
      </c>
      <c r="AH73" s="125">
        <v>5</v>
      </c>
      <c r="AI73" s="125">
        <v>13</v>
      </c>
      <c r="AJ73" s="125">
        <v>34</v>
      </c>
      <c r="AK73" s="125">
        <v>89</v>
      </c>
      <c r="AL73" s="129" t="b">
        <v>0</v>
      </c>
      <c r="AM73" s="128" t="b">
        <v>1</v>
      </c>
      <c r="AN73" s="131" t="s">
        <v>1469</v>
      </c>
      <c r="AO73" s="127">
        <v>1E-4</v>
      </c>
      <c r="AP73" s="128" t="b">
        <v>1</v>
      </c>
      <c r="AQ73" s="127">
        <v>1E-3</v>
      </c>
      <c r="AR73" s="137">
        <v>5</v>
      </c>
      <c r="AS73" s="137">
        <v>13</v>
      </c>
      <c r="AT73" s="137">
        <v>5</v>
      </c>
      <c r="AU73" s="128" t="b">
        <v>1</v>
      </c>
      <c r="AV73" s="124">
        <v>3</v>
      </c>
      <c r="AW73" s="146">
        <v>5</v>
      </c>
      <c r="AX73" s="124">
        <v>1</v>
      </c>
      <c r="AY73" s="128" t="b">
        <v>1</v>
      </c>
      <c r="AZ73" s="122" t="s">
        <v>1576</v>
      </c>
      <c r="BA73" s="122">
        <v>4</v>
      </c>
      <c r="BB73" s="126">
        <v>0.05</v>
      </c>
      <c r="BC73" s="126">
        <v>0.5</v>
      </c>
      <c r="BD73" s="129" t="b">
        <v>0</v>
      </c>
      <c r="BE73" s="122" t="s">
        <v>1873</v>
      </c>
      <c r="BF73" s="128" t="b">
        <v>1</v>
      </c>
      <c r="BG73" s="122" t="s">
        <v>1578</v>
      </c>
      <c r="BH73" s="122">
        <v>0.01</v>
      </c>
      <c r="BI73" s="156" t="s">
        <v>403</v>
      </c>
      <c r="BJ73" s="128" t="b">
        <v>1</v>
      </c>
      <c r="BK73" s="159">
        <v>4</v>
      </c>
      <c r="BL73" s="128" t="b">
        <v>1</v>
      </c>
      <c r="BM73" s="156" t="s">
        <v>412</v>
      </c>
      <c r="BN73" s="128" t="b">
        <v>1</v>
      </c>
      <c r="BO73" s="156" t="s">
        <v>1382</v>
      </c>
      <c r="BP73" s="157">
        <v>1</v>
      </c>
      <c r="BQ73" s="157">
        <v>0.5</v>
      </c>
      <c r="BR73" s="166" t="str">
        <f t="shared" si="97"/>
        <v>5/ 13/ 34/ 89</v>
      </c>
      <c r="BS73" s="169" t="str">
        <f t="shared" si="98"/>
        <v>5 / 13 / 5</v>
      </c>
      <c r="BT73" s="166" t="str">
        <f t="shared" si="99"/>
        <v>0.05 / 0.5</v>
      </c>
      <c r="BU73" s="66">
        <v>329</v>
      </c>
      <c r="BV73" s="66">
        <v>211</v>
      </c>
      <c r="BW73" s="66">
        <v>205</v>
      </c>
      <c r="BX73" s="99">
        <f t="shared" si="100"/>
        <v>6</v>
      </c>
      <c r="BY73" s="66">
        <v>19</v>
      </c>
      <c r="BZ73" s="92">
        <f t="shared" ref="BZ73:BZ78" si="104">BU73-SUM(BW73:BY73)</f>
        <v>99</v>
      </c>
      <c r="CA73" s="204">
        <f t="shared" ref="CA73:CA74" si="105">IF(BU73=0,0,BV73/BU73)</f>
        <v>0.64133738601823709</v>
      </c>
      <c r="CB73" s="205">
        <f t="shared" ref="CB73:CB74" si="106">IF(BU73=0,0,BY73/BU73)</f>
        <v>5.7750759878419454E-2</v>
      </c>
      <c r="CC73" s="87">
        <v>7.54</v>
      </c>
      <c r="CD73" s="90">
        <v>37.17</v>
      </c>
      <c r="CE73" s="87">
        <v>0.43</v>
      </c>
      <c r="CF73" s="170">
        <f t="shared" si="101"/>
        <v>4</v>
      </c>
      <c r="CG73" s="94">
        <v>0.7</v>
      </c>
      <c r="CH73" s="66">
        <v>0.48</v>
      </c>
      <c r="CI73" s="93">
        <v>4296.7</v>
      </c>
      <c r="CJ73" s="93"/>
      <c r="CK73" s="93"/>
      <c r="CL73" s="87">
        <v>-3.96</v>
      </c>
      <c r="CM73" s="66">
        <v>1000</v>
      </c>
      <c r="CN73" s="103">
        <v>12229.03</v>
      </c>
      <c r="CO73" s="112">
        <f t="shared" si="102"/>
        <v>13229.03</v>
      </c>
      <c r="CP73" s="112">
        <f t="shared" si="103"/>
        <v>1222.903</v>
      </c>
    </row>
    <row r="74" spans="2:94" hidden="1" outlineLevel="1" x14ac:dyDescent="0.2">
      <c r="B74" s="72" t="s">
        <v>1528</v>
      </c>
      <c r="C74" s="57" t="s">
        <v>1387</v>
      </c>
      <c r="D74" s="57" t="s">
        <v>1440</v>
      </c>
      <c r="E74" s="65" t="s">
        <v>1389</v>
      </c>
      <c r="F74" s="57" t="s">
        <v>1454</v>
      </c>
      <c r="G74" s="62" t="s">
        <v>1556</v>
      </c>
      <c r="H74" s="128" t="b">
        <v>1</v>
      </c>
      <c r="I74" s="122" t="s">
        <v>1865</v>
      </c>
      <c r="N74" s="124">
        <v>21</v>
      </c>
      <c r="O74" s="124">
        <v>0.8</v>
      </c>
      <c r="P74" s="124">
        <v>5</v>
      </c>
      <c r="Q74" s="128" t="b">
        <v>1</v>
      </c>
      <c r="R74" s="127" t="s">
        <v>1559</v>
      </c>
      <c r="T74" s="126">
        <v>13</v>
      </c>
      <c r="U74" s="124">
        <v>1.4999999999999999E-2</v>
      </c>
      <c r="V74" s="126">
        <v>75</v>
      </c>
      <c r="W74" s="126">
        <v>-75</v>
      </c>
      <c r="X74" s="124">
        <v>50</v>
      </c>
      <c r="Y74" s="124">
        <v>5</v>
      </c>
      <c r="Z74" s="128" t="b">
        <v>1</v>
      </c>
      <c r="AA74" s="127" t="s">
        <v>1867</v>
      </c>
      <c r="AB74" s="122">
        <v>3</v>
      </c>
      <c r="AC74" s="146"/>
      <c r="AD74" s="147">
        <v>34</v>
      </c>
      <c r="AE74" s="124"/>
      <c r="AF74" s="124">
        <v>5.0000000000000001E-4</v>
      </c>
      <c r="AG74" s="135" t="b">
        <v>1</v>
      </c>
      <c r="AH74" s="125">
        <v>5</v>
      </c>
      <c r="AI74" s="125">
        <v>13</v>
      </c>
      <c r="AJ74" s="125">
        <v>34</v>
      </c>
      <c r="AK74" s="125">
        <v>89</v>
      </c>
      <c r="AL74" s="129" t="b">
        <v>0</v>
      </c>
      <c r="AM74" s="128" t="b">
        <v>1</v>
      </c>
      <c r="AN74" s="131" t="s">
        <v>1469</v>
      </c>
      <c r="AO74" s="127">
        <v>1E-4</v>
      </c>
      <c r="AP74" s="128" t="b">
        <v>1</v>
      </c>
      <c r="AQ74" s="127">
        <v>1E-3</v>
      </c>
      <c r="AR74" s="135">
        <v>5</v>
      </c>
      <c r="AS74" s="135">
        <v>13</v>
      </c>
      <c r="AT74" s="135">
        <v>8</v>
      </c>
      <c r="AU74" s="128" t="b">
        <v>1</v>
      </c>
      <c r="AV74" s="124">
        <v>3</v>
      </c>
      <c r="AW74" s="146">
        <v>5</v>
      </c>
      <c r="AX74" s="124">
        <v>1</v>
      </c>
      <c r="AY74" s="128" t="b">
        <v>1</v>
      </c>
      <c r="AZ74" s="122" t="s">
        <v>1576</v>
      </c>
      <c r="BA74" s="122">
        <v>4</v>
      </c>
      <c r="BB74" s="126">
        <v>0.05</v>
      </c>
      <c r="BC74" s="126">
        <v>0.5</v>
      </c>
      <c r="BD74" s="129" t="b">
        <v>0</v>
      </c>
      <c r="BE74" s="122" t="s">
        <v>1873</v>
      </c>
      <c r="BF74" s="128" t="b">
        <v>1</v>
      </c>
      <c r="BG74" s="122" t="s">
        <v>1578</v>
      </c>
      <c r="BH74" s="122">
        <v>0.01</v>
      </c>
      <c r="BI74" s="156" t="s">
        <v>403</v>
      </c>
      <c r="BJ74" s="128" t="b">
        <v>1</v>
      </c>
      <c r="BK74" s="159">
        <v>4</v>
      </c>
      <c r="BL74" s="128" t="b">
        <v>1</v>
      </c>
      <c r="BM74" s="156" t="s">
        <v>412</v>
      </c>
      <c r="BN74" s="128" t="b">
        <v>1</v>
      </c>
      <c r="BO74" s="156" t="s">
        <v>1382</v>
      </c>
      <c r="BP74" s="157">
        <v>1</v>
      </c>
      <c r="BQ74" s="157">
        <v>0.5</v>
      </c>
      <c r="BR74" s="166" t="str">
        <f t="shared" si="97"/>
        <v>5/ 13/ 34/ 89</v>
      </c>
      <c r="BS74" s="166" t="str">
        <f t="shared" si="98"/>
        <v>5 / 13 / 8</v>
      </c>
      <c r="BT74" s="166" t="str">
        <f t="shared" si="99"/>
        <v>0.05 / 0.5</v>
      </c>
      <c r="BU74" s="66">
        <v>327</v>
      </c>
      <c r="BV74" s="66">
        <v>211</v>
      </c>
      <c r="BW74" s="66">
        <v>208</v>
      </c>
      <c r="BX74" s="99">
        <f t="shared" si="100"/>
        <v>3</v>
      </c>
      <c r="BY74" s="66">
        <v>19</v>
      </c>
      <c r="BZ74" s="92">
        <f t="shared" si="104"/>
        <v>97</v>
      </c>
      <c r="CA74" s="204">
        <f t="shared" si="105"/>
        <v>0.64525993883792054</v>
      </c>
      <c r="CB74" s="205">
        <f t="shared" si="106"/>
        <v>5.8103975535168197E-2</v>
      </c>
      <c r="CC74" s="87">
        <v>8.2200000000000006</v>
      </c>
      <c r="CD74" s="66">
        <v>35.03</v>
      </c>
      <c r="CE74" s="87">
        <v>0.44</v>
      </c>
      <c r="CF74" s="170">
        <f t="shared" si="101"/>
        <v>4</v>
      </c>
      <c r="CG74" s="87">
        <v>0.68</v>
      </c>
      <c r="CH74" s="66">
        <v>0.48</v>
      </c>
      <c r="CI74" s="93">
        <v>4160.8999999999996</v>
      </c>
      <c r="CJ74" s="93"/>
      <c r="CK74" s="93"/>
      <c r="CL74" s="87">
        <v>-5.14</v>
      </c>
      <c r="CM74" s="66">
        <v>1000</v>
      </c>
      <c r="CN74" s="93">
        <v>11456.12</v>
      </c>
      <c r="CO74" s="108">
        <f t="shared" si="102"/>
        <v>12456.12</v>
      </c>
      <c r="CP74" s="108">
        <f t="shared" si="103"/>
        <v>1145.6120000000001</v>
      </c>
    </row>
    <row r="75" spans="2:94" hidden="1" outlineLevel="1" x14ac:dyDescent="0.2">
      <c r="B75" s="72" t="s">
        <v>1529</v>
      </c>
      <c r="C75" s="57" t="s">
        <v>1387</v>
      </c>
      <c r="D75" s="57" t="s">
        <v>1440</v>
      </c>
      <c r="E75" s="65" t="s">
        <v>1389</v>
      </c>
      <c r="F75" s="57" t="s">
        <v>1454</v>
      </c>
      <c r="G75" s="62" t="s">
        <v>1556</v>
      </c>
      <c r="H75" s="128" t="b">
        <v>1</v>
      </c>
      <c r="I75" s="122" t="s">
        <v>1865</v>
      </c>
      <c r="N75" s="124">
        <v>21</v>
      </c>
      <c r="O75" s="124">
        <v>0.8</v>
      </c>
      <c r="P75" s="124">
        <v>5</v>
      </c>
      <c r="Q75" s="128" t="b">
        <v>1</v>
      </c>
      <c r="R75" s="127" t="s">
        <v>1559</v>
      </c>
      <c r="T75" s="126">
        <v>13</v>
      </c>
      <c r="U75" s="124">
        <v>1.4999999999999999E-2</v>
      </c>
      <c r="V75" s="126">
        <v>75</v>
      </c>
      <c r="W75" s="126">
        <v>-75</v>
      </c>
      <c r="X75" s="124">
        <v>50</v>
      </c>
      <c r="Y75" s="124">
        <v>5</v>
      </c>
      <c r="Z75" s="128" t="b">
        <v>1</v>
      </c>
      <c r="AA75" s="127" t="s">
        <v>1867</v>
      </c>
      <c r="AB75" s="122">
        <v>3</v>
      </c>
      <c r="AC75" s="146"/>
      <c r="AD75" s="147">
        <v>34</v>
      </c>
      <c r="AE75" s="124"/>
      <c r="AF75" s="124">
        <v>5.0000000000000001E-4</v>
      </c>
      <c r="AG75" s="135" t="b">
        <v>1</v>
      </c>
      <c r="AH75" s="125">
        <v>5</v>
      </c>
      <c r="AI75" s="125">
        <v>13</v>
      </c>
      <c r="AJ75" s="125">
        <v>34</v>
      </c>
      <c r="AK75" s="125">
        <v>89</v>
      </c>
      <c r="AL75" s="129" t="b">
        <v>0</v>
      </c>
      <c r="AM75" s="128" t="b">
        <v>1</v>
      </c>
      <c r="AN75" s="131" t="s">
        <v>1469</v>
      </c>
      <c r="AO75" s="127">
        <v>1E-4</v>
      </c>
      <c r="AP75" s="128" t="b">
        <v>1</v>
      </c>
      <c r="AQ75" s="127">
        <v>1E-3</v>
      </c>
      <c r="AR75" s="149">
        <v>8</v>
      </c>
      <c r="AS75" s="149">
        <v>13</v>
      </c>
      <c r="AT75" s="149">
        <v>8</v>
      </c>
      <c r="AU75" s="128" t="b">
        <v>1</v>
      </c>
      <c r="AV75" s="124">
        <v>3</v>
      </c>
      <c r="AW75" s="146">
        <v>5</v>
      </c>
      <c r="AX75" s="124">
        <v>1</v>
      </c>
      <c r="AY75" s="128" t="b">
        <v>1</v>
      </c>
      <c r="AZ75" s="122" t="s">
        <v>1576</v>
      </c>
      <c r="BA75" s="122">
        <v>4</v>
      </c>
      <c r="BB75" s="126">
        <v>0.05</v>
      </c>
      <c r="BC75" s="126">
        <v>0.5</v>
      </c>
      <c r="BD75" s="129" t="b">
        <v>0</v>
      </c>
      <c r="BE75" s="122" t="s">
        <v>1873</v>
      </c>
      <c r="BF75" s="128" t="b">
        <v>1</v>
      </c>
      <c r="BG75" s="122" t="s">
        <v>1578</v>
      </c>
      <c r="BH75" s="122">
        <v>0.01</v>
      </c>
      <c r="BI75" s="156" t="s">
        <v>403</v>
      </c>
      <c r="BJ75" s="128" t="b">
        <v>1</v>
      </c>
      <c r="BK75" s="159">
        <v>4</v>
      </c>
      <c r="BL75" s="128" t="b">
        <v>1</v>
      </c>
      <c r="BM75" s="156" t="s">
        <v>412</v>
      </c>
      <c r="BN75" s="128" t="b">
        <v>1</v>
      </c>
      <c r="BO75" s="156" t="s">
        <v>1382</v>
      </c>
      <c r="BP75" s="157">
        <v>1</v>
      </c>
      <c r="BQ75" s="157">
        <v>0.5</v>
      </c>
      <c r="BR75" s="166" t="str">
        <f t="shared" si="97"/>
        <v>5/ 13/ 34/ 89</v>
      </c>
      <c r="BS75" s="166" t="str">
        <f t="shared" si="98"/>
        <v>8 / 13 / 8</v>
      </c>
      <c r="BT75" s="166" t="str">
        <f t="shared" si="99"/>
        <v>0.05 / 0.5</v>
      </c>
      <c r="BU75" s="66">
        <v>306</v>
      </c>
      <c r="BV75" s="66">
        <v>193</v>
      </c>
      <c r="BW75" s="66">
        <v>189</v>
      </c>
      <c r="BX75" s="99">
        <f t="shared" si="100"/>
        <v>4</v>
      </c>
      <c r="BY75" s="66">
        <v>20</v>
      </c>
      <c r="BZ75" s="92">
        <f t="shared" si="104"/>
        <v>93</v>
      </c>
      <c r="CA75" s="204">
        <f>IF(BU75=0,0,BV75/BU75)</f>
        <v>0.63071895424836599</v>
      </c>
      <c r="CB75" s="205">
        <f>IF(BU75=0,0,BY75/BU75)</f>
        <v>6.535947712418301E-2</v>
      </c>
      <c r="CC75" s="87">
        <v>6.12</v>
      </c>
      <c r="CD75" s="66">
        <v>25.24</v>
      </c>
      <c r="CE75" s="87">
        <v>0.4</v>
      </c>
      <c r="CF75" s="170">
        <f t="shared" si="101"/>
        <v>4</v>
      </c>
      <c r="CG75" s="87">
        <v>0.66</v>
      </c>
      <c r="CH75" s="66">
        <v>0.46</v>
      </c>
      <c r="CI75" s="93">
        <v>3686.9</v>
      </c>
      <c r="CJ75" s="93"/>
      <c r="CK75" s="93"/>
      <c r="CL75" s="87">
        <v>-3.96</v>
      </c>
      <c r="CM75" s="66">
        <v>1000</v>
      </c>
      <c r="CN75" s="93">
        <v>7722.08</v>
      </c>
      <c r="CO75" s="108">
        <f t="shared" si="102"/>
        <v>8722.08</v>
      </c>
      <c r="CP75" s="108">
        <f t="shared" si="103"/>
        <v>772.20799999999997</v>
      </c>
    </row>
    <row r="76" spans="2:94" hidden="1" outlineLevel="1" x14ac:dyDescent="0.2">
      <c r="B76" s="72" t="s">
        <v>1530</v>
      </c>
      <c r="C76" s="57" t="s">
        <v>1387</v>
      </c>
      <c r="D76" s="57" t="s">
        <v>1440</v>
      </c>
      <c r="E76" s="65" t="s">
        <v>1389</v>
      </c>
      <c r="F76" s="57" t="s">
        <v>1454</v>
      </c>
      <c r="G76" s="62" t="s">
        <v>1556</v>
      </c>
      <c r="H76" s="128" t="b">
        <v>1</v>
      </c>
      <c r="I76" s="122" t="s">
        <v>1865</v>
      </c>
      <c r="N76" s="124">
        <v>21</v>
      </c>
      <c r="O76" s="124">
        <v>0.8</v>
      </c>
      <c r="P76" s="124">
        <v>5</v>
      </c>
      <c r="Q76" s="128" t="b">
        <v>1</v>
      </c>
      <c r="R76" s="127" t="s">
        <v>1559</v>
      </c>
      <c r="T76" s="126">
        <v>13</v>
      </c>
      <c r="U76" s="124">
        <v>1.4999999999999999E-2</v>
      </c>
      <c r="V76" s="126">
        <v>75</v>
      </c>
      <c r="W76" s="126">
        <v>-75</v>
      </c>
      <c r="X76" s="124">
        <v>50</v>
      </c>
      <c r="Y76" s="124">
        <v>5</v>
      </c>
      <c r="Z76" s="128" t="b">
        <v>1</v>
      </c>
      <c r="AA76" s="127" t="s">
        <v>1867</v>
      </c>
      <c r="AB76" s="122">
        <v>3</v>
      </c>
      <c r="AC76" s="146"/>
      <c r="AD76" s="147">
        <v>34</v>
      </c>
      <c r="AE76" s="124"/>
      <c r="AF76" s="124">
        <v>5.0000000000000001E-4</v>
      </c>
      <c r="AG76" s="135" t="b">
        <v>1</v>
      </c>
      <c r="AH76" s="125">
        <v>5</v>
      </c>
      <c r="AI76" s="125">
        <v>13</v>
      </c>
      <c r="AJ76" s="125">
        <v>34</v>
      </c>
      <c r="AK76" s="125">
        <v>89</v>
      </c>
      <c r="AL76" s="129" t="b">
        <v>0</v>
      </c>
      <c r="AM76" s="128" t="b">
        <v>1</v>
      </c>
      <c r="AN76" s="131" t="s">
        <v>1469</v>
      </c>
      <c r="AO76" s="127">
        <v>1E-4</v>
      </c>
      <c r="AP76" s="128" t="b">
        <v>1</v>
      </c>
      <c r="AQ76" s="127">
        <v>1E-3</v>
      </c>
      <c r="AR76" s="150">
        <v>8</v>
      </c>
      <c r="AS76" s="150">
        <v>17</v>
      </c>
      <c r="AT76" s="150">
        <v>9</v>
      </c>
      <c r="AU76" s="128" t="b">
        <v>1</v>
      </c>
      <c r="AV76" s="124">
        <v>3</v>
      </c>
      <c r="AW76" s="146">
        <v>5</v>
      </c>
      <c r="AX76" s="124">
        <v>1</v>
      </c>
      <c r="AY76" s="128" t="b">
        <v>1</v>
      </c>
      <c r="AZ76" s="122" t="s">
        <v>1576</v>
      </c>
      <c r="BA76" s="122">
        <v>4</v>
      </c>
      <c r="BB76" s="126">
        <v>0.05</v>
      </c>
      <c r="BC76" s="126">
        <v>0.5</v>
      </c>
      <c r="BD76" s="129" t="b">
        <v>0</v>
      </c>
      <c r="BE76" s="122" t="s">
        <v>1873</v>
      </c>
      <c r="BF76" s="128" t="b">
        <v>1</v>
      </c>
      <c r="BG76" s="122" t="s">
        <v>1578</v>
      </c>
      <c r="BH76" s="122">
        <v>0.01</v>
      </c>
      <c r="BI76" s="156" t="s">
        <v>403</v>
      </c>
      <c r="BJ76" s="128" t="b">
        <v>1</v>
      </c>
      <c r="BK76" s="159">
        <v>4</v>
      </c>
      <c r="BL76" s="128" t="b">
        <v>1</v>
      </c>
      <c r="BM76" s="156" t="s">
        <v>412</v>
      </c>
      <c r="BN76" s="128" t="b">
        <v>1</v>
      </c>
      <c r="BO76" s="156" t="s">
        <v>1382</v>
      </c>
      <c r="BP76" s="157">
        <v>1</v>
      </c>
      <c r="BQ76" s="157">
        <v>0.5</v>
      </c>
      <c r="BR76" s="166" t="str">
        <f t="shared" si="97"/>
        <v>5/ 13/ 34/ 89</v>
      </c>
      <c r="BS76" s="166" t="str">
        <f t="shared" si="98"/>
        <v>8 / 17 / 9</v>
      </c>
      <c r="BT76" s="166" t="str">
        <f t="shared" si="99"/>
        <v>0.05 / 0.5</v>
      </c>
      <c r="BU76" s="66">
        <v>312</v>
      </c>
      <c r="BV76" s="66">
        <v>189</v>
      </c>
      <c r="BW76" s="66">
        <v>185</v>
      </c>
      <c r="BX76" s="99">
        <f t="shared" si="100"/>
        <v>4</v>
      </c>
      <c r="BY76" s="66">
        <v>24</v>
      </c>
      <c r="BZ76" s="92">
        <f t="shared" si="104"/>
        <v>99</v>
      </c>
      <c r="CA76" s="204">
        <f>IF(BU76=0,0,BV76/BU76)</f>
        <v>0.60576923076923073</v>
      </c>
      <c r="CB76" s="205">
        <f>IF(BU76=0,0,BY76/BU76)</f>
        <v>7.6923076923076927E-2</v>
      </c>
      <c r="CC76" s="87">
        <v>5.1100000000000003</v>
      </c>
      <c r="CD76" s="66">
        <v>21.83</v>
      </c>
      <c r="CE76" s="87">
        <v>0.38</v>
      </c>
      <c r="CF76" s="170">
        <f t="shared" si="101"/>
        <v>4</v>
      </c>
      <c r="CG76" s="87">
        <v>0.66</v>
      </c>
      <c r="CH76" s="66">
        <v>0.48</v>
      </c>
      <c r="CI76" s="93">
        <v>3656.8</v>
      </c>
      <c r="CJ76" s="93"/>
      <c r="CK76" s="93"/>
      <c r="CL76" s="87">
        <v>-5.52</v>
      </c>
      <c r="CM76" s="66">
        <v>1000</v>
      </c>
      <c r="CN76" s="93">
        <v>6809.63</v>
      </c>
      <c r="CO76" s="108">
        <f t="shared" si="102"/>
        <v>7809.63</v>
      </c>
      <c r="CP76" s="108">
        <f t="shared" si="103"/>
        <v>680.96299999999997</v>
      </c>
    </row>
    <row r="77" spans="2:94" hidden="1" outlineLevel="1" x14ac:dyDescent="0.2">
      <c r="B77" s="72" t="s">
        <v>1531</v>
      </c>
      <c r="C77" s="57" t="s">
        <v>1387</v>
      </c>
      <c r="D77" s="57" t="s">
        <v>1440</v>
      </c>
      <c r="E77" s="65" t="s">
        <v>1389</v>
      </c>
      <c r="F77" s="57" t="s">
        <v>1454</v>
      </c>
      <c r="G77" s="62" t="s">
        <v>1556</v>
      </c>
      <c r="H77" s="128" t="b">
        <v>1</v>
      </c>
      <c r="I77" s="122" t="s">
        <v>1865</v>
      </c>
      <c r="N77" s="124">
        <v>21</v>
      </c>
      <c r="O77" s="124">
        <v>0.8</v>
      </c>
      <c r="P77" s="124">
        <v>5</v>
      </c>
      <c r="Q77" s="128" t="b">
        <v>1</v>
      </c>
      <c r="R77" s="127" t="s">
        <v>1559</v>
      </c>
      <c r="T77" s="126">
        <v>13</v>
      </c>
      <c r="U77" s="124">
        <v>1.4999999999999999E-2</v>
      </c>
      <c r="V77" s="126">
        <v>75</v>
      </c>
      <c r="W77" s="126">
        <v>-75</v>
      </c>
      <c r="X77" s="124">
        <v>50</v>
      </c>
      <c r="Y77" s="124">
        <v>5</v>
      </c>
      <c r="Z77" s="128" t="b">
        <v>1</v>
      </c>
      <c r="AA77" s="127" t="s">
        <v>1867</v>
      </c>
      <c r="AB77" s="122">
        <v>3</v>
      </c>
      <c r="AC77" s="146"/>
      <c r="AD77" s="147">
        <v>34</v>
      </c>
      <c r="AE77" s="124"/>
      <c r="AF77" s="124">
        <v>5.0000000000000001E-4</v>
      </c>
      <c r="AG77" s="135" t="b">
        <v>1</v>
      </c>
      <c r="AH77" s="125">
        <v>5</v>
      </c>
      <c r="AI77" s="125">
        <v>13</v>
      </c>
      <c r="AJ77" s="125">
        <v>34</v>
      </c>
      <c r="AK77" s="125">
        <v>89</v>
      </c>
      <c r="AL77" s="129" t="b">
        <v>0</v>
      </c>
      <c r="AM77" s="128" t="b">
        <v>1</v>
      </c>
      <c r="AN77" s="131" t="s">
        <v>1469</v>
      </c>
      <c r="AO77" s="127">
        <v>1E-4</v>
      </c>
      <c r="AP77" s="128" t="b">
        <v>1</v>
      </c>
      <c r="AQ77" s="127">
        <v>1E-3</v>
      </c>
      <c r="AR77" s="151">
        <v>12</v>
      </c>
      <c r="AS77" s="151">
        <v>26</v>
      </c>
      <c r="AT77" s="151">
        <v>9</v>
      </c>
      <c r="AU77" s="128" t="b">
        <v>1</v>
      </c>
      <c r="AV77" s="124">
        <v>3</v>
      </c>
      <c r="AW77" s="146">
        <v>5</v>
      </c>
      <c r="AX77" s="124">
        <v>1</v>
      </c>
      <c r="AY77" s="128" t="b">
        <v>1</v>
      </c>
      <c r="AZ77" s="122" t="s">
        <v>1576</v>
      </c>
      <c r="BA77" s="122">
        <v>4</v>
      </c>
      <c r="BB77" s="126">
        <v>0.05</v>
      </c>
      <c r="BC77" s="126">
        <v>0.5</v>
      </c>
      <c r="BD77" s="129" t="b">
        <v>0</v>
      </c>
      <c r="BE77" s="122" t="s">
        <v>1873</v>
      </c>
      <c r="BF77" s="128" t="b">
        <v>1</v>
      </c>
      <c r="BG77" s="122" t="s">
        <v>1578</v>
      </c>
      <c r="BH77" s="122">
        <v>0.01</v>
      </c>
      <c r="BI77" s="156" t="s">
        <v>403</v>
      </c>
      <c r="BJ77" s="128" t="b">
        <v>1</v>
      </c>
      <c r="BK77" s="159">
        <v>4</v>
      </c>
      <c r="BL77" s="128" t="b">
        <v>1</v>
      </c>
      <c r="BM77" s="156" t="s">
        <v>412</v>
      </c>
      <c r="BN77" s="128" t="b">
        <v>1</v>
      </c>
      <c r="BO77" s="156" t="s">
        <v>1382</v>
      </c>
      <c r="BP77" s="157">
        <v>1</v>
      </c>
      <c r="BQ77" s="157">
        <v>0.5</v>
      </c>
      <c r="BR77" s="166" t="str">
        <f t="shared" si="97"/>
        <v>5/ 13/ 34/ 89</v>
      </c>
      <c r="BS77" s="166" t="str">
        <f t="shared" si="98"/>
        <v>12 / 26 / 9</v>
      </c>
      <c r="BT77" s="166" t="str">
        <f t="shared" si="99"/>
        <v>0.05 / 0.5</v>
      </c>
      <c r="BU77" s="66">
        <v>284</v>
      </c>
      <c r="BV77" s="66">
        <v>178</v>
      </c>
      <c r="BW77" s="66">
        <v>173</v>
      </c>
      <c r="BX77" s="99">
        <f t="shared" si="100"/>
        <v>5</v>
      </c>
      <c r="BY77" s="66">
        <v>21</v>
      </c>
      <c r="BZ77" s="92">
        <f t="shared" si="104"/>
        <v>85</v>
      </c>
      <c r="CA77" s="204">
        <f t="shared" ref="CA77" si="107">IF(BU77=0,0,BV77/BU77)</f>
        <v>0.62676056338028174</v>
      </c>
      <c r="CB77" s="205">
        <f t="shared" ref="CB77" si="108">IF(BU77=0,0,BY77/BU77)</f>
        <v>7.3943661971830985E-2</v>
      </c>
      <c r="CC77" s="87">
        <v>7.21</v>
      </c>
      <c r="CD77" s="66">
        <v>26.37</v>
      </c>
      <c r="CE77" s="87">
        <v>0.43</v>
      </c>
      <c r="CF77" s="170">
        <f t="shared" si="101"/>
        <v>4</v>
      </c>
      <c r="CG77" s="94">
        <v>0.7</v>
      </c>
      <c r="CH77" s="66">
        <v>0.46</v>
      </c>
      <c r="CI77" s="93">
        <v>3619.6</v>
      </c>
      <c r="CJ77" s="93"/>
      <c r="CK77" s="93"/>
      <c r="CL77" s="87">
        <v>-3.61</v>
      </c>
      <c r="CM77" s="66">
        <v>1000</v>
      </c>
      <c r="CN77" s="93">
        <v>7488.75</v>
      </c>
      <c r="CO77" s="108">
        <f t="shared" si="102"/>
        <v>8488.75</v>
      </c>
      <c r="CP77" s="108">
        <f t="shared" si="103"/>
        <v>748.875</v>
      </c>
    </row>
    <row r="78" spans="2:94" hidden="1" outlineLevel="1" x14ac:dyDescent="0.2">
      <c r="B78" s="72" t="s">
        <v>1532</v>
      </c>
      <c r="C78" s="57" t="s">
        <v>1387</v>
      </c>
      <c r="D78" s="57" t="s">
        <v>1440</v>
      </c>
      <c r="E78" s="65" t="s">
        <v>1389</v>
      </c>
      <c r="F78" s="57" t="s">
        <v>1454</v>
      </c>
      <c r="G78" s="62" t="s">
        <v>1556</v>
      </c>
      <c r="H78" s="128" t="b">
        <v>1</v>
      </c>
      <c r="I78" s="122" t="s">
        <v>1865</v>
      </c>
      <c r="N78" s="124">
        <v>21</v>
      </c>
      <c r="O78" s="124">
        <v>0.8</v>
      </c>
      <c r="P78" s="124">
        <v>5</v>
      </c>
      <c r="Q78" s="128" t="b">
        <v>1</v>
      </c>
      <c r="R78" s="127" t="s">
        <v>1559</v>
      </c>
      <c r="T78" s="126">
        <v>13</v>
      </c>
      <c r="U78" s="124">
        <v>1.4999999999999999E-2</v>
      </c>
      <c r="V78" s="126">
        <v>75</v>
      </c>
      <c r="W78" s="126">
        <v>-75</v>
      </c>
      <c r="X78" s="124">
        <v>50</v>
      </c>
      <c r="Y78" s="124">
        <v>5</v>
      </c>
      <c r="Z78" s="128" t="b">
        <v>1</v>
      </c>
      <c r="AA78" s="127" t="s">
        <v>1867</v>
      </c>
      <c r="AB78" s="122">
        <v>3</v>
      </c>
      <c r="AC78" s="146"/>
      <c r="AD78" s="147">
        <v>34</v>
      </c>
      <c r="AE78" s="124"/>
      <c r="AF78" s="124">
        <v>5.0000000000000001E-4</v>
      </c>
      <c r="AG78" s="135" t="b">
        <v>1</v>
      </c>
      <c r="AH78" s="125">
        <v>5</v>
      </c>
      <c r="AI78" s="125">
        <v>13</v>
      </c>
      <c r="AJ78" s="125">
        <v>34</v>
      </c>
      <c r="AK78" s="125">
        <v>89</v>
      </c>
      <c r="AL78" s="129" t="b">
        <v>0</v>
      </c>
      <c r="AM78" s="128" t="b">
        <v>1</v>
      </c>
      <c r="AN78" s="131" t="s">
        <v>1469</v>
      </c>
      <c r="AO78" s="127">
        <v>1E-4</v>
      </c>
      <c r="AP78" s="128" t="b">
        <v>1</v>
      </c>
      <c r="AQ78" s="127">
        <v>1E-3</v>
      </c>
      <c r="AR78" s="137">
        <v>21</v>
      </c>
      <c r="AS78" s="137">
        <v>34</v>
      </c>
      <c r="AT78" s="137">
        <v>9</v>
      </c>
      <c r="AU78" s="128" t="b">
        <v>1</v>
      </c>
      <c r="AY78" s="128" t="b">
        <v>1</v>
      </c>
      <c r="AZ78" s="122" t="s">
        <v>1576</v>
      </c>
      <c r="BA78" s="122">
        <v>4</v>
      </c>
      <c r="BB78" s="126">
        <v>0.05</v>
      </c>
      <c r="BC78" s="126">
        <v>0.5</v>
      </c>
      <c r="BD78" s="129" t="b">
        <v>0</v>
      </c>
      <c r="BE78" s="122" t="s">
        <v>1873</v>
      </c>
      <c r="BF78" s="128" t="b">
        <v>1</v>
      </c>
      <c r="BG78" s="122" t="s">
        <v>1578</v>
      </c>
      <c r="BH78" s="122">
        <v>0.01</v>
      </c>
      <c r="BI78" s="156" t="s">
        <v>403</v>
      </c>
      <c r="BJ78" s="128" t="b">
        <v>1</v>
      </c>
      <c r="BK78" s="159">
        <v>4</v>
      </c>
      <c r="BL78" s="128" t="b">
        <v>1</v>
      </c>
      <c r="BM78" s="156" t="s">
        <v>412</v>
      </c>
      <c r="BN78" s="128" t="b">
        <v>1</v>
      </c>
      <c r="BO78" s="156" t="s">
        <v>1382</v>
      </c>
      <c r="BP78" s="157">
        <v>1</v>
      </c>
      <c r="BQ78" s="157">
        <v>0.5</v>
      </c>
      <c r="BR78" s="166" t="str">
        <f t="shared" si="97"/>
        <v>5/ 13/ 34/ 89</v>
      </c>
      <c r="BS78" s="166" t="str">
        <f t="shared" si="98"/>
        <v>21 / 34 / 9</v>
      </c>
      <c r="BT78" s="166" t="str">
        <f t="shared" si="99"/>
        <v>0.05 / 0.5</v>
      </c>
      <c r="BU78" s="66">
        <v>230</v>
      </c>
      <c r="BV78" s="66">
        <v>147</v>
      </c>
      <c r="BW78" s="66">
        <v>142</v>
      </c>
      <c r="BX78" s="99">
        <f t="shared" si="100"/>
        <v>5</v>
      </c>
      <c r="BY78" s="66">
        <v>15</v>
      </c>
      <c r="BZ78" s="92">
        <f t="shared" si="104"/>
        <v>68</v>
      </c>
      <c r="CA78" s="204">
        <f>IF(BU78=0,0,BV78/BU78)</f>
        <v>0.63913043478260867</v>
      </c>
      <c r="CB78" s="205">
        <f>IF(BU78=0,0,BY78/BU78)</f>
        <v>6.5217391304347824E-2</v>
      </c>
      <c r="CC78" s="87">
        <v>7.99</v>
      </c>
      <c r="CD78" s="66">
        <v>21.51</v>
      </c>
      <c r="CE78" s="87">
        <v>0.46</v>
      </c>
      <c r="CF78" s="170">
        <f t="shared" si="101"/>
        <v>4</v>
      </c>
      <c r="CG78" s="94">
        <v>0.7</v>
      </c>
      <c r="CH78" s="66">
        <v>0.45</v>
      </c>
      <c r="CI78" s="93">
        <v>3099.1</v>
      </c>
      <c r="CJ78" s="93"/>
      <c r="CK78" s="93"/>
      <c r="CL78" s="87">
        <v>-2.69</v>
      </c>
      <c r="CM78" s="66">
        <v>1000</v>
      </c>
      <c r="CN78" s="101">
        <v>4947.7700000000004</v>
      </c>
      <c r="CO78" s="109">
        <f t="shared" si="102"/>
        <v>5947.77</v>
      </c>
      <c r="CP78" s="109">
        <f t="shared" si="103"/>
        <v>494.77700000000004</v>
      </c>
    </row>
    <row r="79" spans="2:94" hidden="1" outlineLevel="1" x14ac:dyDescent="0.2">
      <c r="G79" s="62"/>
      <c r="AC79" s="124"/>
      <c r="AD79" s="124"/>
      <c r="AE79" s="124"/>
      <c r="AH79" s="125"/>
      <c r="AI79" s="125"/>
      <c r="AJ79" s="125"/>
      <c r="AK79" s="125"/>
      <c r="AO79" s="127"/>
      <c r="AR79" s="124"/>
      <c r="AS79" s="124"/>
      <c r="AT79" s="124"/>
      <c r="BB79" s="124"/>
      <c r="BC79" s="124"/>
      <c r="BK79" s="154"/>
      <c r="BP79" s="154"/>
      <c r="BQ79" s="154"/>
      <c r="BS79" s="167"/>
      <c r="BT79" s="167"/>
      <c r="BU79" s="85"/>
      <c r="BV79" s="85"/>
      <c r="BW79" s="85"/>
      <c r="BX79" s="100"/>
      <c r="BY79" s="85"/>
      <c r="BZ79" s="86"/>
      <c r="CA79" s="85"/>
      <c r="CB79" s="95"/>
      <c r="CC79" s="85"/>
      <c r="CD79" s="85"/>
      <c r="CE79" s="85"/>
      <c r="CF79" s="107"/>
      <c r="CG79" s="85"/>
      <c r="CH79" s="85"/>
      <c r="CI79" s="85"/>
      <c r="CJ79" s="85"/>
      <c r="CK79" s="85"/>
      <c r="CL79" s="85"/>
      <c r="CM79" s="84"/>
      <c r="CN79" s="85"/>
      <c r="CO79" s="107"/>
      <c r="CP79" s="107"/>
    </row>
    <row r="80" spans="2:94" collapsed="1" x14ac:dyDescent="0.2">
      <c r="B80" s="72" t="s">
        <v>1533</v>
      </c>
      <c r="C80" s="57" t="s">
        <v>1387</v>
      </c>
      <c r="D80" s="57" t="s">
        <v>1440</v>
      </c>
      <c r="E80" s="65" t="s">
        <v>1389</v>
      </c>
      <c r="F80" s="57" t="s">
        <v>1454</v>
      </c>
      <c r="G80" s="62" t="s">
        <v>1556</v>
      </c>
      <c r="H80" s="128" t="b">
        <v>1</v>
      </c>
      <c r="I80" s="122" t="s">
        <v>1865</v>
      </c>
      <c r="N80" s="124">
        <v>21</v>
      </c>
      <c r="O80" s="124">
        <v>0.8</v>
      </c>
      <c r="P80" s="124">
        <v>5</v>
      </c>
      <c r="Q80" s="128" t="b">
        <v>1</v>
      </c>
      <c r="R80" s="127" t="s">
        <v>1559</v>
      </c>
      <c r="T80" s="126">
        <v>13</v>
      </c>
      <c r="U80" s="124">
        <v>1.4999999999999999E-2</v>
      </c>
      <c r="V80" s="126">
        <v>75</v>
      </c>
      <c r="W80" s="126">
        <v>-75</v>
      </c>
      <c r="X80" s="124">
        <v>50</v>
      </c>
      <c r="Y80" s="124">
        <v>5</v>
      </c>
      <c r="Z80" s="128" t="b">
        <v>1</v>
      </c>
      <c r="AA80" s="127" t="s">
        <v>1867</v>
      </c>
      <c r="AB80" s="122">
        <v>3</v>
      </c>
      <c r="AC80" s="146"/>
      <c r="AD80" s="147">
        <v>34</v>
      </c>
      <c r="AE80" s="124"/>
      <c r="AF80" s="124">
        <v>5.0000000000000001E-4</v>
      </c>
      <c r="AG80" s="135" t="b">
        <v>1</v>
      </c>
      <c r="AH80" s="125">
        <v>5</v>
      </c>
      <c r="AI80" s="125">
        <v>13</v>
      </c>
      <c r="AJ80" s="125">
        <v>34</v>
      </c>
      <c r="AK80" s="125">
        <v>89</v>
      </c>
      <c r="AL80" s="129" t="b">
        <v>0</v>
      </c>
      <c r="AM80" s="128" t="b">
        <v>1</v>
      </c>
      <c r="AN80" s="131" t="s">
        <v>1469</v>
      </c>
      <c r="AO80" s="127">
        <v>1E-4</v>
      </c>
      <c r="AP80" s="128" t="b">
        <v>1</v>
      </c>
      <c r="AQ80" s="127">
        <v>1E-3</v>
      </c>
      <c r="AR80" s="126">
        <v>5</v>
      </c>
      <c r="AS80" s="126">
        <v>8</v>
      </c>
      <c r="AT80" s="126">
        <v>5</v>
      </c>
      <c r="AU80" s="128" t="b">
        <v>1</v>
      </c>
      <c r="AV80" s="124">
        <v>3</v>
      </c>
      <c r="AW80" s="146">
        <v>5</v>
      </c>
      <c r="AX80" s="124">
        <v>1</v>
      </c>
      <c r="AY80" s="128" t="b">
        <v>1</v>
      </c>
      <c r="AZ80" s="122" t="s">
        <v>1576</v>
      </c>
      <c r="BA80" s="122">
        <v>4</v>
      </c>
      <c r="BB80" s="153">
        <v>0.02</v>
      </c>
      <c r="BC80" s="153">
        <v>0.2</v>
      </c>
      <c r="BD80" s="129" t="b">
        <v>0</v>
      </c>
      <c r="BE80" s="122" t="s">
        <v>1873</v>
      </c>
      <c r="BF80" s="128" t="b">
        <v>1</v>
      </c>
      <c r="BG80" s="122" t="s">
        <v>1578</v>
      </c>
      <c r="BH80" s="122">
        <v>0.01</v>
      </c>
      <c r="BI80" s="156" t="s">
        <v>403</v>
      </c>
      <c r="BJ80" s="128" t="b">
        <v>1</v>
      </c>
      <c r="BK80" s="157">
        <v>2</v>
      </c>
      <c r="BL80" s="128" t="b">
        <v>1</v>
      </c>
      <c r="BM80" s="156" t="s">
        <v>412</v>
      </c>
      <c r="BN80" s="129" t="b">
        <v>0</v>
      </c>
      <c r="BO80" s="156" t="s">
        <v>1382</v>
      </c>
      <c r="BP80" s="157"/>
      <c r="BQ80" s="157"/>
      <c r="BR80" s="166" t="str">
        <f t="shared" ref="BR80" si="109">AH80&amp;"/ "&amp;AI80&amp;"/ "&amp;AJ80&amp;"/ "&amp;AK80</f>
        <v>5/ 13/ 34/ 89</v>
      </c>
      <c r="BS80" s="166" t="str">
        <f t="shared" ref="BS80:BS86" si="110">AR80&amp;" / "&amp;AS80&amp;" / "&amp;AT80</f>
        <v>5 / 8 / 5</v>
      </c>
      <c r="BT80" s="166" t="str">
        <f t="shared" ref="BT80:BT86" si="111">BB80&amp;" / "&amp;BC80</f>
        <v>0.02 / 0.2</v>
      </c>
      <c r="BU80" s="66">
        <v>252</v>
      </c>
      <c r="BV80" s="66">
        <v>160</v>
      </c>
      <c r="BW80" s="66">
        <v>151</v>
      </c>
      <c r="BX80" s="99">
        <f t="shared" ref="BX80:BX86" si="112">BV80-BW80</f>
        <v>9</v>
      </c>
      <c r="BY80" s="66">
        <v>7</v>
      </c>
      <c r="BZ80" s="92">
        <f>BU80-SUM(BW80:BY80)</f>
        <v>85</v>
      </c>
      <c r="CA80" s="204">
        <f>IF(BU80=0,0,BV80/BU80)</f>
        <v>0.63492063492063489</v>
      </c>
      <c r="CB80" s="205">
        <f>IF(BU80=0,0,BY80/BU80)</f>
        <v>2.7777777777777776E-2</v>
      </c>
      <c r="CC80" s="87">
        <v>19.68</v>
      </c>
      <c r="CD80" s="87">
        <v>13.82</v>
      </c>
      <c r="CE80" s="87">
        <v>0.6</v>
      </c>
      <c r="CF80" s="170">
        <f t="shared" ref="CF80:CF86" si="113">BK80</f>
        <v>2</v>
      </c>
      <c r="CG80" s="87">
        <v>0.51</v>
      </c>
      <c r="CH80" s="87">
        <v>0.33</v>
      </c>
      <c r="CI80" s="93">
        <v>3288.4</v>
      </c>
      <c r="CJ80" s="93"/>
      <c r="CK80" s="93"/>
      <c r="CL80" s="87">
        <v>-2</v>
      </c>
      <c r="CM80" s="66">
        <v>1000</v>
      </c>
      <c r="CN80" s="102">
        <v>3483.42</v>
      </c>
      <c r="CO80" s="110">
        <f t="shared" ref="CO80:CO86" si="114">CM80+CN80</f>
        <v>4483.42</v>
      </c>
      <c r="CP80" s="110">
        <f t="shared" ref="CP80:CP86" si="115">CN80/10</f>
        <v>348.34199999999998</v>
      </c>
    </row>
    <row r="81" spans="2:94" hidden="1" outlineLevel="1" x14ac:dyDescent="0.2">
      <c r="B81" s="72" t="s">
        <v>1534</v>
      </c>
      <c r="C81" s="57" t="s">
        <v>1387</v>
      </c>
      <c r="D81" s="57" t="s">
        <v>1440</v>
      </c>
      <c r="E81" s="65" t="s">
        <v>1389</v>
      </c>
      <c r="F81" s="57" t="s">
        <v>1454</v>
      </c>
      <c r="G81" s="62" t="s">
        <v>1556</v>
      </c>
      <c r="H81" s="128" t="b">
        <v>1</v>
      </c>
      <c r="I81" s="122" t="s">
        <v>1865</v>
      </c>
      <c r="N81" s="124">
        <v>21</v>
      </c>
      <c r="O81" s="124">
        <v>0.8</v>
      </c>
      <c r="P81" s="124">
        <v>5</v>
      </c>
      <c r="Q81" s="128" t="b">
        <v>1</v>
      </c>
      <c r="R81" s="127" t="s">
        <v>1559</v>
      </c>
      <c r="T81" s="126">
        <v>13</v>
      </c>
      <c r="U81" s="124">
        <v>1.4999999999999999E-2</v>
      </c>
      <c r="V81" s="126">
        <v>75</v>
      </c>
      <c r="W81" s="126">
        <v>-75</v>
      </c>
      <c r="X81" s="124">
        <v>50</v>
      </c>
      <c r="Y81" s="124">
        <v>5</v>
      </c>
      <c r="Z81" s="128" t="b">
        <v>1</v>
      </c>
      <c r="AA81" s="127" t="s">
        <v>1867</v>
      </c>
      <c r="AB81" s="122">
        <v>3</v>
      </c>
      <c r="AC81" s="146"/>
      <c r="AD81" s="147">
        <v>34</v>
      </c>
      <c r="AE81" s="124"/>
      <c r="AF81" s="124">
        <v>5.0000000000000001E-4</v>
      </c>
      <c r="AG81" s="135" t="b">
        <v>1</v>
      </c>
      <c r="AH81" s="125">
        <v>5</v>
      </c>
      <c r="AI81" s="125">
        <v>13</v>
      </c>
      <c r="AJ81" s="125">
        <v>34</v>
      </c>
      <c r="AK81" s="125">
        <v>89</v>
      </c>
      <c r="AL81" s="129" t="b">
        <v>0</v>
      </c>
      <c r="AM81" s="128" t="b">
        <v>1</v>
      </c>
      <c r="AN81" s="131" t="s">
        <v>1469</v>
      </c>
      <c r="AO81" s="127">
        <v>1E-4</v>
      </c>
      <c r="AP81" s="128" t="b">
        <v>1</v>
      </c>
      <c r="AQ81" s="127">
        <v>1E-3</v>
      </c>
      <c r="AR81" s="137">
        <v>5</v>
      </c>
      <c r="AS81" s="137">
        <v>13</v>
      </c>
      <c r="AT81" s="137">
        <v>5</v>
      </c>
      <c r="AU81" s="128" t="b">
        <v>1</v>
      </c>
      <c r="AV81" s="124">
        <v>3</v>
      </c>
      <c r="AW81" s="146">
        <v>5</v>
      </c>
      <c r="AX81" s="124">
        <v>1</v>
      </c>
      <c r="AY81" s="128" t="b">
        <v>1</v>
      </c>
      <c r="AZ81" s="122" t="s">
        <v>1576</v>
      </c>
      <c r="BA81" s="122">
        <v>4</v>
      </c>
      <c r="BB81" s="153">
        <v>0.02</v>
      </c>
      <c r="BC81" s="153">
        <v>0.2</v>
      </c>
      <c r="BD81" s="129" t="b">
        <v>0</v>
      </c>
      <c r="BE81" s="122" t="s">
        <v>1873</v>
      </c>
      <c r="BF81" s="128" t="b">
        <v>1</v>
      </c>
      <c r="BG81" s="122" t="s">
        <v>1578</v>
      </c>
      <c r="BH81" s="122">
        <v>0.01</v>
      </c>
      <c r="BI81" s="156" t="s">
        <v>403</v>
      </c>
      <c r="BJ81" s="128" t="b">
        <v>1</v>
      </c>
      <c r="BK81" s="157">
        <v>2</v>
      </c>
      <c r="BL81" s="128" t="b">
        <v>1</v>
      </c>
      <c r="BM81" s="156" t="s">
        <v>412</v>
      </c>
      <c r="BN81" s="129" t="b">
        <v>0</v>
      </c>
      <c r="BO81" s="156" t="s">
        <v>1382</v>
      </c>
      <c r="BP81" s="157"/>
      <c r="BQ81" s="157"/>
      <c r="BR81" s="166" t="str">
        <f t="shared" si="97"/>
        <v>5/ 13/ 34/ 89</v>
      </c>
      <c r="BS81" s="166" t="str">
        <f t="shared" si="110"/>
        <v>5 / 13 / 5</v>
      </c>
      <c r="BT81" s="166" t="str">
        <f t="shared" si="111"/>
        <v>0.02 / 0.2</v>
      </c>
      <c r="BU81" s="66">
        <v>260</v>
      </c>
      <c r="BV81" s="66">
        <v>166</v>
      </c>
      <c r="BW81" s="66">
        <v>158</v>
      </c>
      <c r="BX81" s="99">
        <f t="shared" si="112"/>
        <v>8</v>
      </c>
      <c r="BY81" s="66">
        <v>8</v>
      </c>
      <c r="BZ81" s="92">
        <f t="shared" ref="BZ81:BZ86" si="116">BU81-SUM(BW81:BY81)</f>
        <v>86</v>
      </c>
      <c r="CA81" s="204">
        <f t="shared" ref="CA81:CA82" si="117">IF(BU81=0,0,BV81/BU81)</f>
        <v>0.63846153846153841</v>
      </c>
      <c r="CB81" s="205">
        <f t="shared" ref="CB81:CB82" si="118">IF(BU81=0,0,BY81/BU81)</f>
        <v>3.0769230769230771E-2</v>
      </c>
      <c r="CC81" s="87">
        <v>14.71</v>
      </c>
      <c r="CD81" s="66">
        <v>13.26</v>
      </c>
      <c r="CE81" s="87">
        <v>0.57999999999999996</v>
      </c>
      <c r="CF81" s="170">
        <f t="shared" si="113"/>
        <v>2</v>
      </c>
      <c r="CG81" s="87">
        <v>0.49</v>
      </c>
      <c r="CH81" s="66">
        <v>0.33</v>
      </c>
      <c r="CI81" s="93">
        <v>3329.4</v>
      </c>
      <c r="CJ81" s="93"/>
      <c r="CK81" s="93"/>
      <c r="CL81" s="87">
        <v>-2</v>
      </c>
      <c r="CM81" s="66">
        <v>1000</v>
      </c>
      <c r="CN81" s="93">
        <v>3445.69</v>
      </c>
      <c r="CO81" s="108">
        <f t="shared" si="114"/>
        <v>4445.6900000000005</v>
      </c>
      <c r="CP81" s="108">
        <f t="shared" si="115"/>
        <v>344.56900000000002</v>
      </c>
    </row>
    <row r="82" spans="2:94" hidden="1" outlineLevel="1" x14ac:dyDescent="0.2">
      <c r="B82" s="72" t="s">
        <v>1535</v>
      </c>
      <c r="C82" s="57" t="s">
        <v>1387</v>
      </c>
      <c r="D82" s="57" t="s">
        <v>1440</v>
      </c>
      <c r="E82" s="65" t="s">
        <v>1389</v>
      </c>
      <c r="F82" s="57" t="s">
        <v>1454</v>
      </c>
      <c r="G82" s="62" t="s">
        <v>1556</v>
      </c>
      <c r="H82" s="128" t="b">
        <v>1</v>
      </c>
      <c r="I82" s="122" t="s">
        <v>1865</v>
      </c>
      <c r="N82" s="124">
        <v>21</v>
      </c>
      <c r="O82" s="124">
        <v>0.8</v>
      </c>
      <c r="P82" s="124">
        <v>5</v>
      </c>
      <c r="Q82" s="128" t="b">
        <v>1</v>
      </c>
      <c r="R82" s="127" t="s">
        <v>1559</v>
      </c>
      <c r="T82" s="126">
        <v>13</v>
      </c>
      <c r="U82" s="124">
        <v>1.4999999999999999E-2</v>
      </c>
      <c r="V82" s="126">
        <v>75</v>
      </c>
      <c r="W82" s="126">
        <v>-75</v>
      </c>
      <c r="X82" s="124">
        <v>50</v>
      </c>
      <c r="Y82" s="124">
        <v>5</v>
      </c>
      <c r="Z82" s="128" t="b">
        <v>1</v>
      </c>
      <c r="AA82" s="127" t="s">
        <v>1867</v>
      </c>
      <c r="AB82" s="122">
        <v>3</v>
      </c>
      <c r="AC82" s="146"/>
      <c r="AD82" s="147">
        <v>34</v>
      </c>
      <c r="AE82" s="124"/>
      <c r="AF82" s="124">
        <v>5.0000000000000001E-4</v>
      </c>
      <c r="AG82" s="135" t="b">
        <v>1</v>
      </c>
      <c r="AH82" s="125">
        <v>5</v>
      </c>
      <c r="AI82" s="125">
        <v>13</v>
      </c>
      <c r="AJ82" s="125">
        <v>34</v>
      </c>
      <c r="AK82" s="125">
        <v>89</v>
      </c>
      <c r="AL82" s="129" t="b">
        <v>0</v>
      </c>
      <c r="AM82" s="128" t="b">
        <v>1</v>
      </c>
      <c r="AN82" s="131" t="s">
        <v>1469</v>
      </c>
      <c r="AO82" s="127">
        <v>1E-4</v>
      </c>
      <c r="AP82" s="128" t="b">
        <v>1</v>
      </c>
      <c r="AQ82" s="127">
        <v>1E-3</v>
      </c>
      <c r="AR82" s="135">
        <v>5</v>
      </c>
      <c r="AS82" s="135">
        <v>13</v>
      </c>
      <c r="AT82" s="135">
        <v>8</v>
      </c>
      <c r="AU82" s="128" t="b">
        <v>1</v>
      </c>
      <c r="AV82" s="124">
        <v>3</v>
      </c>
      <c r="AW82" s="146">
        <v>5</v>
      </c>
      <c r="AX82" s="124">
        <v>1</v>
      </c>
      <c r="AY82" s="128" t="b">
        <v>1</v>
      </c>
      <c r="AZ82" s="122" t="s">
        <v>1576</v>
      </c>
      <c r="BA82" s="122">
        <v>4</v>
      </c>
      <c r="BB82" s="153">
        <v>0.02</v>
      </c>
      <c r="BC82" s="153">
        <v>0.2</v>
      </c>
      <c r="BD82" s="129" t="b">
        <v>0</v>
      </c>
      <c r="BE82" s="122" t="s">
        <v>1873</v>
      </c>
      <c r="BF82" s="128" t="b">
        <v>1</v>
      </c>
      <c r="BG82" s="122" t="s">
        <v>1578</v>
      </c>
      <c r="BH82" s="122">
        <v>0.01</v>
      </c>
      <c r="BI82" s="156" t="s">
        <v>403</v>
      </c>
      <c r="BJ82" s="128" t="b">
        <v>1</v>
      </c>
      <c r="BK82" s="157">
        <v>2</v>
      </c>
      <c r="BL82" s="128" t="b">
        <v>1</v>
      </c>
      <c r="BM82" s="156" t="s">
        <v>412</v>
      </c>
      <c r="BN82" s="129" t="b">
        <v>0</v>
      </c>
      <c r="BO82" s="156" t="s">
        <v>1382</v>
      </c>
      <c r="BP82" s="157"/>
      <c r="BQ82" s="157"/>
      <c r="BR82" s="166" t="str">
        <f t="shared" si="97"/>
        <v>5/ 13/ 34/ 89</v>
      </c>
      <c r="BS82" s="166" t="str">
        <f t="shared" si="110"/>
        <v>5 / 13 / 8</v>
      </c>
      <c r="BT82" s="166" t="str">
        <f t="shared" si="111"/>
        <v>0.02 / 0.2</v>
      </c>
      <c r="BU82" s="66">
        <v>253</v>
      </c>
      <c r="BV82" s="66">
        <v>163</v>
      </c>
      <c r="BW82" s="66">
        <v>156</v>
      </c>
      <c r="BX82" s="99">
        <f t="shared" si="112"/>
        <v>7</v>
      </c>
      <c r="BY82" s="66">
        <v>7</v>
      </c>
      <c r="BZ82" s="92">
        <f t="shared" si="116"/>
        <v>83</v>
      </c>
      <c r="CA82" s="204">
        <f t="shared" si="117"/>
        <v>0.64426877470355737</v>
      </c>
      <c r="CB82" s="205">
        <f t="shared" si="118"/>
        <v>2.766798418972332E-2</v>
      </c>
      <c r="CC82" s="87">
        <v>15.31</v>
      </c>
      <c r="CD82" s="66">
        <v>12.17</v>
      </c>
      <c r="CE82" s="87">
        <v>0.57999999999999996</v>
      </c>
      <c r="CF82" s="170">
        <f t="shared" si="113"/>
        <v>2</v>
      </c>
      <c r="CG82" s="87">
        <v>0.47</v>
      </c>
      <c r="CH82" s="66">
        <v>0.33</v>
      </c>
      <c r="CI82" s="93">
        <v>3213.9</v>
      </c>
      <c r="CJ82" s="93"/>
      <c r="CK82" s="93"/>
      <c r="CL82" s="87">
        <v>-2</v>
      </c>
      <c r="CM82" s="66">
        <v>1000</v>
      </c>
      <c r="CN82" s="93">
        <v>3078.54</v>
      </c>
      <c r="CO82" s="108">
        <f t="shared" si="114"/>
        <v>4078.54</v>
      </c>
      <c r="CP82" s="108">
        <f t="shared" si="115"/>
        <v>307.85399999999998</v>
      </c>
    </row>
    <row r="83" spans="2:94" hidden="1" outlineLevel="1" x14ac:dyDescent="0.2">
      <c r="B83" s="72" t="s">
        <v>1536</v>
      </c>
      <c r="C83" s="57" t="s">
        <v>1387</v>
      </c>
      <c r="D83" s="57" t="s">
        <v>1440</v>
      </c>
      <c r="E83" s="65" t="s">
        <v>1389</v>
      </c>
      <c r="F83" s="57" t="s">
        <v>1454</v>
      </c>
      <c r="G83" s="62" t="s">
        <v>1556</v>
      </c>
      <c r="H83" s="128" t="b">
        <v>1</v>
      </c>
      <c r="I83" s="122" t="s">
        <v>1865</v>
      </c>
      <c r="N83" s="124">
        <v>21</v>
      </c>
      <c r="O83" s="124">
        <v>0.8</v>
      </c>
      <c r="P83" s="124">
        <v>5</v>
      </c>
      <c r="Q83" s="128" t="b">
        <v>1</v>
      </c>
      <c r="R83" s="127" t="s">
        <v>1559</v>
      </c>
      <c r="T83" s="126">
        <v>13</v>
      </c>
      <c r="U83" s="124">
        <v>1.4999999999999999E-2</v>
      </c>
      <c r="V83" s="126">
        <v>75</v>
      </c>
      <c r="W83" s="126">
        <v>-75</v>
      </c>
      <c r="X83" s="124">
        <v>50</v>
      </c>
      <c r="Y83" s="124">
        <v>5</v>
      </c>
      <c r="Z83" s="128" t="b">
        <v>1</v>
      </c>
      <c r="AA83" s="127" t="s">
        <v>1867</v>
      </c>
      <c r="AB83" s="122">
        <v>3</v>
      </c>
      <c r="AC83" s="146"/>
      <c r="AD83" s="147">
        <v>34</v>
      </c>
      <c r="AE83" s="124"/>
      <c r="AF83" s="124">
        <v>5.0000000000000001E-4</v>
      </c>
      <c r="AG83" s="135" t="b">
        <v>1</v>
      </c>
      <c r="AH83" s="125">
        <v>5</v>
      </c>
      <c r="AI83" s="125">
        <v>13</v>
      </c>
      <c r="AJ83" s="125">
        <v>34</v>
      </c>
      <c r="AK83" s="125">
        <v>89</v>
      </c>
      <c r="AL83" s="129" t="b">
        <v>0</v>
      </c>
      <c r="AM83" s="128" t="b">
        <v>1</v>
      </c>
      <c r="AN83" s="131" t="s">
        <v>1469</v>
      </c>
      <c r="AO83" s="127">
        <v>1E-4</v>
      </c>
      <c r="AP83" s="128" t="b">
        <v>1</v>
      </c>
      <c r="AQ83" s="127">
        <v>1E-3</v>
      </c>
      <c r="AR83" s="149">
        <v>8</v>
      </c>
      <c r="AS83" s="149">
        <v>13</v>
      </c>
      <c r="AT83" s="149">
        <v>8</v>
      </c>
      <c r="AU83" s="128" t="b">
        <v>1</v>
      </c>
      <c r="AV83" s="124">
        <v>3</v>
      </c>
      <c r="AW83" s="146">
        <v>5</v>
      </c>
      <c r="AX83" s="124">
        <v>1</v>
      </c>
      <c r="AY83" s="128" t="b">
        <v>1</v>
      </c>
      <c r="AZ83" s="122" t="s">
        <v>1576</v>
      </c>
      <c r="BA83" s="122">
        <v>4</v>
      </c>
      <c r="BB83" s="153">
        <v>0.02</v>
      </c>
      <c r="BC83" s="153">
        <v>0.2</v>
      </c>
      <c r="BD83" s="129" t="b">
        <v>0</v>
      </c>
      <c r="BE83" s="122" t="s">
        <v>1873</v>
      </c>
      <c r="BF83" s="128" t="b">
        <v>1</v>
      </c>
      <c r="BG83" s="122" t="s">
        <v>1578</v>
      </c>
      <c r="BH83" s="122">
        <v>0.01</v>
      </c>
      <c r="BI83" s="156" t="s">
        <v>403</v>
      </c>
      <c r="BJ83" s="128" t="b">
        <v>1</v>
      </c>
      <c r="BK83" s="157">
        <v>2</v>
      </c>
      <c r="BL83" s="128" t="b">
        <v>1</v>
      </c>
      <c r="BM83" s="156" t="s">
        <v>412</v>
      </c>
      <c r="BN83" s="129" t="b">
        <v>0</v>
      </c>
      <c r="BO83" s="156" t="s">
        <v>1382</v>
      </c>
      <c r="BP83" s="157"/>
      <c r="BQ83" s="157"/>
      <c r="BR83" s="166" t="str">
        <f t="shared" si="97"/>
        <v>5/ 13/ 34/ 89</v>
      </c>
      <c r="BS83" s="166" t="str">
        <f t="shared" si="110"/>
        <v>8 / 13 / 8</v>
      </c>
      <c r="BT83" s="166" t="str">
        <f t="shared" si="111"/>
        <v>0.02 / 0.2</v>
      </c>
      <c r="BU83" s="66">
        <v>240</v>
      </c>
      <c r="BV83" s="66">
        <v>151</v>
      </c>
      <c r="BW83" s="66">
        <v>145</v>
      </c>
      <c r="BX83" s="99">
        <f t="shared" si="112"/>
        <v>6</v>
      </c>
      <c r="BY83" s="66">
        <v>7</v>
      </c>
      <c r="BZ83" s="92">
        <f t="shared" si="116"/>
        <v>82</v>
      </c>
      <c r="CA83" s="204">
        <f>IF(BU83=0,0,BV83/BU83)</f>
        <v>0.62916666666666665</v>
      </c>
      <c r="CB83" s="205">
        <f>IF(BU83=0,0,BY83/BU83)</f>
        <v>2.9166666666666667E-2</v>
      </c>
      <c r="CC83" s="87">
        <v>13.26</v>
      </c>
      <c r="CD83" s="66">
        <v>9.9499999999999993</v>
      </c>
      <c r="CE83" s="87">
        <v>0.55000000000000004</v>
      </c>
      <c r="CF83" s="170">
        <f t="shared" si="113"/>
        <v>2</v>
      </c>
      <c r="CG83" s="87">
        <v>0.44</v>
      </c>
      <c r="CH83" s="66">
        <v>0.32</v>
      </c>
      <c r="CI83" s="93">
        <v>2870.3</v>
      </c>
      <c r="CJ83" s="93"/>
      <c r="CK83" s="93"/>
      <c r="CL83" s="87">
        <v>-2</v>
      </c>
      <c r="CM83" s="66">
        <v>1000</v>
      </c>
      <c r="CN83" s="93">
        <v>2388.16</v>
      </c>
      <c r="CO83" s="108">
        <f t="shared" si="114"/>
        <v>3388.16</v>
      </c>
      <c r="CP83" s="108">
        <f t="shared" si="115"/>
        <v>238.81599999999997</v>
      </c>
    </row>
    <row r="84" spans="2:94" hidden="1" outlineLevel="1" x14ac:dyDescent="0.2">
      <c r="B84" s="72" t="s">
        <v>1537</v>
      </c>
      <c r="C84" s="57" t="s">
        <v>1387</v>
      </c>
      <c r="D84" s="57" t="s">
        <v>1440</v>
      </c>
      <c r="E84" s="65" t="s">
        <v>1389</v>
      </c>
      <c r="F84" s="57" t="s">
        <v>1454</v>
      </c>
      <c r="G84" s="62" t="s">
        <v>1556</v>
      </c>
      <c r="H84" s="128" t="b">
        <v>1</v>
      </c>
      <c r="I84" s="122" t="s">
        <v>1865</v>
      </c>
      <c r="N84" s="124">
        <v>21</v>
      </c>
      <c r="O84" s="124">
        <v>0.8</v>
      </c>
      <c r="P84" s="124">
        <v>5</v>
      </c>
      <c r="Q84" s="128" t="b">
        <v>1</v>
      </c>
      <c r="R84" s="127" t="s">
        <v>1559</v>
      </c>
      <c r="T84" s="126">
        <v>13</v>
      </c>
      <c r="U84" s="124">
        <v>1.4999999999999999E-2</v>
      </c>
      <c r="V84" s="126">
        <v>75</v>
      </c>
      <c r="W84" s="126">
        <v>-75</v>
      </c>
      <c r="X84" s="124">
        <v>50</v>
      </c>
      <c r="Y84" s="124">
        <v>5</v>
      </c>
      <c r="Z84" s="128" t="b">
        <v>1</v>
      </c>
      <c r="AA84" s="127" t="s">
        <v>1867</v>
      </c>
      <c r="AB84" s="122">
        <v>3</v>
      </c>
      <c r="AC84" s="146"/>
      <c r="AD84" s="147">
        <v>34</v>
      </c>
      <c r="AE84" s="124"/>
      <c r="AF84" s="124">
        <v>5.0000000000000001E-4</v>
      </c>
      <c r="AG84" s="135" t="b">
        <v>1</v>
      </c>
      <c r="AH84" s="125">
        <v>5</v>
      </c>
      <c r="AI84" s="125">
        <v>13</v>
      </c>
      <c r="AJ84" s="125">
        <v>34</v>
      </c>
      <c r="AK84" s="125">
        <v>89</v>
      </c>
      <c r="AL84" s="129" t="b">
        <v>0</v>
      </c>
      <c r="AM84" s="128" t="b">
        <v>1</v>
      </c>
      <c r="AN84" s="131" t="s">
        <v>1469</v>
      </c>
      <c r="AO84" s="127">
        <v>1E-4</v>
      </c>
      <c r="AP84" s="128" t="b">
        <v>1</v>
      </c>
      <c r="AQ84" s="127">
        <v>1E-3</v>
      </c>
      <c r="AR84" s="150">
        <v>8</v>
      </c>
      <c r="AS84" s="150">
        <v>17</v>
      </c>
      <c r="AT84" s="150">
        <v>9</v>
      </c>
      <c r="AU84" s="128" t="b">
        <v>1</v>
      </c>
      <c r="AV84" s="124">
        <v>3</v>
      </c>
      <c r="AW84" s="146">
        <v>5</v>
      </c>
      <c r="AX84" s="124">
        <v>1</v>
      </c>
      <c r="AY84" s="128" t="b">
        <v>1</v>
      </c>
      <c r="AZ84" s="122" t="s">
        <v>1576</v>
      </c>
      <c r="BA84" s="122">
        <v>4</v>
      </c>
      <c r="BB84" s="153">
        <v>0.02</v>
      </c>
      <c r="BC84" s="153">
        <v>0.2</v>
      </c>
      <c r="BD84" s="129" t="b">
        <v>0</v>
      </c>
      <c r="BE84" s="122" t="s">
        <v>1873</v>
      </c>
      <c r="BF84" s="128" t="b">
        <v>1</v>
      </c>
      <c r="BG84" s="122" t="s">
        <v>1578</v>
      </c>
      <c r="BH84" s="122">
        <v>0.01</v>
      </c>
      <c r="BI84" s="156" t="s">
        <v>403</v>
      </c>
      <c r="BJ84" s="128" t="b">
        <v>1</v>
      </c>
      <c r="BK84" s="157">
        <v>2</v>
      </c>
      <c r="BL84" s="128" t="b">
        <v>1</v>
      </c>
      <c r="BM84" s="156" t="s">
        <v>412</v>
      </c>
      <c r="BN84" s="129" t="b">
        <v>0</v>
      </c>
      <c r="BO84" s="156" t="s">
        <v>1382</v>
      </c>
      <c r="BP84" s="157"/>
      <c r="BQ84" s="157"/>
      <c r="BR84" s="166" t="str">
        <f t="shared" si="97"/>
        <v>5/ 13/ 34/ 89</v>
      </c>
      <c r="BS84" s="166" t="str">
        <f t="shared" si="110"/>
        <v>8 / 17 / 9</v>
      </c>
      <c r="BT84" s="166" t="str">
        <f t="shared" si="111"/>
        <v>0.02 / 0.2</v>
      </c>
      <c r="BU84" s="66">
        <v>242</v>
      </c>
      <c r="BV84" s="66">
        <v>147</v>
      </c>
      <c r="BW84" s="66">
        <v>141</v>
      </c>
      <c r="BX84" s="99">
        <f t="shared" si="112"/>
        <v>6</v>
      </c>
      <c r="BY84" s="66">
        <v>9</v>
      </c>
      <c r="BZ84" s="92">
        <f t="shared" si="116"/>
        <v>86</v>
      </c>
      <c r="CA84" s="204">
        <f>IF(BU84=0,0,BV84/BU84)</f>
        <v>0.6074380165289256</v>
      </c>
      <c r="CB84" s="205">
        <f>IF(BU84=0,0,BY84/BU84)</f>
        <v>3.71900826446281E-2</v>
      </c>
      <c r="CC84" s="87">
        <v>11.26</v>
      </c>
      <c r="CD84" s="66">
        <v>9.3699999999999992</v>
      </c>
      <c r="CE84" s="87">
        <v>0.55000000000000004</v>
      </c>
      <c r="CF84" s="170">
        <f t="shared" si="113"/>
        <v>2</v>
      </c>
      <c r="CG84" s="87">
        <v>0.45</v>
      </c>
      <c r="CH84" s="66">
        <v>0.33</v>
      </c>
      <c r="CI84" s="93">
        <v>2847.2</v>
      </c>
      <c r="CJ84" s="93"/>
      <c r="CK84" s="93"/>
      <c r="CL84" s="87">
        <v>-2</v>
      </c>
      <c r="CM84" s="66">
        <v>1000</v>
      </c>
      <c r="CN84" s="93">
        <v>2266.46</v>
      </c>
      <c r="CO84" s="108">
        <f t="shared" si="114"/>
        <v>3266.46</v>
      </c>
      <c r="CP84" s="108">
        <f t="shared" si="115"/>
        <v>226.64600000000002</v>
      </c>
    </row>
    <row r="85" spans="2:94" hidden="1" outlineLevel="1" x14ac:dyDescent="0.2">
      <c r="B85" s="72" t="s">
        <v>1538</v>
      </c>
      <c r="C85" s="57" t="s">
        <v>1387</v>
      </c>
      <c r="D85" s="57" t="s">
        <v>1440</v>
      </c>
      <c r="E85" s="65" t="s">
        <v>1389</v>
      </c>
      <c r="F85" s="57" t="s">
        <v>1454</v>
      </c>
      <c r="G85" s="62" t="s">
        <v>1556</v>
      </c>
      <c r="H85" s="128" t="b">
        <v>1</v>
      </c>
      <c r="I85" s="122" t="s">
        <v>1865</v>
      </c>
      <c r="N85" s="124">
        <v>21</v>
      </c>
      <c r="O85" s="124">
        <v>0.8</v>
      </c>
      <c r="P85" s="124">
        <v>5</v>
      </c>
      <c r="Q85" s="128" t="b">
        <v>1</v>
      </c>
      <c r="R85" s="127" t="s">
        <v>1559</v>
      </c>
      <c r="T85" s="126">
        <v>13</v>
      </c>
      <c r="U85" s="124">
        <v>1.4999999999999999E-2</v>
      </c>
      <c r="V85" s="126">
        <v>75</v>
      </c>
      <c r="W85" s="126">
        <v>-75</v>
      </c>
      <c r="X85" s="124">
        <v>50</v>
      </c>
      <c r="Y85" s="124">
        <v>5</v>
      </c>
      <c r="Z85" s="128" t="b">
        <v>1</v>
      </c>
      <c r="AA85" s="127" t="s">
        <v>1867</v>
      </c>
      <c r="AB85" s="122">
        <v>3</v>
      </c>
      <c r="AC85" s="146"/>
      <c r="AD85" s="147">
        <v>34</v>
      </c>
      <c r="AE85" s="124"/>
      <c r="AF85" s="124">
        <v>5.0000000000000001E-4</v>
      </c>
      <c r="AG85" s="135" t="b">
        <v>1</v>
      </c>
      <c r="AH85" s="125">
        <v>5</v>
      </c>
      <c r="AI85" s="125">
        <v>13</v>
      </c>
      <c r="AJ85" s="125">
        <v>34</v>
      </c>
      <c r="AK85" s="125">
        <v>89</v>
      </c>
      <c r="AL85" s="129" t="b">
        <v>0</v>
      </c>
      <c r="AM85" s="128" t="b">
        <v>1</v>
      </c>
      <c r="AN85" s="131" t="s">
        <v>1469</v>
      </c>
      <c r="AO85" s="127">
        <v>1E-4</v>
      </c>
      <c r="AP85" s="128" t="b">
        <v>1</v>
      </c>
      <c r="AQ85" s="127">
        <v>1E-3</v>
      </c>
      <c r="AR85" s="151">
        <v>12</v>
      </c>
      <c r="AS85" s="151">
        <v>26</v>
      </c>
      <c r="AT85" s="151">
        <v>9</v>
      </c>
      <c r="AU85" s="128" t="b">
        <v>1</v>
      </c>
      <c r="AV85" s="124">
        <v>3</v>
      </c>
      <c r="AW85" s="146">
        <v>5</v>
      </c>
      <c r="AX85" s="124">
        <v>1</v>
      </c>
      <c r="AY85" s="128" t="b">
        <v>1</v>
      </c>
      <c r="AZ85" s="122" t="s">
        <v>1576</v>
      </c>
      <c r="BA85" s="122">
        <v>4</v>
      </c>
      <c r="BB85" s="153">
        <v>0.02</v>
      </c>
      <c r="BC85" s="153">
        <v>0.2</v>
      </c>
      <c r="BD85" s="129" t="b">
        <v>0</v>
      </c>
      <c r="BE85" s="122" t="s">
        <v>1873</v>
      </c>
      <c r="BF85" s="128" t="b">
        <v>1</v>
      </c>
      <c r="BG85" s="122" t="s">
        <v>1578</v>
      </c>
      <c r="BH85" s="122">
        <v>0.01</v>
      </c>
      <c r="BI85" s="156" t="s">
        <v>403</v>
      </c>
      <c r="BJ85" s="128" t="b">
        <v>1</v>
      </c>
      <c r="BK85" s="157">
        <v>2</v>
      </c>
      <c r="BL85" s="128" t="b">
        <v>1</v>
      </c>
      <c r="BM85" s="156" t="s">
        <v>412</v>
      </c>
      <c r="BN85" s="129" t="b">
        <v>0</v>
      </c>
      <c r="BO85" s="156" t="s">
        <v>1382</v>
      </c>
      <c r="BP85" s="157"/>
      <c r="BQ85" s="157"/>
      <c r="BR85" s="166" t="str">
        <f t="shared" si="97"/>
        <v>5/ 13/ 34/ 89</v>
      </c>
      <c r="BS85" s="166" t="str">
        <f t="shared" si="110"/>
        <v>12 / 26 / 9</v>
      </c>
      <c r="BT85" s="166" t="str">
        <f t="shared" si="111"/>
        <v>0.02 / 0.2</v>
      </c>
      <c r="BU85" s="66">
        <v>221</v>
      </c>
      <c r="BV85" s="66">
        <v>137</v>
      </c>
      <c r="BW85" s="66">
        <v>130</v>
      </c>
      <c r="BX85" s="99">
        <f t="shared" si="112"/>
        <v>7</v>
      </c>
      <c r="BY85" s="66">
        <v>7</v>
      </c>
      <c r="BZ85" s="92">
        <f t="shared" si="116"/>
        <v>77</v>
      </c>
      <c r="CA85" s="204">
        <f t="shared" ref="CA85" si="119">IF(BU85=0,0,BV85/BU85)</f>
        <v>0.61990950226244346</v>
      </c>
      <c r="CB85" s="205">
        <f t="shared" ref="CB85" si="120">IF(BU85=0,0,BY85/BU85)</f>
        <v>3.1674208144796379E-2</v>
      </c>
      <c r="CC85" s="87">
        <v>16.97</v>
      </c>
      <c r="CD85" s="66">
        <v>11.19</v>
      </c>
      <c r="CE85" s="87">
        <v>0.59</v>
      </c>
      <c r="CF85" s="170">
        <f t="shared" si="113"/>
        <v>2</v>
      </c>
      <c r="CG85" s="87">
        <v>0.49</v>
      </c>
      <c r="CH85" s="66">
        <v>0.33</v>
      </c>
      <c r="CI85" s="93">
        <v>2928.2</v>
      </c>
      <c r="CJ85" s="93"/>
      <c r="CK85" s="93"/>
      <c r="CL85" s="87">
        <v>-1.99</v>
      </c>
      <c r="CM85" s="66">
        <v>1000</v>
      </c>
      <c r="CN85" s="93">
        <v>2472.96</v>
      </c>
      <c r="CO85" s="108">
        <f t="shared" si="114"/>
        <v>3472.96</v>
      </c>
      <c r="CP85" s="108">
        <f t="shared" si="115"/>
        <v>247.29599999999999</v>
      </c>
    </row>
    <row r="86" spans="2:94" hidden="1" outlineLevel="1" x14ac:dyDescent="0.2">
      <c r="B86" s="72" t="s">
        <v>1539</v>
      </c>
      <c r="C86" s="57" t="s">
        <v>1387</v>
      </c>
      <c r="D86" s="57" t="s">
        <v>1440</v>
      </c>
      <c r="E86" s="65" t="s">
        <v>1389</v>
      </c>
      <c r="F86" s="57" t="s">
        <v>1454</v>
      </c>
      <c r="G86" s="62" t="s">
        <v>1556</v>
      </c>
      <c r="H86" s="128" t="b">
        <v>1</v>
      </c>
      <c r="I86" s="122" t="s">
        <v>1865</v>
      </c>
      <c r="N86" s="124">
        <v>21</v>
      </c>
      <c r="O86" s="124">
        <v>0.8</v>
      </c>
      <c r="P86" s="124">
        <v>5</v>
      </c>
      <c r="Q86" s="128" t="b">
        <v>1</v>
      </c>
      <c r="R86" s="127" t="s">
        <v>1559</v>
      </c>
      <c r="T86" s="126">
        <v>13</v>
      </c>
      <c r="U86" s="124">
        <v>1.4999999999999999E-2</v>
      </c>
      <c r="V86" s="126">
        <v>75</v>
      </c>
      <c r="W86" s="126">
        <v>-75</v>
      </c>
      <c r="X86" s="124">
        <v>50</v>
      </c>
      <c r="Y86" s="124">
        <v>5</v>
      </c>
      <c r="Z86" s="128" t="b">
        <v>1</v>
      </c>
      <c r="AA86" s="127" t="s">
        <v>1867</v>
      </c>
      <c r="AB86" s="122">
        <v>3</v>
      </c>
      <c r="AC86" s="146"/>
      <c r="AD86" s="147">
        <v>34</v>
      </c>
      <c r="AE86" s="124"/>
      <c r="AF86" s="124">
        <v>5.0000000000000001E-4</v>
      </c>
      <c r="AG86" s="135" t="b">
        <v>1</v>
      </c>
      <c r="AH86" s="125">
        <v>5</v>
      </c>
      <c r="AI86" s="125">
        <v>13</v>
      </c>
      <c r="AJ86" s="125">
        <v>34</v>
      </c>
      <c r="AK86" s="125">
        <v>89</v>
      </c>
      <c r="AL86" s="129" t="b">
        <v>0</v>
      </c>
      <c r="AM86" s="128" t="b">
        <v>1</v>
      </c>
      <c r="AN86" s="131" t="s">
        <v>1469</v>
      </c>
      <c r="AO86" s="127">
        <v>1E-4</v>
      </c>
      <c r="AP86" s="128" t="b">
        <v>1</v>
      </c>
      <c r="AQ86" s="127">
        <v>1E-3</v>
      </c>
      <c r="AR86" s="137">
        <v>21</v>
      </c>
      <c r="AS86" s="137">
        <v>34</v>
      </c>
      <c r="AT86" s="137">
        <v>9</v>
      </c>
      <c r="AU86" s="128" t="b">
        <v>1</v>
      </c>
      <c r="AV86" s="124">
        <v>3</v>
      </c>
      <c r="AW86" s="146">
        <v>5</v>
      </c>
      <c r="AX86" s="124">
        <v>1</v>
      </c>
      <c r="AY86" s="128" t="b">
        <v>1</v>
      </c>
      <c r="AZ86" s="122" t="s">
        <v>1576</v>
      </c>
      <c r="BA86" s="122">
        <v>4</v>
      </c>
      <c r="BB86" s="153">
        <v>0.02</v>
      </c>
      <c r="BC86" s="153">
        <v>0.2</v>
      </c>
      <c r="BD86" s="129" t="b">
        <v>0</v>
      </c>
      <c r="BE86" s="122" t="s">
        <v>1873</v>
      </c>
      <c r="BF86" s="128" t="b">
        <v>1</v>
      </c>
      <c r="BG86" s="122" t="s">
        <v>1578</v>
      </c>
      <c r="BH86" s="122">
        <v>0.01</v>
      </c>
      <c r="BI86" s="156" t="s">
        <v>403</v>
      </c>
      <c r="BJ86" s="128" t="b">
        <v>1</v>
      </c>
      <c r="BK86" s="157">
        <v>2</v>
      </c>
      <c r="BL86" s="128" t="b">
        <v>1</v>
      </c>
      <c r="BM86" s="156" t="s">
        <v>412</v>
      </c>
      <c r="BN86" s="129" t="b">
        <v>0</v>
      </c>
      <c r="BO86" s="156" t="s">
        <v>1382</v>
      </c>
      <c r="BP86" s="157"/>
      <c r="BQ86" s="157"/>
      <c r="BR86" s="166" t="str">
        <f t="shared" si="97"/>
        <v>5/ 13/ 34/ 89</v>
      </c>
      <c r="BS86" s="166" t="str">
        <f t="shared" si="110"/>
        <v>21 / 34 / 9</v>
      </c>
      <c r="BT86" s="166" t="str">
        <f t="shared" si="111"/>
        <v>0.02 / 0.2</v>
      </c>
      <c r="BU86" s="66">
        <v>172</v>
      </c>
      <c r="BV86" s="66">
        <v>103</v>
      </c>
      <c r="BW86" s="66">
        <v>98</v>
      </c>
      <c r="BX86" s="99">
        <f t="shared" si="112"/>
        <v>5</v>
      </c>
      <c r="BY86" s="66">
        <v>3</v>
      </c>
      <c r="BZ86" s="92">
        <f t="shared" si="116"/>
        <v>66</v>
      </c>
      <c r="CA86" s="204">
        <f>IF(BU86=0,0,BV86/BU86)</f>
        <v>0.59883720930232553</v>
      </c>
      <c r="CB86" s="205">
        <f>IF(BU86=0,0,BY86/BU86)</f>
        <v>1.7441860465116279E-2</v>
      </c>
      <c r="CC86" s="94">
        <v>44.09</v>
      </c>
      <c r="CD86" s="66">
        <v>9.35</v>
      </c>
      <c r="CE86" s="87">
        <v>0.61</v>
      </c>
      <c r="CF86" s="170">
        <f t="shared" si="113"/>
        <v>2</v>
      </c>
      <c r="CG86" s="87">
        <v>0.48</v>
      </c>
      <c r="CH86" s="66">
        <v>0.32</v>
      </c>
      <c r="CI86" s="93">
        <v>2291</v>
      </c>
      <c r="CJ86" s="93"/>
      <c r="CK86" s="93"/>
      <c r="CL86" s="87">
        <v>-1.29</v>
      </c>
      <c r="CM86" s="66">
        <v>1000</v>
      </c>
      <c r="CN86" s="101">
        <v>1608.92</v>
      </c>
      <c r="CO86" s="109">
        <f t="shared" si="114"/>
        <v>2608.92</v>
      </c>
      <c r="CP86" s="109">
        <f t="shared" si="115"/>
        <v>160.892</v>
      </c>
    </row>
    <row r="87" spans="2:94" hidden="1" outlineLevel="1" x14ac:dyDescent="0.2">
      <c r="G87" s="62"/>
      <c r="AC87" s="124"/>
      <c r="AD87" s="124"/>
      <c r="AE87" s="124"/>
      <c r="AH87" s="125"/>
      <c r="AI87" s="125"/>
      <c r="AJ87" s="125"/>
      <c r="AK87" s="125"/>
      <c r="AO87" s="127"/>
      <c r="AR87" s="124"/>
      <c r="AS87" s="124"/>
      <c r="AT87" s="124"/>
      <c r="BB87" s="124"/>
      <c r="BC87" s="124"/>
      <c r="BK87" s="154"/>
      <c r="BP87" s="154"/>
      <c r="BQ87" s="154"/>
      <c r="BS87" s="167"/>
      <c r="BT87" s="167"/>
      <c r="BU87" s="85"/>
      <c r="BV87" s="85"/>
      <c r="BW87" s="85"/>
      <c r="BX87" s="100"/>
      <c r="BY87" s="85"/>
      <c r="BZ87" s="86"/>
      <c r="CA87" s="85"/>
      <c r="CB87" s="95"/>
      <c r="CC87" s="85"/>
      <c r="CD87" s="85"/>
      <c r="CE87" s="85"/>
      <c r="CF87" s="107"/>
      <c r="CG87" s="85"/>
      <c r="CH87" s="85"/>
      <c r="CI87" s="85"/>
      <c r="CJ87" s="85"/>
      <c r="CK87" s="85"/>
      <c r="CL87" s="85"/>
      <c r="CM87" s="84"/>
      <c r="CN87" s="85"/>
      <c r="CO87" s="107"/>
      <c r="CP87" s="107"/>
    </row>
    <row r="88" spans="2:94" collapsed="1" x14ac:dyDescent="0.2">
      <c r="B88" s="72" t="s">
        <v>1540</v>
      </c>
      <c r="C88" s="57" t="s">
        <v>1387</v>
      </c>
      <c r="D88" s="57" t="s">
        <v>1440</v>
      </c>
      <c r="E88" s="65" t="s">
        <v>1389</v>
      </c>
      <c r="F88" s="57" t="s">
        <v>1454</v>
      </c>
      <c r="G88" s="62" t="s">
        <v>1556</v>
      </c>
      <c r="H88" s="128" t="b">
        <v>1</v>
      </c>
      <c r="I88" s="122" t="s">
        <v>1865</v>
      </c>
      <c r="N88" s="124">
        <v>21</v>
      </c>
      <c r="O88" s="124">
        <v>0.8</v>
      </c>
      <c r="P88" s="124">
        <v>5</v>
      </c>
      <c r="Q88" s="128" t="b">
        <v>1</v>
      </c>
      <c r="R88" s="127" t="s">
        <v>1559</v>
      </c>
      <c r="T88" s="126">
        <v>13</v>
      </c>
      <c r="U88" s="124">
        <v>1.4999999999999999E-2</v>
      </c>
      <c r="V88" s="126">
        <v>75</v>
      </c>
      <c r="W88" s="126">
        <v>-75</v>
      </c>
      <c r="X88" s="124">
        <v>50</v>
      </c>
      <c r="Y88" s="124">
        <v>5</v>
      </c>
      <c r="Z88" s="128" t="b">
        <v>1</v>
      </c>
      <c r="AA88" s="127" t="s">
        <v>1867</v>
      </c>
      <c r="AB88" s="122">
        <v>3</v>
      </c>
      <c r="AC88" s="146"/>
      <c r="AD88" s="147">
        <v>34</v>
      </c>
      <c r="AE88" s="124"/>
      <c r="AF88" s="124">
        <v>5.0000000000000001E-4</v>
      </c>
      <c r="AG88" s="135" t="b">
        <v>1</v>
      </c>
      <c r="AH88" s="125">
        <v>5</v>
      </c>
      <c r="AI88" s="125">
        <v>13</v>
      </c>
      <c r="AJ88" s="125">
        <v>34</v>
      </c>
      <c r="AK88" s="125">
        <v>89</v>
      </c>
      <c r="AL88" s="129" t="b">
        <v>0</v>
      </c>
      <c r="AM88" s="128" t="b">
        <v>1</v>
      </c>
      <c r="AN88" s="131" t="s">
        <v>1469</v>
      </c>
      <c r="AO88" s="127">
        <v>1E-4</v>
      </c>
      <c r="AP88" s="128" t="b">
        <v>1</v>
      </c>
      <c r="AQ88" s="131">
        <v>0.01</v>
      </c>
      <c r="AR88" s="126">
        <v>5</v>
      </c>
      <c r="AS88" s="126">
        <v>8</v>
      </c>
      <c r="AT88" s="126">
        <v>5</v>
      </c>
      <c r="AU88" s="128" t="b">
        <v>1</v>
      </c>
      <c r="AV88" s="124">
        <v>3</v>
      </c>
      <c r="AW88" s="146">
        <v>5</v>
      </c>
      <c r="AX88" s="124">
        <v>1</v>
      </c>
      <c r="AY88" s="128" t="b">
        <v>1</v>
      </c>
      <c r="AZ88" s="122" t="s">
        <v>1576</v>
      </c>
      <c r="BA88" s="122">
        <v>4</v>
      </c>
      <c r="BB88" s="126">
        <v>0.05</v>
      </c>
      <c r="BC88" s="126">
        <v>0.5</v>
      </c>
      <c r="BD88" s="129" t="b">
        <v>0</v>
      </c>
      <c r="BE88" s="122" t="s">
        <v>1873</v>
      </c>
      <c r="BF88" s="128" t="b">
        <v>1</v>
      </c>
      <c r="BG88" s="122" t="s">
        <v>1578</v>
      </c>
      <c r="BH88" s="122">
        <v>0.01</v>
      </c>
      <c r="BI88" s="156" t="s">
        <v>403</v>
      </c>
      <c r="BJ88" s="128" t="b">
        <v>1</v>
      </c>
      <c r="BK88" s="157">
        <v>2</v>
      </c>
      <c r="BL88" s="128" t="b">
        <v>1</v>
      </c>
      <c r="BM88" s="156" t="s">
        <v>412</v>
      </c>
      <c r="BN88" s="129" t="b">
        <v>0</v>
      </c>
      <c r="BO88" s="156" t="s">
        <v>1382</v>
      </c>
      <c r="BP88" s="157"/>
      <c r="BQ88" s="157"/>
      <c r="BR88" s="166" t="str">
        <f t="shared" ref="BR88" si="121">AH88&amp;"/ "&amp;AI88&amp;"/ "&amp;AJ88&amp;"/ "&amp;AK88</f>
        <v>5/ 13/ 34/ 89</v>
      </c>
      <c r="BS88" s="166" t="str">
        <f t="shared" ref="BS88:BS94" si="122">AR88&amp;" / "&amp;AS88&amp;" / "&amp;AT88</f>
        <v>5 / 8 / 5</v>
      </c>
      <c r="BT88" s="166" t="str">
        <f t="shared" ref="BT88:BT94" si="123">BB88&amp;" / "&amp;BC88</f>
        <v>0.05 / 0.5</v>
      </c>
      <c r="BU88" s="66">
        <v>95</v>
      </c>
      <c r="BV88" s="66">
        <v>60</v>
      </c>
      <c r="BW88" s="66">
        <v>50</v>
      </c>
      <c r="BX88" s="99">
        <f t="shared" ref="BX88:BX94" si="124">BV88-BW88</f>
        <v>10</v>
      </c>
      <c r="BY88" s="66">
        <v>2</v>
      </c>
      <c r="BZ88" s="92">
        <f>BU88-SUM(BW88:BY88)</f>
        <v>33</v>
      </c>
      <c r="CA88" s="204">
        <f>IF(BU88=0,0,BV88/BU88)</f>
        <v>0.63157894736842102</v>
      </c>
      <c r="CB88" s="205">
        <f>IF(BU88=0,0,BY88/BU88)</f>
        <v>2.1052631578947368E-2</v>
      </c>
      <c r="CC88" s="87">
        <v>22.52</v>
      </c>
      <c r="CD88" s="87">
        <v>11.44</v>
      </c>
      <c r="CE88" s="87">
        <v>0.66</v>
      </c>
      <c r="CF88" s="170">
        <f t="shared" ref="CF88:CF94" si="125">BK88</f>
        <v>2</v>
      </c>
      <c r="CG88" s="87">
        <v>0.65</v>
      </c>
      <c r="CH88" s="87">
        <v>0.43</v>
      </c>
      <c r="CI88" s="93">
        <v>1668.4</v>
      </c>
      <c r="CJ88" s="93"/>
      <c r="CK88" s="93"/>
      <c r="CL88" s="87">
        <v>-2</v>
      </c>
      <c r="CM88" s="66">
        <v>1000</v>
      </c>
      <c r="CN88" s="93">
        <v>1086.46</v>
      </c>
      <c r="CO88" s="108">
        <f t="shared" ref="CO88:CO94" si="126">CM88+CN88</f>
        <v>2086.46</v>
      </c>
      <c r="CP88" s="108">
        <f t="shared" ref="CP88:CP94" si="127">CN88/10</f>
        <v>108.646</v>
      </c>
    </row>
    <row r="89" spans="2:94" hidden="1" outlineLevel="1" x14ac:dyDescent="0.2">
      <c r="B89" s="72" t="s">
        <v>1541</v>
      </c>
      <c r="C89" s="57" t="s">
        <v>1387</v>
      </c>
      <c r="D89" s="57" t="s">
        <v>1440</v>
      </c>
      <c r="E89" s="65" t="s">
        <v>1389</v>
      </c>
      <c r="F89" s="57" t="s">
        <v>1454</v>
      </c>
      <c r="G89" s="62" t="s">
        <v>1556</v>
      </c>
      <c r="H89" s="128" t="b">
        <v>1</v>
      </c>
      <c r="I89" s="122" t="s">
        <v>1865</v>
      </c>
      <c r="N89" s="124">
        <v>21</v>
      </c>
      <c r="O89" s="124">
        <v>0.8</v>
      </c>
      <c r="P89" s="124">
        <v>5</v>
      </c>
      <c r="Q89" s="128" t="b">
        <v>1</v>
      </c>
      <c r="R89" s="127" t="s">
        <v>1559</v>
      </c>
      <c r="T89" s="126">
        <v>13</v>
      </c>
      <c r="U89" s="124">
        <v>1.4999999999999999E-2</v>
      </c>
      <c r="V89" s="126">
        <v>75</v>
      </c>
      <c r="W89" s="126">
        <v>-75</v>
      </c>
      <c r="X89" s="124">
        <v>50</v>
      </c>
      <c r="Y89" s="124">
        <v>5</v>
      </c>
      <c r="Z89" s="128" t="b">
        <v>1</v>
      </c>
      <c r="AA89" s="127" t="s">
        <v>1867</v>
      </c>
      <c r="AB89" s="122">
        <v>3</v>
      </c>
      <c r="AC89" s="146"/>
      <c r="AD89" s="147">
        <v>34</v>
      </c>
      <c r="AE89" s="124"/>
      <c r="AF89" s="124">
        <v>5.0000000000000001E-4</v>
      </c>
      <c r="AG89" s="135" t="b">
        <v>1</v>
      </c>
      <c r="AH89" s="125">
        <v>5</v>
      </c>
      <c r="AI89" s="125">
        <v>13</v>
      </c>
      <c r="AJ89" s="125">
        <v>34</v>
      </c>
      <c r="AK89" s="125">
        <v>89</v>
      </c>
      <c r="AL89" s="129" t="b">
        <v>0</v>
      </c>
      <c r="AM89" s="128" t="b">
        <v>1</v>
      </c>
      <c r="AN89" s="131" t="s">
        <v>1469</v>
      </c>
      <c r="AO89" s="127">
        <v>1E-4</v>
      </c>
      <c r="AP89" s="128" t="b">
        <v>1</v>
      </c>
      <c r="AQ89" s="131">
        <v>0.01</v>
      </c>
      <c r="AR89" s="137">
        <v>5</v>
      </c>
      <c r="AS89" s="137">
        <v>13</v>
      </c>
      <c r="AT89" s="137">
        <v>5</v>
      </c>
      <c r="AU89" s="128" t="b">
        <v>1</v>
      </c>
      <c r="AV89" s="124">
        <v>3</v>
      </c>
      <c r="AW89" s="146">
        <v>5</v>
      </c>
      <c r="AX89" s="124">
        <v>1</v>
      </c>
      <c r="AY89" s="128" t="b">
        <v>1</v>
      </c>
      <c r="AZ89" s="122" t="s">
        <v>1576</v>
      </c>
      <c r="BA89" s="122">
        <v>4</v>
      </c>
      <c r="BB89" s="126">
        <v>0.05</v>
      </c>
      <c r="BC89" s="126">
        <v>0.5</v>
      </c>
      <c r="BD89" s="129" t="b">
        <v>0</v>
      </c>
      <c r="BE89" s="122" t="s">
        <v>1873</v>
      </c>
      <c r="BF89" s="128" t="b">
        <v>1</v>
      </c>
      <c r="BG89" s="122" t="s">
        <v>1578</v>
      </c>
      <c r="BH89" s="122">
        <v>0.01</v>
      </c>
      <c r="BI89" s="156" t="s">
        <v>403</v>
      </c>
      <c r="BJ89" s="128" t="b">
        <v>1</v>
      </c>
      <c r="BK89" s="157">
        <v>2</v>
      </c>
      <c r="BL89" s="128" t="b">
        <v>1</v>
      </c>
      <c r="BM89" s="156" t="s">
        <v>412</v>
      </c>
      <c r="BN89" s="129" t="b">
        <v>0</v>
      </c>
      <c r="BO89" s="156" t="s">
        <v>1382</v>
      </c>
      <c r="BP89" s="157"/>
      <c r="BQ89" s="157"/>
      <c r="BR89" s="166" t="str">
        <f t="shared" si="97"/>
        <v>5/ 13/ 34/ 89</v>
      </c>
      <c r="BS89" s="166" t="str">
        <f t="shared" si="122"/>
        <v>5 / 13 / 5</v>
      </c>
      <c r="BT89" s="166" t="str">
        <f t="shared" si="123"/>
        <v>0.05 / 0.5</v>
      </c>
      <c r="BU89" s="66">
        <v>177</v>
      </c>
      <c r="BV89" s="66">
        <v>113</v>
      </c>
      <c r="BW89" s="66">
        <v>102</v>
      </c>
      <c r="BX89" s="99">
        <f t="shared" si="124"/>
        <v>11</v>
      </c>
      <c r="BY89" s="66">
        <v>6</v>
      </c>
      <c r="BZ89" s="92">
        <f t="shared" ref="BZ89:BZ94" si="128">BU89-SUM(BW89:BY89)</f>
        <v>58</v>
      </c>
      <c r="CA89" s="204">
        <f t="shared" ref="CA89:CA90" si="129">IF(BU89=0,0,BV89/BU89)</f>
        <v>0.6384180790960452</v>
      </c>
      <c r="CB89" s="205">
        <f t="shared" ref="CB89:CB90" si="130">IF(BU89=0,0,BY89/BU89)</f>
        <v>3.3898305084745763E-2</v>
      </c>
      <c r="CC89" s="87">
        <v>15.05</v>
      </c>
      <c r="CD89" s="66">
        <v>14.45</v>
      </c>
      <c r="CE89" s="87">
        <v>0.63</v>
      </c>
      <c r="CF89" s="170">
        <f t="shared" si="125"/>
        <v>2</v>
      </c>
      <c r="CG89" s="87">
        <v>0.61</v>
      </c>
      <c r="CH89" s="87">
        <v>0.47</v>
      </c>
      <c r="CI89" s="93">
        <v>2595.6</v>
      </c>
      <c r="CJ89" s="93"/>
      <c r="CK89" s="93"/>
      <c r="CL89" s="87">
        <v>-1.99</v>
      </c>
      <c r="CM89" s="66">
        <v>1000</v>
      </c>
      <c r="CN89" s="93">
        <v>2557.1799999999998</v>
      </c>
      <c r="CO89" s="108">
        <f t="shared" si="126"/>
        <v>3557.18</v>
      </c>
      <c r="CP89" s="108">
        <f t="shared" si="127"/>
        <v>255.71799999999999</v>
      </c>
    </row>
    <row r="90" spans="2:94" hidden="1" outlineLevel="1" x14ac:dyDescent="0.2">
      <c r="B90" s="72" t="s">
        <v>1542</v>
      </c>
      <c r="C90" s="57" t="s">
        <v>1387</v>
      </c>
      <c r="D90" s="57" t="s">
        <v>1440</v>
      </c>
      <c r="E90" s="65" t="s">
        <v>1389</v>
      </c>
      <c r="F90" s="57" t="s">
        <v>1454</v>
      </c>
      <c r="G90" s="62" t="s">
        <v>1556</v>
      </c>
      <c r="H90" s="128" t="b">
        <v>1</v>
      </c>
      <c r="I90" s="122" t="s">
        <v>1865</v>
      </c>
      <c r="N90" s="124">
        <v>21</v>
      </c>
      <c r="O90" s="124">
        <v>0.8</v>
      </c>
      <c r="P90" s="124">
        <v>5</v>
      </c>
      <c r="Q90" s="128" t="b">
        <v>1</v>
      </c>
      <c r="R90" s="127" t="s">
        <v>1559</v>
      </c>
      <c r="T90" s="126">
        <v>13</v>
      </c>
      <c r="U90" s="124">
        <v>1.4999999999999999E-2</v>
      </c>
      <c r="V90" s="126">
        <v>75</v>
      </c>
      <c r="W90" s="126">
        <v>-75</v>
      </c>
      <c r="X90" s="124">
        <v>50</v>
      </c>
      <c r="Y90" s="124">
        <v>5</v>
      </c>
      <c r="Z90" s="128" t="b">
        <v>1</v>
      </c>
      <c r="AA90" s="127" t="s">
        <v>1867</v>
      </c>
      <c r="AB90" s="122">
        <v>3</v>
      </c>
      <c r="AC90" s="146"/>
      <c r="AD90" s="147">
        <v>34</v>
      </c>
      <c r="AE90" s="124"/>
      <c r="AF90" s="124">
        <v>5.0000000000000001E-4</v>
      </c>
      <c r="AG90" s="135" t="b">
        <v>1</v>
      </c>
      <c r="AH90" s="125">
        <v>5</v>
      </c>
      <c r="AI90" s="125">
        <v>13</v>
      </c>
      <c r="AJ90" s="125">
        <v>34</v>
      </c>
      <c r="AK90" s="125">
        <v>89</v>
      </c>
      <c r="AL90" s="129" t="b">
        <v>0</v>
      </c>
      <c r="AM90" s="128" t="b">
        <v>1</v>
      </c>
      <c r="AN90" s="131" t="s">
        <v>1469</v>
      </c>
      <c r="AO90" s="127">
        <v>1E-4</v>
      </c>
      <c r="AP90" s="128" t="b">
        <v>1</v>
      </c>
      <c r="AQ90" s="131">
        <v>0.01</v>
      </c>
      <c r="AR90" s="135">
        <v>5</v>
      </c>
      <c r="AS90" s="135">
        <v>13</v>
      </c>
      <c r="AT90" s="135">
        <v>8</v>
      </c>
      <c r="AU90" s="128" t="b">
        <v>1</v>
      </c>
      <c r="AV90" s="124">
        <v>3</v>
      </c>
      <c r="AW90" s="146">
        <v>5</v>
      </c>
      <c r="AX90" s="124">
        <v>1</v>
      </c>
      <c r="AY90" s="128" t="b">
        <v>1</v>
      </c>
      <c r="AZ90" s="122" t="s">
        <v>1576</v>
      </c>
      <c r="BA90" s="122">
        <v>4</v>
      </c>
      <c r="BB90" s="126">
        <v>0.05</v>
      </c>
      <c r="BC90" s="126">
        <v>0.5</v>
      </c>
      <c r="BD90" s="129" t="b">
        <v>0</v>
      </c>
      <c r="BE90" s="122" t="s">
        <v>1873</v>
      </c>
      <c r="BF90" s="128" t="b">
        <v>1</v>
      </c>
      <c r="BG90" s="122" t="s">
        <v>1578</v>
      </c>
      <c r="BH90" s="122">
        <v>0.01</v>
      </c>
      <c r="BI90" s="156" t="s">
        <v>403</v>
      </c>
      <c r="BJ90" s="128" t="b">
        <v>1</v>
      </c>
      <c r="BK90" s="157">
        <v>2</v>
      </c>
      <c r="BL90" s="128" t="b">
        <v>1</v>
      </c>
      <c r="BM90" s="156" t="s">
        <v>412</v>
      </c>
      <c r="BN90" s="129" t="b">
        <v>0</v>
      </c>
      <c r="BO90" s="156" t="s">
        <v>1382</v>
      </c>
      <c r="BP90" s="157"/>
      <c r="BQ90" s="157"/>
      <c r="BR90" s="166" t="str">
        <f t="shared" si="97"/>
        <v>5/ 13/ 34/ 89</v>
      </c>
      <c r="BS90" s="166" t="str">
        <f t="shared" si="122"/>
        <v>5 / 13 / 8</v>
      </c>
      <c r="BT90" s="166" t="str">
        <f t="shared" si="123"/>
        <v>0.05 / 0.5</v>
      </c>
      <c r="BU90" s="66">
        <v>203</v>
      </c>
      <c r="BV90" s="66">
        <v>129</v>
      </c>
      <c r="BW90" s="66">
        <v>117</v>
      </c>
      <c r="BX90" s="99">
        <f t="shared" si="124"/>
        <v>12</v>
      </c>
      <c r="BY90" s="66">
        <v>9</v>
      </c>
      <c r="BZ90" s="92">
        <f t="shared" si="128"/>
        <v>65</v>
      </c>
      <c r="CA90" s="204">
        <f t="shared" si="129"/>
        <v>0.6354679802955665</v>
      </c>
      <c r="CB90" s="205">
        <f t="shared" si="130"/>
        <v>4.4334975369458129E-2</v>
      </c>
      <c r="CC90" s="87">
        <v>11.23</v>
      </c>
      <c r="CD90" s="66">
        <v>15.71</v>
      </c>
      <c r="CE90" s="87">
        <v>0.6</v>
      </c>
      <c r="CF90" s="170">
        <f t="shared" si="125"/>
        <v>2</v>
      </c>
      <c r="CG90" s="87">
        <v>0.62</v>
      </c>
      <c r="CH90" s="87">
        <v>0.48</v>
      </c>
      <c r="CI90" s="93">
        <v>2810.7</v>
      </c>
      <c r="CJ90" s="93"/>
      <c r="CK90" s="93"/>
      <c r="CL90" s="87">
        <v>-2</v>
      </c>
      <c r="CM90" s="66">
        <v>1000</v>
      </c>
      <c r="CN90" s="93">
        <v>3189.97</v>
      </c>
      <c r="CO90" s="108">
        <f t="shared" si="126"/>
        <v>4189.9699999999993</v>
      </c>
      <c r="CP90" s="108">
        <f t="shared" si="127"/>
        <v>318.99699999999996</v>
      </c>
    </row>
    <row r="91" spans="2:94" hidden="1" outlineLevel="1" x14ac:dyDescent="0.2">
      <c r="B91" s="72" t="s">
        <v>1543</v>
      </c>
      <c r="C91" s="57" t="s">
        <v>1387</v>
      </c>
      <c r="D91" s="57" t="s">
        <v>1440</v>
      </c>
      <c r="E91" s="65" t="s">
        <v>1389</v>
      </c>
      <c r="F91" s="57" t="s">
        <v>1454</v>
      </c>
      <c r="G91" s="62" t="s">
        <v>1556</v>
      </c>
      <c r="H91" s="128" t="b">
        <v>1</v>
      </c>
      <c r="I91" s="122" t="s">
        <v>1865</v>
      </c>
      <c r="N91" s="124">
        <v>21</v>
      </c>
      <c r="O91" s="124">
        <v>0.8</v>
      </c>
      <c r="P91" s="124">
        <v>5</v>
      </c>
      <c r="Q91" s="128" t="b">
        <v>1</v>
      </c>
      <c r="R91" s="127" t="s">
        <v>1559</v>
      </c>
      <c r="T91" s="126">
        <v>13</v>
      </c>
      <c r="U91" s="124">
        <v>1.4999999999999999E-2</v>
      </c>
      <c r="V91" s="126">
        <v>75</v>
      </c>
      <c r="W91" s="126">
        <v>-75</v>
      </c>
      <c r="X91" s="124">
        <v>50</v>
      </c>
      <c r="Y91" s="124">
        <v>5</v>
      </c>
      <c r="Z91" s="128" t="b">
        <v>1</v>
      </c>
      <c r="AA91" s="127" t="s">
        <v>1867</v>
      </c>
      <c r="AB91" s="122">
        <v>3</v>
      </c>
      <c r="AC91" s="146"/>
      <c r="AD91" s="147">
        <v>34</v>
      </c>
      <c r="AE91" s="124"/>
      <c r="AF91" s="124">
        <v>5.0000000000000001E-4</v>
      </c>
      <c r="AG91" s="135" t="b">
        <v>1</v>
      </c>
      <c r="AH91" s="125">
        <v>5</v>
      </c>
      <c r="AI91" s="125">
        <v>13</v>
      </c>
      <c r="AJ91" s="125">
        <v>34</v>
      </c>
      <c r="AK91" s="125">
        <v>89</v>
      </c>
      <c r="AL91" s="129" t="b">
        <v>0</v>
      </c>
      <c r="AM91" s="128" t="b">
        <v>1</v>
      </c>
      <c r="AN91" s="131" t="s">
        <v>1469</v>
      </c>
      <c r="AO91" s="127">
        <v>1E-4</v>
      </c>
      <c r="AP91" s="128" t="b">
        <v>1</v>
      </c>
      <c r="AQ91" s="131">
        <v>0.01</v>
      </c>
      <c r="AR91" s="149">
        <v>8</v>
      </c>
      <c r="AS91" s="149">
        <v>13</v>
      </c>
      <c r="AT91" s="149">
        <v>8</v>
      </c>
      <c r="AU91" s="128" t="b">
        <v>1</v>
      </c>
      <c r="AV91" s="124">
        <v>3</v>
      </c>
      <c r="AW91" s="146">
        <v>5</v>
      </c>
      <c r="AX91" s="124">
        <v>1</v>
      </c>
      <c r="AY91" s="128" t="b">
        <v>1</v>
      </c>
      <c r="AZ91" s="122" t="s">
        <v>1576</v>
      </c>
      <c r="BA91" s="122">
        <v>4</v>
      </c>
      <c r="BB91" s="126">
        <v>0.05</v>
      </c>
      <c r="BC91" s="126">
        <v>0.5</v>
      </c>
      <c r="BD91" s="129" t="b">
        <v>0</v>
      </c>
      <c r="BE91" s="122" t="s">
        <v>1873</v>
      </c>
      <c r="BF91" s="128" t="b">
        <v>1</v>
      </c>
      <c r="BG91" s="122" t="s">
        <v>1578</v>
      </c>
      <c r="BH91" s="122">
        <v>0.01</v>
      </c>
      <c r="BI91" s="156" t="s">
        <v>403</v>
      </c>
      <c r="BJ91" s="128" t="b">
        <v>1</v>
      </c>
      <c r="BK91" s="157">
        <v>2</v>
      </c>
      <c r="BL91" s="128" t="b">
        <v>1</v>
      </c>
      <c r="BM91" s="156" t="s">
        <v>412</v>
      </c>
      <c r="BN91" s="129" t="b">
        <v>0</v>
      </c>
      <c r="BO91" s="156" t="s">
        <v>1382</v>
      </c>
      <c r="BP91" s="157"/>
      <c r="BQ91" s="157"/>
      <c r="BR91" s="166" t="str">
        <f t="shared" si="97"/>
        <v>5/ 13/ 34/ 89</v>
      </c>
      <c r="BS91" s="166" t="str">
        <f t="shared" si="122"/>
        <v>8 / 13 / 8</v>
      </c>
      <c r="BT91" s="166" t="str">
        <f t="shared" si="123"/>
        <v>0.05 / 0.5</v>
      </c>
      <c r="BU91" s="66">
        <v>89</v>
      </c>
      <c r="BV91" s="66">
        <v>55</v>
      </c>
      <c r="BW91" s="66">
        <v>49</v>
      </c>
      <c r="BX91" s="99">
        <f t="shared" si="124"/>
        <v>6</v>
      </c>
      <c r="BY91" s="66">
        <v>3</v>
      </c>
      <c r="BZ91" s="92">
        <f t="shared" si="128"/>
        <v>31</v>
      </c>
      <c r="CA91" s="204">
        <f>IF(BU91=0,0,BV91/BU91)</f>
        <v>0.6179775280898876</v>
      </c>
      <c r="CB91" s="205">
        <f>IF(BU91=0,0,BY91/BU91)</f>
        <v>3.3707865168539325E-2</v>
      </c>
      <c r="CC91" s="87">
        <v>12.2</v>
      </c>
      <c r="CD91" s="66">
        <v>8.1300000000000008</v>
      </c>
      <c r="CE91" s="87">
        <v>0.56999999999999995</v>
      </c>
      <c r="CF91" s="170">
        <f t="shared" si="125"/>
        <v>2</v>
      </c>
      <c r="CG91" s="87">
        <v>0.55000000000000004</v>
      </c>
      <c r="CH91" s="87">
        <v>0.35</v>
      </c>
      <c r="CI91" s="93">
        <v>1429.9</v>
      </c>
      <c r="CJ91" s="93"/>
      <c r="CK91" s="93"/>
      <c r="CL91" s="87">
        <v>-1.99</v>
      </c>
      <c r="CM91" s="66">
        <v>1000</v>
      </c>
      <c r="CN91" s="93">
        <v>724</v>
      </c>
      <c r="CO91" s="108">
        <f t="shared" si="126"/>
        <v>1724</v>
      </c>
      <c r="CP91" s="108">
        <f t="shared" si="127"/>
        <v>72.400000000000006</v>
      </c>
    </row>
    <row r="92" spans="2:94" hidden="1" outlineLevel="1" x14ac:dyDescent="0.2">
      <c r="B92" s="72" t="s">
        <v>1544</v>
      </c>
      <c r="C92" s="57" t="s">
        <v>1387</v>
      </c>
      <c r="D92" s="57" t="s">
        <v>1440</v>
      </c>
      <c r="E92" s="65" t="s">
        <v>1389</v>
      </c>
      <c r="F92" s="57" t="s">
        <v>1454</v>
      </c>
      <c r="G92" s="62" t="s">
        <v>1556</v>
      </c>
      <c r="H92" s="128" t="b">
        <v>1</v>
      </c>
      <c r="I92" s="122" t="s">
        <v>1865</v>
      </c>
      <c r="N92" s="124">
        <v>21</v>
      </c>
      <c r="O92" s="124">
        <v>0.8</v>
      </c>
      <c r="P92" s="124">
        <v>5</v>
      </c>
      <c r="Q92" s="128" t="b">
        <v>1</v>
      </c>
      <c r="R92" s="127" t="s">
        <v>1559</v>
      </c>
      <c r="T92" s="126">
        <v>13</v>
      </c>
      <c r="U92" s="124">
        <v>1.4999999999999999E-2</v>
      </c>
      <c r="V92" s="126">
        <v>75</v>
      </c>
      <c r="W92" s="126">
        <v>-75</v>
      </c>
      <c r="X92" s="124">
        <v>50</v>
      </c>
      <c r="Y92" s="124">
        <v>5</v>
      </c>
      <c r="Z92" s="128" t="b">
        <v>1</v>
      </c>
      <c r="AA92" s="127" t="s">
        <v>1867</v>
      </c>
      <c r="AB92" s="122">
        <v>3</v>
      </c>
      <c r="AC92" s="146"/>
      <c r="AD92" s="147">
        <v>34</v>
      </c>
      <c r="AE92" s="124"/>
      <c r="AF92" s="124">
        <v>5.0000000000000001E-4</v>
      </c>
      <c r="AG92" s="135" t="b">
        <v>1</v>
      </c>
      <c r="AH92" s="125">
        <v>5</v>
      </c>
      <c r="AI92" s="125">
        <v>13</v>
      </c>
      <c r="AJ92" s="125">
        <v>34</v>
      </c>
      <c r="AK92" s="125">
        <v>89</v>
      </c>
      <c r="AL92" s="129" t="b">
        <v>0</v>
      </c>
      <c r="AM92" s="128" t="b">
        <v>1</v>
      </c>
      <c r="AN92" s="131" t="s">
        <v>1469</v>
      </c>
      <c r="AO92" s="127">
        <v>1E-4</v>
      </c>
      <c r="AP92" s="128" t="b">
        <v>1</v>
      </c>
      <c r="AQ92" s="131">
        <v>0.01</v>
      </c>
      <c r="AR92" s="150">
        <v>8</v>
      </c>
      <c r="AS92" s="150">
        <v>17</v>
      </c>
      <c r="AT92" s="150">
        <v>9</v>
      </c>
      <c r="AU92" s="128" t="b">
        <v>1</v>
      </c>
      <c r="AV92" s="124">
        <v>3</v>
      </c>
      <c r="AW92" s="146">
        <v>5</v>
      </c>
      <c r="AX92" s="124">
        <v>1</v>
      </c>
      <c r="AY92" s="128" t="b">
        <v>1</v>
      </c>
      <c r="AZ92" s="122" t="s">
        <v>1576</v>
      </c>
      <c r="BA92" s="122">
        <v>4</v>
      </c>
      <c r="BB92" s="126">
        <v>0.05</v>
      </c>
      <c r="BC92" s="126">
        <v>0.5</v>
      </c>
      <c r="BD92" s="129" t="b">
        <v>0</v>
      </c>
      <c r="BE92" s="122" t="s">
        <v>1873</v>
      </c>
      <c r="BF92" s="128" t="b">
        <v>1</v>
      </c>
      <c r="BG92" s="122" t="s">
        <v>1578</v>
      </c>
      <c r="BH92" s="122">
        <v>0.01</v>
      </c>
      <c r="BI92" s="156" t="s">
        <v>403</v>
      </c>
      <c r="BJ92" s="128" t="b">
        <v>1</v>
      </c>
      <c r="BK92" s="157">
        <v>2</v>
      </c>
      <c r="BL92" s="128" t="b">
        <v>1</v>
      </c>
      <c r="BM92" s="156" t="s">
        <v>412</v>
      </c>
      <c r="BN92" s="129" t="b">
        <v>0</v>
      </c>
      <c r="BO92" s="156" t="s">
        <v>1382</v>
      </c>
      <c r="BP92" s="157"/>
      <c r="BQ92" s="157"/>
      <c r="BR92" s="166" t="str">
        <f t="shared" si="97"/>
        <v>5/ 13/ 34/ 89</v>
      </c>
      <c r="BS92" s="166" t="str">
        <f t="shared" si="122"/>
        <v>8 / 17 / 9</v>
      </c>
      <c r="BT92" s="166" t="str">
        <f t="shared" si="123"/>
        <v>0.05 / 0.5</v>
      </c>
      <c r="BU92" s="66">
        <v>147</v>
      </c>
      <c r="BV92" s="66">
        <v>85</v>
      </c>
      <c r="BW92" s="66">
        <v>78</v>
      </c>
      <c r="BX92" s="99">
        <f t="shared" si="124"/>
        <v>7</v>
      </c>
      <c r="BY92" s="66">
        <v>7</v>
      </c>
      <c r="BZ92" s="92">
        <f t="shared" si="128"/>
        <v>55</v>
      </c>
      <c r="CA92" s="204">
        <f>IF(BU92=0,0,BV92/BU92)</f>
        <v>0.57823129251700678</v>
      </c>
      <c r="CB92" s="205">
        <f>IF(BU92=0,0,BY92/BU92)</f>
        <v>4.7619047619047616E-2</v>
      </c>
      <c r="CC92" s="87">
        <v>8.07</v>
      </c>
      <c r="CD92" s="66">
        <v>9.31</v>
      </c>
      <c r="CE92" s="87">
        <v>0.52</v>
      </c>
      <c r="CF92" s="170">
        <f t="shared" si="125"/>
        <v>2</v>
      </c>
      <c r="CG92" s="87">
        <v>0.57999999999999996</v>
      </c>
      <c r="CH92" s="87">
        <v>0.45</v>
      </c>
      <c r="CI92" s="93">
        <v>1985.5</v>
      </c>
      <c r="CJ92" s="93"/>
      <c r="CK92" s="93"/>
      <c r="CL92" s="87">
        <v>-2</v>
      </c>
      <c r="CM92" s="66">
        <v>1000</v>
      </c>
      <c r="CN92" s="93">
        <v>1369.05</v>
      </c>
      <c r="CO92" s="108">
        <f t="shared" si="126"/>
        <v>2369.0500000000002</v>
      </c>
      <c r="CP92" s="108">
        <f t="shared" si="127"/>
        <v>136.905</v>
      </c>
    </row>
    <row r="93" spans="2:94" hidden="1" outlineLevel="1" x14ac:dyDescent="0.2">
      <c r="B93" s="72" t="s">
        <v>1545</v>
      </c>
      <c r="C93" s="57" t="s">
        <v>1387</v>
      </c>
      <c r="D93" s="57" t="s">
        <v>1440</v>
      </c>
      <c r="E93" s="65" t="s">
        <v>1389</v>
      </c>
      <c r="F93" s="57" t="s">
        <v>1454</v>
      </c>
      <c r="G93" s="62" t="s">
        <v>1556</v>
      </c>
      <c r="H93" s="128" t="b">
        <v>1</v>
      </c>
      <c r="I93" s="122" t="s">
        <v>1865</v>
      </c>
      <c r="N93" s="124">
        <v>21</v>
      </c>
      <c r="O93" s="124">
        <v>0.8</v>
      </c>
      <c r="P93" s="124">
        <v>5</v>
      </c>
      <c r="Q93" s="128" t="b">
        <v>1</v>
      </c>
      <c r="R93" s="127" t="s">
        <v>1559</v>
      </c>
      <c r="T93" s="126">
        <v>13</v>
      </c>
      <c r="U93" s="124">
        <v>1.4999999999999999E-2</v>
      </c>
      <c r="V93" s="126">
        <v>75</v>
      </c>
      <c r="W93" s="126">
        <v>-75</v>
      </c>
      <c r="X93" s="124">
        <v>50</v>
      </c>
      <c r="Y93" s="124">
        <v>5</v>
      </c>
      <c r="Z93" s="128" t="b">
        <v>1</v>
      </c>
      <c r="AA93" s="127" t="s">
        <v>1867</v>
      </c>
      <c r="AB93" s="122">
        <v>3</v>
      </c>
      <c r="AC93" s="146"/>
      <c r="AD93" s="147">
        <v>34</v>
      </c>
      <c r="AE93" s="124"/>
      <c r="AF93" s="124">
        <v>5.0000000000000001E-4</v>
      </c>
      <c r="AG93" s="135" t="b">
        <v>1</v>
      </c>
      <c r="AH93" s="125">
        <v>5</v>
      </c>
      <c r="AI93" s="125">
        <v>13</v>
      </c>
      <c r="AJ93" s="125">
        <v>34</v>
      </c>
      <c r="AK93" s="125">
        <v>89</v>
      </c>
      <c r="AL93" s="129" t="b">
        <v>0</v>
      </c>
      <c r="AM93" s="128" t="b">
        <v>1</v>
      </c>
      <c r="AN93" s="131" t="s">
        <v>1469</v>
      </c>
      <c r="AO93" s="127">
        <v>1E-4</v>
      </c>
      <c r="AP93" s="128" t="b">
        <v>1</v>
      </c>
      <c r="AQ93" s="131">
        <v>0.01</v>
      </c>
      <c r="AR93" s="152">
        <v>12</v>
      </c>
      <c r="AS93" s="152">
        <v>26</v>
      </c>
      <c r="AT93" s="152">
        <v>9</v>
      </c>
      <c r="AU93" s="128" t="b">
        <v>1</v>
      </c>
      <c r="AV93" s="124">
        <v>3</v>
      </c>
      <c r="AW93" s="146">
        <v>5</v>
      </c>
      <c r="AX93" s="124">
        <v>1</v>
      </c>
      <c r="AY93" s="128" t="b">
        <v>1</v>
      </c>
      <c r="AZ93" s="122" t="s">
        <v>1576</v>
      </c>
      <c r="BA93" s="122">
        <v>4</v>
      </c>
      <c r="BB93" s="126">
        <v>0.05</v>
      </c>
      <c r="BC93" s="126">
        <v>0.5</v>
      </c>
      <c r="BD93" s="129" t="b">
        <v>0</v>
      </c>
      <c r="BE93" s="122" t="s">
        <v>1873</v>
      </c>
      <c r="BF93" s="128" t="b">
        <v>1</v>
      </c>
      <c r="BG93" s="122" t="s">
        <v>1578</v>
      </c>
      <c r="BH93" s="122">
        <v>0.01</v>
      </c>
      <c r="BI93" s="156" t="s">
        <v>403</v>
      </c>
      <c r="BJ93" s="128" t="b">
        <v>1</v>
      </c>
      <c r="BK93" s="157">
        <v>2</v>
      </c>
      <c r="BL93" s="128" t="b">
        <v>1</v>
      </c>
      <c r="BM93" s="156" t="s">
        <v>412</v>
      </c>
      <c r="BN93" s="129" t="b">
        <v>0</v>
      </c>
      <c r="BO93" s="156" t="s">
        <v>1382</v>
      </c>
      <c r="BP93" s="157"/>
      <c r="BQ93" s="157"/>
      <c r="BR93" s="166" t="str">
        <f t="shared" si="97"/>
        <v>5/ 13/ 34/ 89</v>
      </c>
      <c r="BS93" s="166" t="str">
        <f t="shared" si="122"/>
        <v>12 / 26 / 9</v>
      </c>
      <c r="BT93" s="166" t="str">
        <f t="shared" si="123"/>
        <v>0.05 / 0.5</v>
      </c>
      <c r="BU93" s="66">
        <v>95</v>
      </c>
      <c r="BV93" s="66">
        <v>57</v>
      </c>
      <c r="BW93" s="66">
        <v>52</v>
      </c>
      <c r="BX93" s="99">
        <f t="shared" si="124"/>
        <v>5</v>
      </c>
      <c r="BY93" s="66">
        <v>3</v>
      </c>
      <c r="BZ93" s="92">
        <f t="shared" si="128"/>
        <v>35</v>
      </c>
      <c r="CA93" s="204">
        <f t="shared" ref="CA93" si="131">IF(BU93=0,0,BV93/BU93)</f>
        <v>0.6</v>
      </c>
      <c r="CB93" s="205">
        <f t="shared" ref="CB93" si="132">IF(BU93=0,0,BY93/BU93)</f>
        <v>3.1578947368421054E-2</v>
      </c>
      <c r="CC93" s="87">
        <v>11.18</v>
      </c>
      <c r="CD93" s="66">
        <v>8.84</v>
      </c>
      <c r="CE93" s="87">
        <v>0.56000000000000005</v>
      </c>
      <c r="CF93" s="170">
        <f t="shared" si="125"/>
        <v>2</v>
      </c>
      <c r="CG93" s="87">
        <v>0.59</v>
      </c>
      <c r="CH93" s="87">
        <v>0.4</v>
      </c>
      <c r="CI93" s="93">
        <v>1581.8</v>
      </c>
      <c r="CJ93" s="93"/>
      <c r="CK93" s="93"/>
      <c r="CL93" s="87">
        <v>-1.99</v>
      </c>
      <c r="CM93" s="66">
        <v>1000</v>
      </c>
      <c r="CN93" s="93">
        <v>839.76</v>
      </c>
      <c r="CO93" s="108">
        <f t="shared" si="126"/>
        <v>1839.76</v>
      </c>
      <c r="CP93" s="108">
        <f t="shared" si="127"/>
        <v>83.975999999999999</v>
      </c>
    </row>
    <row r="94" spans="2:94" hidden="1" outlineLevel="1" x14ac:dyDescent="0.2">
      <c r="B94" s="72" t="s">
        <v>1546</v>
      </c>
      <c r="C94" s="57" t="s">
        <v>1387</v>
      </c>
      <c r="D94" s="57" t="s">
        <v>1440</v>
      </c>
      <c r="E94" s="65" t="s">
        <v>1389</v>
      </c>
      <c r="F94" s="57" t="s">
        <v>1454</v>
      </c>
      <c r="G94" s="62" t="s">
        <v>1556</v>
      </c>
      <c r="H94" s="128" t="b">
        <v>1</v>
      </c>
      <c r="I94" s="122" t="s">
        <v>1865</v>
      </c>
      <c r="N94" s="124">
        <v>21</v>
      </c>
      <c r="O94" s="124">
        <v>0.8</v>
      </c>
      <c r="P94" s="124">
        <v>5</v>
      </c>
      <c r="Q94" s="128" t="b">
        <v>1</v>
      </c>
      <c r="R94" s="127" t="s">
        <v>1559</v>
      </c>
      <c r="T94" s="126">
        <v>13</v>
      </c>
      <c r="U94" s="124">
        <v>1.4999999999999999E-2</v>
      </c>
      <c r="V94" s="126">
        <v>75</v>
      </c>
      <c r="W94" s="126">
        <v>-75</v>
      </c>
      <c r="X94" s="124">
        <v>50</v>
      </c>
      <c r="Y94" s="124">
        <v>5</v>
      </c>
      <c r="Z94" s="128" t="b">
        <v>1</v>
      </c>
      <c r="AA94" s="127" t="s">
        <v>1867</v>
      </c>
      <c r="AB94" s="122">
        <v>3</v>
      </c>
      <c r="AC94" s="146"/>
      <c r="AD94" s="147">
        <v>34</v>
      </c>
      <c r="AE94" s="124"/>
      <c r="AF94" s="124">
        <v>5.0000000000000001E-4</v>
      </c>
      <c r="AG94" s="135" t="b">
        <v>1</v>
      </c>
      <c r="AH94" s="125">
        <v>5</v>
      </c>
      <c r="AI94" s="125">
        <v>13</v>
      </c>
      <c r="AJ94" s="125">
        <v>34</v>
      </c>
      <c r="AK94" s="125">
        <v>89</v>
      </c>
      <c r="AL94" s="129" t="b">
        <v>0</v>
      </c>
      <c r="AM94" s="128" t="b">
        <v>1</v>
      </c>
      <c r="AN94" s="131" t="s">
        <v>1469</v>
      </c>
      <c r="AO94" s="127">
        <v>1E-4</v>
      </c>
      <c r="AP94" s="128" t="b">
        <v>1</v>
      </c>
      <c r="AQ94" s="131">
        <v>0.01</v>
      </c>
      <c r="AR94" s="137">
        <v>21</v>
      </c>
      <c r="AS94" s="137">
        <v>34</v>
      </c>
      <c r="AT94" s="137">
        <v>9</v>
      </c>
      <c r="AU94" s="128" t="b">
        <v>1</v>
      </c>
      <c r="AV94" s="124">
        <v>3</v>
      </c>
      <c r="AW94" s="146">
        <v>5</v>
      </c>
      <c r="AX94" s="124">
        <v>1</v>
      </c>
      <c r="AY94" s="128" t="b">
        <v>1</v>
      </c>
      <c r="AZ94" s="122" t="s">
        <v>1576</v>
      </c>
      <c r="BA94" s="122">
        <v>4</v>
      </c>
      <c r="BB94" s="126">
        <v>0.05</v>
      </c>
      <c r="BC94" s="126">
        <v>0.5</v>
      </c>
      <c r="BD94" s="129" t="b">
        <v>0</v>
      </c>
      <c r="BE94" s="122" t="s">
        <v>1873</v>
      </c>
      <c r="BF94" s="128" t="b">
        <v>1</v>
      </c>
      <c r="BG94" s="122" t="s">
        <v>1578</v>
      </c>
      <c r="BH94" s="122">
        <v>0.01</v>
      </c>
      <c r="BI94" s="156" t="s">
        <v>403</v>
      </c>
      <c r="BJ94" s="128" t="b">
        <v>1</v>
      </c>
      <c r="BK94" s="157">
        <v>2</v>
      </c>
      <c r="BL94" s="128" t="b">
        <v>1</v>
      </c>
      <c r="BM94" s="156" t="s">
        <v>412</v>
      </c>
      <c r="BN94" s="129" t="b">
        <v>0</v>
      </c>
      <c r="BO94" s="156" t="s">
        <v>1382</v>
      </c>
      <c r="BP94" s="157"/>
      <c r="BQ94" s="157"/>
      <c r="BR94" s="166" t="str">
        <f t="shared" si="97"/>
        <v>5/ 13/ 34/ 89</v>
      </c>
      <c r="BS94" s="166" t="str">
        <f t="shared" si="122"/>
        <v>21 / 34 / 9</v>
      </c>
      <c r="BT94" s="166" t="str">
        <f t="shared" si="123"/>
        <v>0.05 / 0.5</v>
      </c>
      <c r="BU94" s="66">
        <v>23</v>
      </c>
      <c r="BV94" s="66">
        <v>12</v>
      </c>
      <c r="BW94" s="66">
        <v>11</v>
      </c>
      <c r="BX94" s="99">
        <f t="shared" si="124"/>
        <v>1</v>
      </c>
      <c r="BY94" s="66">
        <v>0</v>
      </c>
      <c r="BZ94" s="92">
        <f t="shared" si="128"/>
        <v>11</v>
      </c>
      <c r="CA94" s="204">
        <f>IF(BU94=0,0,BV94/BU94)</f>
        <v>0.52173913043478259</v>
      </c>
      <c r="CB94" s="205">
        <f>IF(BU94=0,0,BY94/BU94)</f>
        <v>0</v>
      </c>
      <c r="CC94" s="87">
        <v>0</v>
      </c>
      <c r="CD94" s="89">
        <v>3.12</v>
      </c>
      <c r="CE94" s="87">
        <v>0.47</v>
      </c>
      <c r="CF94" s="170">
        <f t="shared" si="125"/>
        <v>2</v>
      </c>
      <c r="CG94" s="88">
        <v>0.28999999999999998</v>
      </c>
      <c r="CH94" s="87">
        <v>0.15</v>
      </c>
      <c r="CI94" s="93">
        <v>332.4</v>
      </c>
      <c r="CJ94" s="93"/>
      <c r="CK94" s="93"/>
      <c r="CL94" s="87">
        <v>0</v>
      </c>
      <c r="CM94" s="66">
        <v>1000</v>
      </c>
      <c r="CN94" s="101">
        <v>71.67</v>
      </c>
      <c r="CO94" s="109">
        <f t="shared" si="126"/>
        <v>1071.67</v>
      </c>
      <c r="CP94" s="109">
        <f t="shared" si="127"/>
        <v>7.1669999999999998</v>
      </c>
    </row>
    <row r="95" spans="2:94" hidden="1" outlineLevel="1" x14ac:dyDescent="0.2">
      <c r="G95" s="62"/>
      <c r="AC95" s="124"/>
      <c r="AD95" s="124"/>
      <c r="AE95" s="124"/>
      <c r="AH95" s="125"/>
      <c r="AI95" s="125"/>
      <c r="AJ95" s="125"/>
      <c r="AK95" s="125"/>
      <c r="AO95" s="127"/>
      <c r="AR95" s="124"/>
      <c r="AS95" s="124"/>
      <c r="AT95" s="124"/>
      <c r="BB95" s="124"/>
      <c r="BC95" s="124"/>
      <c r="BK95" s="154"/>
      <c r="BP95" s="154"/>
      <c r="BQ95" s="154"/>
      <c r="BS95" s="167"/>
      <c r="BT95" s="167"/>
      <c r="BU95" s="85"/>
      <c r="BV95" s="85"/>
      <c r="BW95" s="85"/>
      <c r="BX95" s="100"/>
      <c r="BY95" s="85"/>
      <c r="BZ95" s="86"/>
      <c r="CA95" s="85"/>
      <c r="CB95" s="95"/>
      <c r="CC95" s="85"/>
      <c r="CD95" s="85"/>
      <c r="CE95" s="85"/>
      <c r="CF95" s="107"/>
      <c r="CG95" s="116"/>
      <c r="CH95" s="116"/>
      <c r="CI95" s="85"/>
      <c r="CJ95" s="85"/>
      <c r="CK95" s="85"/>
      <c r="CL95" s="85"/>
      <c r="CM95" s="84"/>
      <c r="CN95" s="85"/>
      <c r="CO95" s="107"/>
      <c r="CP95" s="107"/>
    </row>
    <row r="96" spans="2:94" collapsed="1" x14ac:dyDescent="0.2">
      <c r="B96" s="72" t="s">
        <v>1547</v>
      </c>
      <c r="C96" s="57" t="s">
        <v>1387</v>
      </c>
      <c r="D96" s="57" t="s">
        <v>1440</v>
      </c>
      <c r="E96" s="65" t="s">
        <v>1389</v>
      </c>
      <c r="F96" s="57" t="s">
        <v>1454</v>
      </c>
      <c r="G96" s="62" t="s">
        <v>1556</v>
      </c>
      <c r="H96" s="128" t="b">
        <v>1</v>
      </c>
      <c r="I96" s="122" t="s">
        <v>1865</v>
      </c>
      <c r="N96" s="124">
        <v>21</v>
      </c>
      <c r="O96" s="124">
        <v>0.8</v>
      </c>
      <c r="P96" s="124">
        <v>5</v>
      </c>
      <c r="Q96" s="128" t="b">
        <v>1</v>
      </c>
      <c r="R96" s="127" t="s">
        <v>1559</v>
      </c>
      <c r="T96" s="126">
        <v>13</v>
      </c>
      <c r="U96" s="124">
        <v>1.4999999999999999E-2</v>
      </c>
      <c r="V96" s="126">
        <v>75</v>
      </c>
      <c r="W96" s="126">
        <v>-75</v>
      </c>
      <c r="X96" s="124">
        <v>50</v>
      </c>
      <c r="Y96" s="124">
        <v>5</v>
      </c>
      <c r="Z96" s="128" t="b">
        <v>1</v>
      </c>
      <c r="AA96" s="127" t="s">
        <v>1867</v>
      </c>
      <c r="AB96" s="122">
        <v>3</v>
      </c>
      <c r="AC96" s="146"/>
      <c r="AD96" s="147">
        <v>34</v>
      </c>
      <c r="AE96" s="124"/>
      <c r="AF96" s="124">
        <v>5.0000000000000001E-4</v>
      </c>
      <c r="AG96" s="135" t="b">
        <v>1</v>
      </c>
      <c r="AH96" s="125">
        <v>5</v>
      </c>
      <c r="AI96" s="125">
        <v>13</v>
      </c>
      <c r="AJ96" s="125">
        <v>34</v>
      </c>
      <c r="AK96" s="125">
        <v>89</v>
      </c>
      <c r="AL96" s="129" t="b">
        <v>0</v>
      </c>
      <c r="AM96" s="128" t="b">
        <v>1</v>
      </c>
      <c r="AN96" s="131" t="s">
        <v>1469</v>
      </c>
      <c r="AO96" s="127">
        <v>1E-4</v>
      </c>
      <c r="AP96" s="128" t="b">
        <v>1</v>
      </c>
      <c r="AQ96" s="131">
        <v>0.01</v>
      </c>
      <c r="AR96" s="126">
        <v>5</v>
      </c>
      <c r="AS96" s="126">
        <v>8</v>
      </c>
      <c r="AT96" s="126">
        <v>5</v>
      </c>
      <c r="AU96" s="128" t="b">
        <v>1</v>
      </c>
      <c r="AV96" s="124">
        <v>3</v>
      </c>
      <c r="AW96" s="146">
        <v>5</v>
      </c>
      <c r="AX96" s="124">
        <v>1</v>
      </c>
      <c r="AY96" s="128" t="b">
        <v>1</v>
      </c>
      <c r="AZ96" s="122" t="s">
        <v>1576</v>
      </c>
      <c r="BA96" s="122">
        <v>4</v>
      </c>
      <c r="BB96" s="153">
        <v>0.02</v>
      </c>
      <c r="BC96" s="153">
        <v>0.2</v>
      </c>
      <c r="BD96" s="129" t="b">
        <v>0</v>
      </c>
      <c r="BE96" s="122" t="s">
        <v>1873</v>
      </c>
      <c r="BF96" s="128" t="b">
        <v>1</v>
      </c>
      <c r="BG96" s="122" t="s">
        <v>1578</v>
      </c>
      <c r="BH96" s="122">
        <v>0.01</v>
      </c>
      <c r="BI96" s="156" t="s">
        <v>403</v>
      </c>
      <c r="BJ96" s="128" t="b">
        <v>1</v>
      </c>
      <c r="BK96" s="157">
        <v>2</v>
      </c>
      <c r="BL96" s="128" t="b">
        <v>1</v>
      </c>
      <c r="BM96" s="156" t="s">
        <v>412</v>
      </c>
      <c r="BN96" s="129" t="b">
        <v>0</v>
      </c>
      <c r="BO96" s="156" t="s">
        <v>1382</v>
      </c>
      <c r="BP96" s="157"/>
      <c r="BQ96" s="157"/>
      <c r="BR96" s="166" t="str">
        <f t="shared" ref="BR96" si="133">AH96&amp;"/ "&amp;AI96&amp;"/ "&amp;AJ96&amp;"/ "&amp;AK96</f>
        <v>5/ 13/ 34/ 89</v>
      </c>
      <c r="BS96" s="166" t="str">
        <f t="shared" ref="BS96:BS102" si="134">AR96&amp;" / "&amp;AS96&amp;" / "&amp;AT96</f>
        <v>5 / 8 / 5</v>
      </c>
      <c r="BT96" s="166" t="str">
        <f t="shared" ref="BT96:BT102" si="135">BB96&amp;" / "&amp;BC96</f>
        <v>0.02 / 0.2</v>
      </c>
      <c r="BU96" s="66">
        <v>68</v>
      </c>
      <c r="BV96" s="66">
        <v>45</v>
      </c>
      <c r="BW96" s="66">
        <v>40</v>
      </c>
      <c r="BX96" s="99">
        <f t="shared" ref="BX96:BX102" si="136">BV96-BW96</f>
        <v>5</v>
      </c>
      <c r="BY96" s="66">
        <v>0</v>
      </c>
      <c r="BZ96" s="92">
        <f>BU96-SUM(BW96:BY96)</f>
        <v>23</v>
      </c>
      <c r="CA96" s="204">
        <f>IF(BU96=0,0,BV96/BU96)</f>
        <v>0.66176470588235292</v>
      </c>
      <c r="CB96" s="205">
        <f>IF(BU96=0,0,BY96/BU96)</f>
        <v>0</v>
      </c>
      <c r="CC96" s="87">
        <v>0</v>
      </c>
      <c r="CD96" s="87">
        <v>10.58</v>
      </c>
      <c r="CE96" s="87">
        <v>0.73</v>
      </c>
      <c r="CF96" s="170">
        <f t="shared" ref="CF96:CF102" si="137">BK96</f>
        <v>2</v>
      </c>
      <c r="CG96" s="87">
        <v>0.61</v>
      </c>
      <c r="CH96" s="87">
        <v>0.4</v>
      </c>
      <c r="CI96" s="93">
        <v>1489.9</v>
      </c>
      <c r="CJ96" s="93"/>
      <c r="CK96" s="93"/>
      <c r="CL96" s="87">
        <v>0</v>
      </c>
      <c r="CM96" s="66">
        <v>1000</v>
      </c>
      <c r="CN96" s="93">
        <v>719.23</v>
      </c>
      <c r="CO96" s="108">
        <f t="shared" ref="CO96:CO102" si="138">CM96+CN96</f>
        <v>1719.23</v>
      </c>
      <c r="CP96" s="108">
        <f t="shared" ref="CP96:CP102" si="139">CN96/10</f>
        <v>71.923000000000002</v>
      </c>
    </row>
    <row r="97" spans="2:94" hidden="1" outlineLevel="1" x14ac:dyDescent="0.2">
      <c r="B97" s="72" t="s">
        <v>1548</v>
      </c>
      <c r="C97" s="57" t="s">
        <v>1387</v>
      </c>
      <c r="D97" s="57" t="s">
        <v>1440</v>
      </c>
      <c r="E97" s="65" t="s">
        <v>1389</v>
      </c>
      <c r="F97" s="57" t="s">
        <v>1454</v>
      </c>
      <c r="G97" s="62" t="s">
        <v>1556</v>
      </c>
      <c r="H97" s="128" t="b">
        <v>1</v>
      </c>
      <c r="I97" s="122" t="s">
        <v>1865</v>
      </c>
      <c r="N97" s="124">
        <v>21</v>
      </c>
      <c r="O97" s="124">
        <v>0.8</v>
      </c>
      <c r="P97" s="124">
        <v>5</v>
      </c>
      <c r="Q97" s="128" t="b">
        <v>1</v>
      </c>
      <c r="R97" s="127" t="s">
        <v>1559</v>
      </c>
      <c r="T97" s="126">
        <v>13</v>
      </c>
      <c r="U97" s="124">
        <v>1.4999999999999999E-2</v>
      </c>
      <c r="V97" s="126">
        <v>75</v>
      </c>
      <c r="W97" s="126">
        <v>-75</v>
      </c>
      <c r="X97" s="124">
        <v>50</v>
      </c>
      <c r="Y97" s="124">
        <v>5</v>
      </c>
      <c r="Z97" s="128" t="b">
        <v>1</v>
      </c>
      <c r="AA97" s="127" t="s">
        <v>1867</v>
      </c>
      <c r="AB97" s="122">
        <v>3</v>
      </c>
      <c r="AC97" s="146"/>
      <c r="AD97" s="147">
        <v>34</v>
      </c>
      <c r="AE97" s="124"/>
      <c r="AF97" s="124">
        <v>5.0000000000000001E-4</v>
      </c>
      <c r="AG97" s="135" t="b">
        <v>1</v>
      </c>
      <c r="AH97" s="125">
        <v>5</v>
      </c>
      <c r="AI97" s="125">
        <v>13</v>
      </c>
      <c r="AJ97" s="125">
        <v>34</v>
      </c>
      <c r="AK97" s="125">
        <v>89</v>
      </c>
      <c r="AL97" s="129" t="b">
        <v>0</v>
      </c>
      <c r="AM97" s="128" t="b">
        <v>1</v>
      </c>
      <c r="AN97" s="131" t="s">
        <v>1469</v>
      </c>
      <c r="AO97" s="127">
        <v>1E-4</v>
      </c>
      <c r="AP97" s="128" t="b">
        <v>1</v>
      </c>
      <c r="AQ97" s="131">
        <v>0.01</v>
      </c>
      <c r="AR97" s="137">
        <v>5</v>
      </c>
      <c r="AS97" s="137">
        <v>13</v>
      </c>
      <c r="AT97" s="137">
        <v>5</v>
      </c>
      <c r="AU97" s="128" t="b">
        <v>1</v>
      </c>
      <c r="AV97" s="124">
        <v>3</v>
      </c>
      <c r="AW97" s="146">
        <v>5</v>
      </c>
      <c r="AX97" s="124">
        <v>1</v>
      </c>
      <c r="AY97" s="128" t="b">
        <v>1</v>
      </c>
      <c r="AZ97" s="122" t="s">
        <v>1576</v>
      </c>
      <c r="BA97" s="122">
        <v>4</v>
      </c>
      <c r="BB97" s="153">
        <v>0.02</v>
      </c>
      <c r="BC97" s="153">
        <v>0.2</v>
      </c>
      <c r="BD97" s="129" t="b">
        <v>0</v>
      </c>
      <c r="BE97" s="122" t="s">
        <v>1873</v>
      </c>
      <c r="BF97" s="128" t="b">
        <v>1</v>
      </c>
      <c r="BG97" s="122" t="s">
        <v>1578</v>
      </c>
      <c r="BH97" s="122">
        <v>0.01</v>
      </c>
      <c r="BI97" s="156" t="s">
        <v>403</v>
      </c>
      <c r="BJ97" s="128" t="b">
        <v>1</v>
      </c>
      <c r="BK97" s="157">
        <v>2</v>
      </c>
      <c r="BL97" s="128" t="b">
        <v>1</v>
      </c>
      <c r="BM97" s="156" t="s">
        <v>412</v>
      </c>
      <c r="BN97" s="129" t="b">
        <v>0</v>
      </c>
      <c r="BO97" s="156" t="s">
        <v>1382</v>
      </c>
      <c r="BP97" s="157"/>
      <c r="BQ97" s="157"/>
      <c r="BR97" s="166" t="str">
        <f t="shared" si="97"/>
        <v>5/ 13/ 34/ 89</v>
      </c>
      <c r="BS97" s="166" t="str">
        <f t="shared" si="134"/>
        <v>5 / 13 / 5</v>
      </c>
      <c r="BT97" s="166" t="str">
        <f t="shared" si="135"/>
        <v>0.02 / 0.2</v>
      </c>
      <c r="BU97" s="66">
        <v>126</v>
      </c>
      <c r="BV97" s="66">
        <v>85</v>
      </c>
      <c r="BW97" s="66">
        <v>81</v>
      </c>
      <c r="BX97" s="99">
        <f t="shared" si="136"/>
        <v>4</v>
      </c>
      <c r="BY97" s="66">
        <v>0</v>
      </c>
      <c r="BZ97" s="92">
        <f t="shared" ref="BZ97:BZ102" si="140">BU97-SUM(BW97:BY97)</f>
        <v>41</v>
      </c>
      <c r="CA97" s="204">
        <f t="shared" ref="CA97:CA98" si="141">IF(BU97=0,0,BV97/BU97)</f>
        <v>0.67460317460317465</v>
      </c>
      <c r="CB97" s="205">
        <f t="shared" ref="CB97:CB98" si="142">IF(BU97=0,0,BY97/BU97)</f>
        <v>0</v>
      </c>
      <c r="CC97" s="87">
        <v>0</v>
      </c>
      <c r="CD97" s="87">
        <v>10.99</v>
      </c>
      <c r="CE97" s="87">
        <v>0.73</v>
      </c>
      <c r="CF97" s="170">
        <f t="shared" si="137"/>
        <v>2</v>
      </c>
      <c r="CG97" s="87">
        <v>0.52</v>
      </c>
      <c r="CH97" s="87">
        <v>0.35</v>
      </c>
      <c r="CI97" s="93">
        <v>2161.1</v>
      </c>
      <c r="CJ97" s="93"/>
      <c r="CK97" s="93"/>
      <c r="CL97" s="87">
        <v>0</v>
      </c>
      <c r="CM97" s="66">
        <v>1000</v>
      </c>
      <c r="CN97" s="93">
        <v>1384.66</v>
      </c>
      <c r="CO97" s="108">
        <f t="shared" si="138"/>
        <v>2384.66</v>
      </c>
      <c r="CP97" s="108">
        <f t="shared" si="139"/>
        <v>138.46600000000001</v>
      </c>
    </row>
    <row r="98" spans="2:94" hidden="1" outlineLevel="1" x14ac:dyDescent="0.2">
      <c r="B98" s="72" t="s">
        <v>1549</v>
      </c>
      <c r="C98" s="57" t="s">
        <v>1387</v>
      </c>
      <c r="D98" s="57" t="s">
        <v>1440</v>
      </c>
      <c r="E98" s="65" t="s">
        <v>1389</v>
      </c>
      <c r="F98" s="57" t="s">
        <v>1454</v>
      </c>
      <c r="G98" s="62" t="s">
        <v>1556</v>
      </c>
      <c r="H98" s="128" t="b">
        <v>1</v>
      </c>
      <c r="I98" s="122" t="s">
        <v>1865</v>
      </c>
      <c r="N98" s="124">
        <v>21</v>
      </c>
      <c r="O98" s="124">
        <v>0.8</v>
      </c>
      <c r="P98" s="124">
        <v>5</v>
      </c>
      <c r="Q98" s="128" t="b">
        <v>1</v>
      </c>
      <c r="R98" s="127" t="s">
        <v>1559</v>
      </c>
      <c r="T98" s="126">
        <v>13</v>
      </c>
      <c r="U98" s="124">
        <v>1.4999999999999999E-2</v>
      </c>
      <c r="V98" s="126">
        <v>75</v>
      </c>
      <c r="W98" s="126">
        <v>-75</v>
      </c>
      <c r="X98" s="124">
        <v>50</v>
      </c>
      <c r="Y98" s="124">
        <v>5</v>
      </c>
      <c r="Z98" s="128" t="b">
        <v>1</v>
      </c>
      <c r="AA98" s="127" t="s">
        <v>1867</v>
      </c>
      <c r="AB98" s="122">
        <v>3</v>
      </c>
      <c r="AC98" s="146"/>
      <c r="AD98" s="147">
        <v>34</v>
      </c>
      <c r="AE98" s="124"/>
      <c r="AF98" s="124">
        <v>5.0000000000000001E-4</v>
      </c>
      <c r="AG98" s="135" t="b">
        <v>1</v>
      </c>
      <c r="AH98" s="125">
        <v>5</v>
      </c>
      <c r="AI98" s="125">
        <v>13</v>
      </c>
      <c r="AJ98" s="125">
        <v>34</v>
      </c>
      <c r="AK98" s="125">
        <v>89</v>
      </c>
      <c r="AL98" s="129" t="b">
        <v>0</v>
      </c>
      <c r="AM98" s="128" t="b">
        <v>1</v>
      </c>
      <c r="AN98" s="131" t="s">
        <v>1469</v>
      </c>
      <c r="AO98" s="127">
        <v>1E-4</v>
      </c>
      <c r="AP98" s="128" t="b">
        <v>1</v>
      </c>
      <c r="AQ98" s="131">
        <v>0.01</v>
      </c>
      <c r="AR98" s="135">
        <v>5</v>
      </c>
      <c r="AS98" s="135">
        <v>13</v>
      </c>
      <c r="AT98" s="135">
        <v>8</v>
      </c>
      <c r="AU98" s="128" t="b">
        <v>1</v>
      </c>
      <c r="AV98" s="124">
        <v>3</v>
      </c>
      <c r="AW98" s="146">
        <v>5</v>
      </c>
      <c r="AX98" s="124">
        <v>1</v>
      </c>
      <c r="AY98" s="128" t="b">
        <v>1</v>
      </c>
      <c r="AZ98" s="122" t="s">
        <v>1576</v>
      </c>
      <c r="BA98" s="122">
        <v>4</v>
      </c>
      <c r="BB98" s="153">
        <v>0.02</v>
      </c>
      <c r="BC98" s="153">
        <v>0.2</v>
      </c>
      <c r="BD98" s="129" t="b">
        <v>0</v>
      </c>
      <c r="BE98" s="122" t="s">
        <v>1873</v>
      </c>
      <c r="BF98" s="128" t="b">
        <v>1</v>
      </c>
      <c r="BG98" s="122" t="s">
        <v>1578</v>
      </c>
      <c r="BH98" s="122">
        <v>0.01</v>
      </c>
      <c r="BI98" s="156" t="s">
        <v>403</v>
      </c>
      <c r="BJ98" s="128" t="b">
        <v>1</v>
      </c>
      <c r="BK98" s="157">
        <v>2</v>
      </c>
      <c r="BL98" s="128" t="b">
        <v>1</v>
      </c>
      <c r="BM98" s="156" t="s">
        <v>412</v>
      </c>
      <c r="BN98" s="129" t="b">
        <v>0</v>
      </c>
      <c r="BO98" s="156" t="s">
        <v>1382</v>
      </c>
      <c r="BP98" s="157"/>
      <c r="BQ98" s="157"/>
      <c r="BR98" s="166" t="str">
        <f t="shared" si="97"/>
        <v>5/ 13/ 34/ 89</v>
      </c>
      <c r="BS98" s="166" t="str">
        <f t="shared" si="134"/>
        <v>5 / 13 / 8</v>
      </c>
      <c r="BT98" s="166" t="str">
        <f t="shared" si="135"/>
        <v>0.02 / 0.2</v>
      </c>
      <c r="BU98" s="66">
        <v>159</v>
      </c>
      <c r="BV98" s="66">
        <v>106</v>
      </c>
      <c r="BW98" s="66">
        <v>101</v>
      </c>
      <c r="BX98" s="99">
        <f t="shared" si="136"/>
        <v>5</v>
      </c>
      <c r="BY98" s="66">
        <v>0</v>
      </c>
      <c r="BZ98" s="92">
        <f t="shared" si="140"/>
        <v>53</v>
      </c>
      <c r="CA98" s="204">
        <f t="shared" si="141"/>
        <v>0.66666666666666663</v>
      </c>
      <c r="CB98" s="205">
        <f t="shared" si="142"/>
        <v>0</v>
      </c>
      <c r="CC98" s="87">
        <v>0</v>
      </c>
      <c r="CD98" s="87">
        <v>11.1</v>
      </c>
      <c r="CE98" s="87">
        <v>0.72</v>
      </c>
      <c r="CF98" s="170">
        <f t="shared" si="137"/>
        <v>2</v>
      </c>
      <c r="CG98" s="87">
        <v>0.49</v>
      </c>
      <c r="CH98" s="87">
        <v>0.34</v>
      </c>
      <c r="CI98" s="93">
        <v>2376.1</v>
      </c>
      <c r="CJ98" s="93"/>
      <c r="CK98" s="93"/>
      <c r="CL98" s="87">
        <v>0</v>
      </c>
      <c r="CM98" s="66">
        <v>1000</v>
      </c>
      <c r="CN98" s="102">
        <v>1764.9</v>
      </c>
      <c r="CO98" s="110">
        <f t="shared" si="138"/>
        <v>2764.9</v>
      </c>
      <c r="CP98" s="110">
        <f t="shared" si="139"/>
        <v>176.49</v>
      </c>
    </row>
    <row r="99" spans="2:94" hidden="1" outlineLevel="1" x14ac:dyDescent="0.2">
      <c r="B99" s="72" t="s">
        <v>1550</v>
      </c>
      <c r="C99" s="57" t="s">
        <v>1387</v>
      </c>
      <c r="D99" s="57" t="s">
        <v>1440</v>
      </c>
      <c r="E99" s="65" t="s">
        <v>1389</v>
      </c>
      <c r="F99" s="57" t="s">
        <v>1454</v>
      </c>
      <c r="G99" s="62" t="s">
        <v>1556</v>
      </c>
      <c r="H99" s="128" t="b">
        <v>1</v>
      </c>
      <c r="I99" s="122" t="s">
        <v>1865</v>
      </c>
      <c r="N99" s="124">
        <v>21</v>
      </c>
      <c r="O99" s="124">
        <v>0.8</v>
      </c>
      <c r="P99" s="124">
        <v>5</v>
      </c>
      <c r="Q99" s="128" t="b">
        <v>1</v>
      </c>
      <c r="R99" s="127" t="s">
        <v>1559</v>
      </c>
      <c r="T99" s="126">
        <v>13</v>
      </c>
      <c r="U99" s="124">
        <v>1.4999999999999999E-2</v>
      </c>
      <c r="V99" s="126">
        <v>75</v>
      </c>
      <c r="W99" s="126">
        <v>-75</v>
      </c>
      <c r="X99" s="124">
        <v>50</v>
      </c>
      <c r="Y99" s="124">
        <v>5</v>
      </c>
      <c r="Z99" s="128" t="b">
        <v>1</v>
      </c>
      <c r="AA99" s="127" t="s">
        <v>1867</v>
      </c>
      <c r="AB99" s="122">
        <v>3</v>
      </c>
      <c r="AC99" s="146"/>
      <c r="AD99" s="147">
        <v>34</v>
      </c>
      <c r="AE99" s="124"/>
      <c r="AF99" s="124">
        <v>5.0000000000000001E-4</v>
      </c>
      <c r="AG99" s="135" t="b">
        <v>1</v>
      </c>
      <c r="AH99" s="125">
        <v>5</v>
      </c>
      <c r="AI99" s="125">
        <v>13</v>
      </c>
      <c r="AJ99" s="125">
        <v>34</v>
      </c>
      <c r="AK99" s="125">
        <v>89</v>
      </c>
      <c r="AL99" s="129" t="b">
        <v>0</v>
      </c>
      <c r="AM99" s="128" t="b">
        <v>1</v>
      </c>
      <c r="AN99" s="131" t="s">
        <v>1469</v>
      </c>
      <c r="AO99" s="127">
        <v>1E-4</v>
      </c>
      <c r="AP99" s="128" t="b">
        <v>1</v>
      </c>
      <c r="AQ99" s="131">
        <v>0.01</v>
      </c>
      <c r="AR99" s="149">
        <v>8</v>
      </c>
      <c r="AS99" s="149">
        <v>13</v>
      </c>
      <c r="AT99" s="149">
        <v>8</v>
      </c>
      <c r="AU99" s="128" t="b">
        <v>1</v>
      </c>
      <c r="AV99" s="124">
        <v>3</v>
      </c>
      <c r="AW99" s="146">
        <v>5</v>
      </c>
      <c r="AX99" s="124">
        <v>1</v>
      </c>
      <c r="AY99" s="128" t="b">
        <v>1</v>
      </c>
      <c r="AZ99" s="122" t="s">
        <v>1576</v>
      </c>
      <c r="BA99" s="122">
        <v>4</v>
      </c>
      <c r="BB99" s="153">
        <v>0.02</v>
      </c>
      <c r="BC99" s="153">
        <v>0.2</v>
      </c>
      <c r="BD99" s="129" t="b">
        <v>0</v>
      </c>
      <c r="BE99" s="122" t="s">
        <v>1873</v>
      </c>
      <c r="BF99" s="128" t="b">
        <v>1</v>
      </c>
      <c r="BG99" s="122" t="s">
        <v>1578</v>
      </c>
      <c r="BH99" s="122">
        <v>0.01</v>
      </c>
      <c r="BI99" s="156" t="s">
        <v>403</v>
      </c>
      <c r="BJ99" s="128" t="b">
        <v>1</v>
      </c>
      <c r="BK99" s="157">
        <v>2</v>
      </c>
      <c r="BL99" s="128" t="b">
        <v>1</v>
      </c>
      <c r="BM99" s="156" t="s">
        <v>412</v>
      </c>
      <c r="BN99" s="129" t="b">
        <v>0</v>
      </c>
      <c r="BO99" s="156" t="s">
        <v>1382</v>
      </c>
      <c r="BP99" s="157"/>
      <c r="BQ99" s="157"/>
      <c r="BR99" s="166" t="str">
        <f t="shared" si="97"/>
        <v>5/ 13/ 34/ 89</v>
      </c>
      <c r="BS99" s="166" t="str">
        <f t="shared" si="134"/>
        <v>8 / 13 / 8</v>
      </c>
      <c r="BT99" s="166" t="str">
        <f t="shared" si="135"/>
        <v>0.02 / 0.2</v>
      </c>
      <c r="BU99" s="66">
        <v>75</v>
      </c>
      <c r="BV99" s="66">
        <v>51</v>
      </c>
      <c r="BW99" s="66">
        <v>48</v>
      </c>
      <c r="BX99" s="99">
        <f t="shared" si="136"/>
        <v>3</v>
      </c>
      <c r="BY99" s="66">
        <v>0</v>
      </c>
      <c r="BZ99" s="92">
        <f t="shared" si="140"/>
        <v>24</v>
      </c>
      <c r="CA99" s="204">
        <f>IF(BU99=0,0,BV99/BU99)</f>
        <v>0.68</v>
      </c>
      <c r="CB99" s="205">
        <f>IF(BU99=0,0,BY99/BU99)</f>
        <v>0</v>
      </c>
      <c r="CC99" s="87">
        <v>0</v>
      </c>
      <c r="CD99" s="87">
        <v>8.4</v>
      </c>
      <c r="CE99" s="87">
        <v>0.72</v>
      </c>
      <c r="CF99" s="170">
        <f t="shared" si="137"/>
        <v>2</v>
      </c>
      <c r="CG99" s="87">
        <v>0.49</v>
      </c>
      <c r="CH99" s="87">
        <v>0.35</v>
      </c>
      <c r="CI99" s="93">
        <v>1458</v>
      </c>
      <c r="CJ99" s="93"/>
      <c r="CK99" s="93"/>
      <c r="CL99" s="87">
        <v>0</v>
      </c>
      <c r="CM99" s="66">
        <v>1000</v>
      </c>
      <c r="CN99" s="93">
        <v>630.12</v>
      </c>
      <c r="CO99" s="108">
        <f t="shared" si="138"/>
        <v>1630.12</v>
      </c>
      <c r="CP99" s="108">
        <f t="shared" si="139"/>
        <v>63.012</v>
      </c>
    </row>
    <row r="100" spans="2:94" hidden="1" outlineLevel="1" x14ac:dyDescent="0.2">
      <c r="B100" s="72" t="s">
        <v>1551</v>
      </c>
      <c r="C100" s="57" t="s">
        <v>1387</v>
      </c>
      <c r="D100" s="57" t="s">
        <v>1440</v>
      </c>
      <c r="E100" s="65" t="s">
        <v>1389</v>
      </c>
      <c r="F100" s="57" t="s">
        <v>1454</v>
      </c>
      <c r="G100" s="62" t="s">
        <v>1556</v>
      </c>
      <c r="H100" s="128" t="b">
        <v>1</v>
      </c>
      <c r="I100" s="122" t="s">
        <v>1865</v>
      </c>
      <c r="N100" s="124">
        <v>21</v>
      </c>
      <c r="O100" s="124">
        <v>0.8</v>
      </c>
      <c r="P100" s="124">
        <v>5</v>
      </c>
      <c r="Q100" s="128" t="b">
        <v>1</v>
      </c>
      <c r="R100" s="127" t="s">
        <v>1559</v>
      </c>
      <c r="T100" s="126">
        <v>13</v>
      </c>
      <c r="U100" s="124">
        <v>1.4999999999999999E-2</v>
      </c>
      <c r="V100" s="126">
        <v>75</v>
      </c>
      <c r="W100" s="126">
        <v>-75</v>
      </c>
      <c r="X100" s="124">
        <v>50</v>
      </c>
      <c r="Y100" s="124">
        <v>5</v>
      </c>
      <c r="Z100" s="128" t="b">
        <v>1</v>
      </c>
      <c r="AA100" s="127" t="s">
        <v>1867</v>
      </c>
      <c r="AB100" s="122">
        <v>3</v>
      </c>
      <c r="AC100" s="146"/>
      <c r="AD100" s="147">
        <v>34</v>
      </c>
      <c r="AE100" s="124"/>
      <c r="AF100" s="124">
        <v>5.0000000000000001E-4</v>
      </c>
      <c r="AG100" s="135" t="b">
        <v>1</v>
      </c>
      <c r="AH100" s="125">
        <v>5</v>
      </c>
      <c r="AI100" s="125">
        <v>13</v>
      </c>
      <c r="AJ100" s="125">
        <v>34</v>
      </c>
      <c r="AK100" s="125">
        <v>89</v>
      </c>
      <c r="AL100" s="129" t="b">
        <v>0</v>
      </c>
      <c r="AM100" s="128" t="b">
        <v>1</v>
      </c>
      <c r="AN100" s="131" t="s">
        <v>1469</v>
      </c>
      <c r="AO100" s="127">
        <v>1E-4</v>
      </c>
      <c r="AP100" s="128" t="b">
        <v>1</v>
      </c>
      <c r="AQ100" s="131">
        <v>0.01</v>
      </c>
      <c r="AR100" s="150">
        <v>8</v>
      </c>
      <c r="AS100" s="150">
        <v>17</v>
      </c>
      <c r="AT100" s="150">
        <v>9</v>
      </c>
      <c r="AU100" s="128" t="b">
        <v>1</v>
      </c>
      <c r="AV100" s="124">
        <v>3</v>
      </c>
      <c r="AW100" s="146">
        <v>5</v>
      </c>
      <c r="AX100" s="124">
        <v>1</v>
      </c>
      <c r="AY100" s="128" t="b">
        <v>1</v>
      </c>
      <c r="AZ100" s="122" t="s">
        <v>1576</v>
      </c>
      <c r="BA100" s="122">
        <v>4</v>
      </c>
      <c r="BB100" s="153">
        <v>0.02</v>
      </c>
      <c r="BC100" s="153">
        <v>0.2</v>
      </c>
      <c r="BD100" s="129" t="b">
        <v>0</v>
      </c>
      <c r="BE100" s="122" t="s">
        <v>1873</v>
      </c>
      <c r="BF100" s="128" t="b">
        <v>1</v>
      </c>
      <c r="BG100" s="122" t="s">
        <v>1578</v>
      </c>
      <c r="BH100" s="122">
        <v>0.01</v>
      </c>
      <c r="BI100" s="156" t="s">
        <v>403</v>
      </c>
      <c r="BJ100" s="128" t="b">
        <v>1</v>
      </c>
      <c r="BK100" s="157">
        <v>2</v>
      </c>
      <c r="BL100" s="128" t="b">
        <v>1</v>
      </c>
      <c r="BM100" s="156" t="s">
        <v>412</v>
      </c>
      <c r="BN100" s="129" t="b">
        <v>0</v>
      </c>
      <c r="BO100" s="156" t="s">
        <v>1382</v>
      </c>
      <c r="BP100" s="157"/>
      <c r="BQ100" s="157"/>
      <c r="BR100" s="166" t="str">
        <f t="shared" si="97"/>
        <v>5/ 13/ 34/ 89</v>
      </c>
      <c r="BS100" s="166" t="str">
        <f t="shared" si="134"/>
        <v>8 / 17 / 9</v>
      </c>
      <c r="BT100" s="166" t="str">
        <f t="shared" si="135"/>
        <v>0.02 / 0.2</v>
      </c>
      <c r="BU100" s="66">
        <v>124</v>
      </c>
      <c r="BV100" s="66">
        <v>78</v>
      </c>
      <c r="BW100" s="66">
        <v>75</v>
      </c>
      <c r="BX100" s="99">
        <f t="shared" si="136"/>
        <v>3</v>
      </c>
      <c r="BY100" s="66">
        <v>2</v>
      </c>
      <c r="BZ100" s="92">
        <f t="shared" si="140"/>
        <v>44</v>
      </c>
      <c r="CA100" s="204">
        <f>IF(BU100=0,0,BV100/BU100)</f>
        <v>0.62903225806451613</v>
      </c>
      <c r="CB100" s="205">
        <f>IF(BU100=0,0,BY100/BU100)</f>
        <v>1.6129032258064516E-2</v>
      </c>
      <c r="CC100" s="87">
        <v>19.78</v>
      </c>
      <c r="CD100" s="87">
        <v>7.62</v>
      </c>
      <c r="CE100" s="87">
        <v>0.64</v>
      </c>
      <c r="CF100" s="170">
        <f t="shared" si="137"/>
        <v>2</v>
      </c>
      <c r="CG100" s="87">
        <v>0.46</v>
      </c>
      <c r="CH100" s="87">
        <v>0.33</v>
      </c>
      <c r="CI100" s="93">
        <v>1891</v>
      </c>
      <c r="CJ100" s="93"/>
      <c r="CK100" s="93"/>
      <c r="CL100" s="87">
        <v>-1.99</v>
      </c>
      <c r="CM100" s="66">
        <v>1000</v>
      </c>
      <c r="CN100" s="93">
        <v>945.38</v>
      </c>
      <c r="CO100" s="108">
        <f t="shared" si="138"/>
        <v>1945.38</v>
      </c>
      <c r="CP100" s="108">
        <f t="shared" si="139"/>
        <v>94.537999999999997</v>
      </c>
    </row>
    <row r="101" spans="2:94" hidden="1" outlineLevel="1" x14ac:dyDescent="0.2">
      <c r="B101" s="72" t="s">
        <v>1552</v>
      </c>
      <c r="C101" s="57" t="s">
        <v>1387</v>
      </c>
      <c r="D101" s="57" t="s">
        <v>1440</v>
      </c>
      <c r="E101" s="65" t="s">
        <v>1389</v>
      </c>
      <c r="F101" s="57" t="s">
        <v>1454</v>
      </c>
      <c r="G101" s="62" t="s">
        <v>1556</v>
      </c>
      <c r="H101" s="128" t="b">
        <v>1</v>
      </c>
      <c r="I101" s="122" t="s">
        <v>1865</v>
      </c>
      <c r="N101" s="124">
        <v>21</v>
      </c>
      <c r="O101" s="124">
        <v>0.8</v>
      </c>
      <c r="P101" s="124">
        <v>5</v>
      </c>
      <c r="Q101" s="128" t="b">
        <v>1</v>
      </c>
      <c r="R101" s="127" t="s">
        <v>1559</v>
      </c>
      <c r="T101" s="126">
        <v>13</v>
      </c>
      <c r="U101" s="124">
        <v>1.4999999999999999E-2</v>
      </c>
      <c r="V101" s="126">
        <v>75</v>
      </c>
      <c r="W101" s="126">
        <v>-75</v>
      </c>
      <c r="X101" s="124">
        <v>50</v>
      </c>
      <c r="Y101" s="124">
        <v>5</v>
      </c>
      <c r="Z101" s="128" t="b">
        <v>1</v>
      </c>
      <c r="AA101" s="127" t="s">
        <v>1867</v>
      </c>
      <c r="AB101" s="122">
        <v>3</v>
      </c>
      <c r="AC101" s="146"/>
      <c r="AD101" s="147">
        <v>34</v>
      </c>
      <c r="AE101" s="124"/>
      <c r="AF101" s="124">
        <v>5.0000000000000001E-4</v>
      </c>
      <c r="AG101" s="135" t="b">
        <v>1</v>
      </c>
      <c r="AH101" s="125">
        <v>5</v>
      </c>
      <c r="AI101" s="125">
        <v>13</v>
      </c>
      <c r="AJ101" s="125">
        <v>34</v>
      </c>
      <c r="AK101" s="125">
        <v>89</v>
      </c>
      <c r="AL101" s="129" t="b">
        <v>0</v>
      </c>
      <c r="AM101" s="128" t="b">
        <v>1</v>
      </c>
      <c r="AN101" s="131" t="s">
        <v>1469</v>
      </c>
      <c r="AO101" s="127">
        <v>1E-4</v>
      </c>
      <c r="AP101" s="128" t="b">
        <v>1</v>
      </c>
      <c r="AQ101" s="131">
        <v>0.01</v>
      </c>
      <c r="AR101" s="152">
        <v>12</v>
      </c>
      <c r="AS101" s="152">
        <v>26</v>
      </c>
      <c r="AT101" s="152">
        <v>9</v>
      </c>
      <c r="AU101" s="128" t="b">
        <v>1</v>
      </c>
      <c r="AV101" s="124">
        <v>3</v>
      </c>
      <c r="AW101" s="146">
        <v>5</v>
      </c>
      <c r="AX101" s="124">
        <v>1</v>
      </c>
      <c r="AY101" s="128" t="b">
        <v>1</v>
      </c>
      <c r="AZ101" s="122" t="s">
        <v>1576</v>
      </c>
      <c r="BA101" s="122">
        <v>4</v>
      </c>
      <c r="BB101" s="153">
        <v>0.02</v>
      </c>
      <c r="BC101" s="153">
        <v>0.2</v>
      </c>
      <c r="BD101" s="129" t="b">
        <v>0</v>
      </c>
      <c r="BE101" s="122" t="s">
        <v>1873</v>
      </c>
      <c r="BF101" s="128" t="b">
        <v>1</v>
      </c>
      <c r="BG101" s="122" t="s">
        <v>1578</v>
      </c>
      <c r="BH101" s="122">
        <v>0.01</v>
      </c>
      <c r="BI101" s="156" t="s">
        <v>403</v>
      </c>
      <c r="BJ101" s="128" t="b">
        <v>1</v>
      </c>
      <c r="BK101" s="157">
        <v>2</v>
      </c>
      <c r="BL101" s="128" t="b">
        <v>1</v>
      </c>
      <c r="BM101" s="156" t="s">
        <v>412</v>
      </c>
      <c r="BN101" s="129" t="b">
        <v>0</v>
      </c>
      <c r="BO101" s="156" t="s">
        <v>1382</v>
      </c>
      <c r="BP101" s="157"/>
      <c r="BQ101" s="157"/>
      <c r="BR101" s="166" t="str">
        <f t="shared" si="97"/>
        <v>5/ 13/ 34/ 89</v>
      </c>
      <c r="BS101" s="166" t="str">
        <f t="shared" si="134"/>
        <v>12 / 26 / 9</v>
      </c>
      <c r="BT101" s="166" t="str">
        <f t="shared" si="135"/>
        <v>0.02 / 0.2</v>
      </c>
      <c r="BU101" s="66">
        <v>87</v>
      </c>
      <c r="BV101" s="66">
        <v>55</v>
      </c>
      <c r="BW101" s="66">
        <v>52</v>
      </c>
      <c r="BX101" s="99">
        <f t="shared" si="136"/>
        <v>3</v>
      </c>
      <c r="BY101" s="66">
        <v>1</v>
      </c>
      <c r="BZ101" s="92">
        <f t="shared" si="140"/>
        <v>31</v>
      </c>
      <c r="CA101" s="204">
        <f t="shared" ref="CA101" si="143">IF(BU101=0,0,BV101/BU101)</f>
        <v>0.63218390804597702</v>
      </c>
      <c r="CB101" s="205">
        <f t="shared" ref="CB101" si="144">IF(BU101=0,0,BY101/BU101)</f>
        <v>1.1494252873563218E-2</v>
      </c>
      <c r="CC101" s="87">
        <v>24.68</v>
      </c>
      <c r="CD101" s="87">
        <v>8.06</v>
      </c>
      <c r="CE101" s="87">
        <v>0.64</v>
      </c>
      <c r="CF101" s="170">
        <f t="shared" si="137"/>
        <v>2</v>
      </c>
      <c r="CG101" s="87">
        <v>0.51</v>
      </c>
      <c r="CH101" s="87">
        <v>0.33</v>
      </c>
      <c r="CI101" s="93">
        <v>1668.2</v>
      </c>
      <c r="CJ101" s="93"/>
      <c r="CK101" s="93"/>
      <c r="CL101" s="87">
        <v>-1.99</v>
      </c>
      <c r="CM101" s="66">
        <v>1000</v>
      </c>
      <c r="CN101" s="93">
        <v>700.92</v>
      </c>
      <c r="CO101" s="108">
        <f t="shared" si="138"/>
        <v>1700.92</v>
      </c>
      <c r="CP101" s="108">
        <f t="shared" si="139"/>
        <v>70.091999999999999</v>
      </c>
    </row>
    <row r="102" spans="2:94" hidden="1" outlineLevel="1" x14ac:dyDescent="0.2">
      <c r="B102" s="72" t="s">
        <v>1553</v>
      </c>
      <c r="C102" s="57" t="s">
        <v>1387</v>
      </c>
      <c r="D102" s="57" t="s">
        <v>1440</v>
      </c>
      <c r="E102" s="65" t="s">
        <v>1389</v>
      </c>
      <c r="F102" s="57" t="s">
        <v>1454</v>
      </c>
      <c r="G102" s="62" t="s">
        <v>1556</v>
      </c>
      <c r="H102" s="128" t="b">
        <v>1</v>
      </c>
      <c r="I102" s="122" t="s">
        <v>1865</v>
      </c>
      <c r="N102" s="124">
        <v>21</v>
      </c>
      <c r="O102" s="124">
        <v>0.8</v>
      </c>
      <c r="P102" s="124">
        <v>5</v>
      </c>
      <c r="Q102" s="128" t="b">
        <v>1</v>
      </c>
      <c r="R102" s="127" t="s">
        <v>1559</v>
      </c>
      <c r="T102" s="126">
        <v>13</v>
      </c>
      <c r="U102" s="124">
        <v>1.4999999999999999E-2</v>
      </c>
      <c r="V102" s="126">
        <v>75</v>
      </c>
      <c r="W102" s="126">
        <v>-75</v>
      </c>
      <c r="X102" s="124">
        <v>50</v>
      </c>
      <c r="Y102" s="124">
        <v>5</v>
      </c>
      <c r="Z102" s="128" t="b">
        <v>1</v>
      </c>
      <c r="AA102" s="127" t="s">
        <v>1867</v>
      </c>
      <c r="AB102" s="122">
        <v>3</v>
      </c>
      <c r="AC102" s="146"/>
      <c r="AD102" s="147">
        <v>34</v>
      </c>
      <c r="AE102" s="124"/>
      <c r="AF102" s="124">
        <v>5.0000000000000001E-4</v>
      </c>
      <c r="AG102" s="135" t="b">
        <v>1</v>
      </c>
      <c r="AH102" s="125">
        <v>5</v>
      </c>
      <c r="AI102" s="125">
        <v>13</v>
      </c>
      <c r="AJ102" s="125">
        <v>34</v>
      </c>
      <c r="AK102" s="125">
        <v>89</v>
      </c>
      <c r="AL102" s="129" t="b">
        <v>0</v>
      </c>
      <c r="AM102" s="128" t="b">
        <v>1</v>
      </c>
      <c r="AN102" s="131" t="s">
        <v>1469</v>
      </c>
      <c r="AO102" s="127">
        <v>1E-4</v>
      </c>
      <c r="AP102" s="128" t="b">
        <v>1</v>
      </c>
      <c r="AQ102" s="131">
        <v>0.01</v>
      </c>
      <c r="AR102" s="137">
        <v>21</v>
      </c>
      <c r="AS102" s="137">
        <v>34</v>
      </c>
      <c r="AT102" s="137">
        <v>9</v>
      </c>
      <c r="AU102" s="128" t="b">
        <v>1</v>
      </c>
      <c r="AV102" s="124">
        <v>3</v>
      </c>
      <c r="AW102" s="146">
        <v>5</v>
      </c>
      <c r="AX102" s="124">
        <v>1</v>
      </c>
      <c r="AY102" s="128" t="b">
        <v>1</v>
      </c>
      <c r="AZ102" s="122" t="s">
        <v>1576</v>
      </c>
      <c r="BA102" s="122">
        <v>4</v>
      </c>
      <c r="BB102" s="153">
        <v>0.02</v>
      </c>
      <c r="BC102" s="153">
        <v>0.2</v>
      </c>
      <c r="BD102" s="129" t="b">
        <v>0</v>
      </c>
      <c r="BE102" s="122" t="s">
        <v>1873</v>
      </c>
      <c r="BF102" s="128" t="b">
        <v>1</v>
      </c>
      <c r="BG102" s="122" t="s">
        <v>1578</v>
      </c>
      <c r="BH102" s="122">
        <v>0.01</v>
      </c>
      <c r="BI102" s="156" t="s">
        <v>403</v>
      </c>
      <c r="BJ102" s="128" t="b">
        <v>1</v>
      </c>
      <c r="BK102" s="157">
        <v>2</v>
      </c>
      <c r="BL102" s="128" t="b">
        <v>1</v>
      </c>
      <c r="BM102" s="156" t="s">
        <v>412</v>
      </c>
      <c r="BN102" s="129" t="b">
        <v>0</v>
      </c>
      <c r="BO102" s="156" t="s">
        <v>1382</v>
      </c>
      <c r="BP102" s="157"/>
      <c r="BQ102" s="157"/>
      <c r="BR102" s="166" t="str">
        <f t="shared" si="97"/>
        <v>5/ 13/ 34/ 89</v>
      </c>
      <c r="BS102" s="166" t="str">
        <f t="shared" si="134"/>
        <v>21 / 34 / 9</v>
      </c>
      <c r="BT102" s="166" t="str">
        <f t="shared" si="135"/>
        <v>0.02 / 0.2</v>
      </c>
      <c r="BU102" s="66">
        <v>18</v>
      </c>
      <c r="BV102" s="66">
        <v>11</v>
      </c>
      <c r="BW102" s="66">
        <v>10</v>
      </c>
      <c r="BX102" s="99">
        <f t="shared" si="136"/>
        <v>1</v>
      </c>
      <c r="BY102" s="66">
        <v>0</v>
      </c>
      <c r="BZ102" s="92">
        <f t="shared" si="140"/>
        <v>7</v>
      </c>
      <c r="CA102" s="204">
        <f>IF(BU102=0,0,BV102/BU102)</f>
        <v>0.61111111111111116</v>
      </c>
      <c r="CB102" s="205">
        <f>IF(BU102=0,0,BY102/BU102)</f>
        <v>0</v>
      </c>
      <c r="CC102" s="87">
        <v>0</v>
      </c>
      <c r="CD102" s="88">
        <v>4.49</v>
      </c>
      <c r="CE102" s="87">
        <v>0.56000000000000005</v>
      </c>
      <c r="CF102" s="170">
        <f t="shared" si="137"/>
        <v>2</v>
      </c>
      <c r="CG102" s="87">
        <v>0.36</v>
      </c>
      <c r="CH102" s="87">
        <v>0.15</v>
      </c>
      <c r="CI102" s="93">
        <v>479.7</v>
      </c>
      <c r="CJ102" s="93"/>
      <c r="CK102" s="93"/>
      <c r="CL102" s="87">
        <v>0</v>
      </c>
      <c r="CM102" s="66">
        <v>1000</v>
      </c>
      <c r="CN102" s="101">
        <v>80.75</v>
      </c>
      <c r="CO102" s="109">
        <f t="shared" si="138"/>
        <v>1080.75</v>
      </c>
      <c r="CP102" s="109">
        <f t="shared" si="139"/>
        <v>8.0749999999999993</v>
      </c>
    </row>
    <row r="103" spans="2:94" hidden="1" outlineLevel="1" x14ac:dyDescent="0.2">
      <c r="G103" s="113"/>
      <c r="AE103" s="124"/>
      <c r="AO103" s="127"/>
      <c r="BB103" s="126"/>
      <c r="BC103" s="126"/>
      <c r="BV103" s="99"/>
    </row>
    <row r="104" spans="2:94" collapsed="1" x14ac:dyDescent="0.2">
      <c r="B104" s="72" t="s">
        <v>1587</v>
      </c>
      <c r="C104" s="57" t="s">
        <v>1387</v>
      </c>
      <c r="D104" s="57" t="s">
        <v>1440</v>
      </c>
      <c r="E104" s="65" t="s">
        <v>1389</v>
      </c>
      <c r="F104" s="57" t="s">
        <v>1454</v>
      </c>
      <c r="G104" s="62" t="s">
        <v>1556</v>
      </c>
      <c r="H104" s="128" t="b">
        <v>1</v>
      </c>
      <c r="I104" s="122" t="s">
        <v>1865</v>
      </c>
      <c r="N104" s="124">
        <v>21</v>
      </c>
      <c r="O104" s="132">
        <v>0.5</v>
      </c>
      <c r="P104" s="124">
        <v>5</v>
      </c>
      <c r="Q104" s="128" t="b">
        <v>1</v>
      </c>
      <c r="R104" s="128"/>
      <c r="T104" s="126">
        <v>13</v>
      </c>
      <c r="U104" s="124">
        <v>1.4999999999999999E-2</v>
      </c>
      <c r="V104" s="126">
        <v>75</v>
      </c>
      <c r="W104" s="126">
        <v>-75</v>
      </c>
      <c r="X104" s="124">
        <v>50</v>
      </c>
      <c r="Y104" s="124">
        <v>5</v>
      </c>
      <c r="Z104" s="128" t="b">
        <v>1</v>
      </c>
      <c r="AA104" s="127" t="s">
        <v>1867</v>
      </c>
      <c r="AB104" s="122">
        <v>3</v>
      </c>
      <c r="AC104" s="146"/>
      <c r="AD104" s="147">
        <v>34</v>
      </c>
      <c r="AE104" s="124"/>
      <c r="AF104" s="124">
        <v>5.0000000000000001E-4</v>
      </c>
      <c r="AG104" s="135" t="b">
        <v>1</v>
      </c>
      <c r="AH104" s="125">
        <v>5</v>
      </c>
      <c r="AI104" s="125">
        <v>13</v>
      </c>
      <c r="AJ104" s="125">
        <v>34</v>
      </c>
      <c r="AK104" s="125">
        <v>89</v>
      </c>
      <c r="AL104" s="129" t="b">
        <v>0</v>
      </c>
      <c r="AM104" s="128" t="b">
        <v>1</v>
      </c>
      <c r="AN104" s="131" t="s">
        <v>1469</v>
      </c>
      <c r="AO104" s="127">
        <v>1E-4</v>
      </c>
      <c r="AP104" s="128" t="b">
        <v>1</v>
      </c>
      <c r="AQ104" s="143">
        <v>5.0000000000000001E-4</v>
      </c>
      <c r="AR104" s="126">
        <v>5</v>
      </c>
      <c r="AS104" s="126">
        <v>8</v>
      </c>
      <c r="AT104" s="126">
        <v>5</v>
      </c>
      <c r="AU104" s="128" t="b">
        <v>1</v>
      </c>
      <c r="AV104" s="124">
        <v>3</v>
      </c>
      <c r="AW104" s="146">
        <v>5</v>
      </c>
      <c r="AX104" s="124">
        <v>1</v>
      </c>
      <c r="AY104" s="128" t="b">
        <v>1</v>
      </c>
      <c r="AZ104" s="122" t="s">
        <v>1586</v>
      </c>
      <c r="BA104" s="122">
        <v>4</v>
      </c>
      <c r="BB104" s="126">
        <v>0.05</v>
      </c>
      <c r="BC104" s="126">
        <v>0.5</v>
      </c>
      <c r="BD104" s="129" t="b">
        <v>0</v>
      </c>
      <c r="BE104" s="122" t="s">
        <v>1873</v>
      </c>
      <c r="BF104" s="128" t="b">
        <v>1</v>
      </c>
      <c r="BG104" s="122" t="s">
        <v>1578</v>
      </c>
      <c r="BH104" s="133">
        <v>0.02</v>
      </c>
      <c r="BI104" s="156" t="s">
        <v>403</v>
      </c>
      <c r="BJ104" s="128" t="b">
        <v>1</v>
      </c>
      <c r="BK104" s="160">
        <v>1</v>
      </c>
      <c r="BL104" s="129" t="b">
        <v>0</v>
      </c>
      <c r="BM104" s="156" t="s">
        <v>412</v>
      </c>
      <c r="BN104" s="129" t="b">
        <v>0</v>
      </c>
      <c r="BO104" s="156" t="s">
        <v>1382</v>
      </c>
      <c r="BP104" s="157"/>
      <c r="BQ104" s="157"/>
      <c r="BR104" s="166" t="str">
        <f t="shared" ref="BR104:BR111" si="145">AH104&amp;"/ "&amp;AI104&amp;"/ "&amp;AJ104&amp;"/ "&amp;AK104</f>
        <v>5/ 13/ 34/ 89</v>
      </c>
      <c r="BS104" s="166" t="str">
        <f>AR104&amp;" / "&amp;AS104&amp;" / "&amp;AT104</f>
        <v>5 / 8 / 5</v>
      </c>
      <c r="BT104" s="166" t="str">
        <f>BB104&amp;" / "&amp;BC104</f>
        <v>0.05 / 0.5</v>
      </c>
      <c r="BU104" s="66">
        <v>624</v>
      </c>
      <c r="BV104" s="66">
        <v>385</v>
      </c>
      <c r="BW104" s="66">
        <v>269</v>
      </c>
      <c r="BX104" s="99">
        <f>BV104-BW104</f>
        <v>116</v>
      </c>
      <c r="BY104" s="66">
        <v>73</v>
      </c>
      <c r="BZ104" s="92">
        <f>BU104-SUM(BW104:BY104)</f>
        <v>166</v>
      </c>
      <c r="CA104" s="204">
        <f>IF(BU104=0,0,BV104/BU104)</f>
        <v>0.61698717948717952</v>
      </c>
      <c r="CB104" s="205">
        <f>IF(BU104=0,0,BY104/BU104)</f>
        <v>0.11698717948717949</v>
      </c>
      <c r="CC104" s="87">
        <v>3.94</v>
      </c>
      <c r="CD104" s="87">
        <v>29.31</v>
      </c>
      <c r="CE104" s="87">
        <v>0.36</v>
      </c>
      <c r="CF104" s="170">
        <f>BK104</f>
        <v>1</v>
      </c>
      <c r="CG104" s="87">
        <v>0.53</v>
      </c>
      <c r="CH104" s="87">
        <v>0.46</v>
      </c>
      <c r="CI104" s="93">
        <v>5841.4</v>
      </c>
      <c r="CJ104" s="93"/>
      <c r="CK104" s="93"/>
      <c r="CL104" s="87">
        <v>-3.96</v>
      </c>
      <c r="CM104" s="66">
        <v>1000</v>
      </c>
      <c r="CN104" s="93">
        <v>18290.310000000001</v>
      </c>
      <c r="CO104" s="108">
        <f>CM104+CN104</f>
        <v>19290.310000000001</v>
      </c>
      <c r="CP104" s="108">
        <f>CN104/10</f>
        <v>1829.0310000000002</v>
      </c>
    </row>
    <row r="105" spans="2:94" hidden="1" outlineLevel="1" x14ac:dyDescent="0.2">
      <c r="B105" s="72" t="s">
        <v>1588</v>
      </c>
      <c r="C105" s="57" t="s">
        <v>1387</v>
      </c>
      <c r="D105" s="57" t="s">
        <v>1440</v>
      </c>
      <c r="E105" s="65" t="s">
        <v>1389</v>
      </c>
      <c r="F105" s="57" t="s">
        <v>1454</v>
      </c>
      <c r="G105" s="62" t="s">
        <v>1556</v>
      </c>
      <c r="H105" s="128" t="b">
        <v>1</v>
      </c>
      <c r="I105" s="122" t="s">
        <v>1865</v>
      </c>
      <c r="N105" s="124">
        <v>21</v>
      </c>
      <c r="O105" s="132">
        <v>0.5</v>
      </c>
      <c r="P105" s="124">
        <v>5</v>
      </c>
      <c r="Q105" s="128" t="b">
        <v>1</v>
      </c>
      <c r="R105" s="128"/>
      <c r="T105" s="126">
        <v>13</v>
      </c>
      <c r="U105" s="124">
        <v>1.4999999999999999E-2</v>
      </c>
      <c r="V105" s="126">
        <v>75</v>
      </c>
      <c r="W105" s="126">
        <v>-75</v>
      </c>
      <c r="X105" s="124">
        <v>50</v>
      </c>
      <c r="Y105" s="124">
        <v>5</v>
      </c>
      <c r="Z105" s="128" t="b">
        <v>1</v>
      </c>
      <c r="AA105" s="127" t="s">
        <v>1867</v>
      </c>
      <c r="AB105" s="133">
        <v>2</v>
      </c>
      <c r="AC105" s="146"/>
      <c r="AD105" s="147">
        <v>34</v>
      </c>
      <c r="AE105" s="124"/>
      <c r="AF105" s="124">
        <v>5.0000000000000001E-4</v>
      </c>
      <c r="AG105" s="135" t="b">
        <v>1</v>
      </c>
      <c r="AH105" s="125">
        <v>5</v>
      </c>
      <c r="AI105" s="125">
        <v>13</v>
      </c>
      <c r="AJ105" s="125">
        <v>34</v>
      </c>
      <c r="AK105" s="125">
        <v>89</v>
      </c>
      <c r="AL105" s="129" t="b">
        <v>0</v>
      </c>
      <c r="AM105" s="128" t="b">
        <v>1</v>
      </c>
      <c r="AN105" s="131" t="s">
        <v>1469</v>
      </c>
      <c r="AO105" s="127">
        <v>1E-4</v>
      </c>
      <c r="AP105" s="128" t="b">
        <v>1</v>
      </c>
      <c r="AQ105" s="143">
        <v>5.0000000000000001E-4</v>
      </c>
      <c r="AR105" s="126">
        <v>5</v>
      </c>
      <c r="AS105" s="126">
        <v>8</v>
      </c>
      <c r="AT105" s="126">
        <v>5</v>
      </c>
      <c r="AU105" s="128" t="b">
        <v>1</v>
      </c>
      <c r="AV105" s="124">
        <v>3</v>
      </c>
      <c r="AW105" s="146">
        <v>5</v>
      </c>
      <c r="AX105" s="124">
        <v>1</v>
      </c>
      <c r="AY105" s="128" t="b">
        <v>1</v>
      </c>
      <c r="AZ105" s="122" t="s">
        <v>1586</v>
      </c>
      <c r="BA105" s="122">
        <v>4</v>
      </c>
      <c r="BB105" s="126">
        <v>0.05</v>
      </c>
      <c r="BC105" s="126">
        <v>0.5</v>
      </c>
      <c r="BD105" s="129" t="b">
        <v>0</v>
      </c>
      <c r="BE105" s="122" t="s">
        <v>1873</v>
      </c>
      <c r="BF105" s="128" t="b">
        <v>1</v>
      </c>
      <c r="BG105" s="122" t="s">
        <v>1578</v>
      </c>
      <c r="BH105" s="133">
        <v>0.02</v>
      </c>
      <c r="BI105" s="156" t="s">
        <v>403</v>
      </c>
      <c r="BJ105" s="128" t="b">
        <v>1</v>
      </c>
      <c r="BK105" s="160">
        <v>1</v>
      </c>
      <c r="BL105" s="129" t="b">
        <v>0</v>
      </c>
      <c r="BM105" s="156" t="s">
        <v>412</v>
      </c>
      <c r="BN105" s="129" t="b">
        <v>0</v>
      </c>
      <c r="BO105" s="156" t="s">
        <v>1382</v>
      </c>
      <c r="BP105" s="157"/>
      <c r="BQ105" s="157"/>
      <c r="BR105" s="166" t="str">
        <f t="shared" si="145"/>
        <v>5/ 13/ 34/ 89</v>
      </c>
      <c r="BS105" s="166" t="str">
        <f>AR105&amp;" / "&amp;AS105&amp;" / "&amp;AT105</f>
        <v>5 / 8 / 5</v>
      </c>
      <c r="BT105" s="166" t="str">
        <f>BB105&amp;" / "&amp;BC105</f>
        <v>0.05 / 0.5</v>
      </c>
      <c r="BU105" s="66">
        <v>633</v>
      </c>
      <c r="BV105" s="66">
        <v>388</v>
      </c>
      <c r="BW105" s="66">
        <v>269</v>
      </c>
      <c r="BX105" s="99">
        <f>BV105-BW105</f>
        <v>119</v>
      </c>
      <c r="BY105" s="66">
        <v>74</v>
      </c>
      <c r="BZ105" s="92">
        <f>BU105-SUM(BW105:BY105)</f>
        <v>171</v>
      </c>
      <c r="CA105" s="204">
        <f t="shared" ref="CA105:CA107" si="146">IF(BU105=0,0,BV105/BU105)</f>
        <v>0.61295418641390209</v>
      </c>
      <c r="CB105" s="205">
        <f t="shared" ref="CB105:CB107" si="147">IF(BU105=0,0,BY105/BU105)</f>
        <v>0.11690363349131122</v>
      </c>
      <c r="CC105" s="87">
        <v>3.92</v>
      </c>
      <c r="CD105" s="87">
        <v>29.05</v>
      </c>
      <c r="CE105" s="87">
        <v>0.36</v>
      </c>
      <c r="CF105" s="170">
        <f>BK105</f>
        <v>1</v>
      </c>
      <c r="CG105" s="87">
        <v>0.52</v>
      </c>
      <c r="CH105" s="87">
        <v>0.46</v>
      </c>
      <c r="CI105" s="93">
        <v>5926.2</v>
      </c>
      <c r="CJ105" s="93"/>
      <c r="CK105" s="93"/>
      <c r="CL105" s="87">
        <v>-3.96</v>
      </c>
      <c r="CM105" s="66">
        <v>1000</v>
      </c>
      <c r="CN105" s="102">
        <v>18388.400000000001</v>
      </c>
      <c r="CO105" s="110">
        <f>CM105+CN105</f>
        <v>19388.400000000001</v>
      </c>
      <c r="CP105" s="110">
        <f>CN105/10</f>
        <v>1838.8400000000001</v>
      </c>
    </row>
    <row r="106" spans="2:94" hidden="1" outlineLevel="1" x14ac:dyDescent="0.2">
      <c r="B106" s="72" t="s">
        <v>1589</v>
      </c>
      <c r="C106" s="57" t="s">
        <v>1387</v>
      </c>
      <c r="D106" s="57" t="s">
        <v>1440</v>
      </c>
      <c r="E106" s="65" t="s">
        <v>1389</v>
      </c>
      <c r="F106" s="57" t="s">
        <v>1454</v>
      </c>
      <c r="G106" s="62" t="s">
        <v>1556</v>
      </c>
      <c r="H106" s="128" t="b">
        <v>1</v>
      </c>
      <c r="I106" s="122" t="s">
        <v>1865</v>
      </c>
      <c r="N106" s="124">
        <v>21</v>
      </c>
      <c r="O106" s="132">
        <v>0.5</v>
      </c>
      <c r="P106" s="124">
        <v>5</v>
      </c>
      <c r="Q106" s="128" t="b">
        <v>1</v>
      </c>
      <c r="R106" s="128"/>
      <c r="T106" s="126">
        <v>13</v>
      </c>
      <c r="U106" s="124">
        <v>1.4999999999999999E-2</v>
      </c>
      <c r="V106" s="126">
        <v>75</v>
      </c>
      <c r="W106" s="126">
        <v>-75</v>
      </c>
      <c r="X106" s="124">
        <v>50</v>
      </c>
      <c r="Y106" s="124">
        <v>5</v>
      </c>
      <c r="Z106" s="128" t="b">
        <v>1</v>
      </c>
      <c r="AA106" s="127" t="s">
        <v>1867</v>
      </c>
      <c r="AB106" s="134">
        <v>4</v>
      </c>
      <c r="AC106" s="146"/>
      <c r="AD106" s="147">
        <v>34</v>
      </c>
      <c r="AE106" s="124"/>
      <c r="AF106" s="124">
        <v>5.0000000000000001E-4</v>
      </c>
      <c r="AG106" s="135" t="b">
        <v>1</v>
      </c>
      <c r="AH106" s="125">
        <v>5</v>
      </c>
      <c r="AI106" s="125">
        <v>13</v>
      </c>
      <c r="AJ106" s="125">
        <v>34</v>
      </c>
      <c r="AK106" s="125">
        <v>89</v>
      </c>
      <c r="AL106" s="129" t="b">
        <v>0</v>
      </c>
      <c r="AM106" s="128" t="b">
        <v>1</v>
      </c>
      <c r="AN106" s="131" t="s">
        <v>1469</v>
      </c>
      <c r="AO106" s="127">
        <v>1E-4</v>
      </c>
      <c r="AP106" s="128" t="b">
        <v>1</v>
      </c>
      <c r="AQ106" s="143">
        <v>5.0000000000000001E-4</v>
      </c>
      <c r="AR106" s="126">
        <v>5</v>
      </c>
      <c r="AS106" s="126">
        <v>8</v>
      </c>
      <c r="AT106" s="126">
        <v>5</v>
      </c>
      <c r="AU106" s="128" t="b">
        <v>1</v>
      </c>
      <c r="AV106" s="124">
        <v>3</v>
      </c>
      <c r="AW106" s="146">
        <v>5</v>
      </c>
      <c r="AX106" s="124">
        <v>1</v>
      </c>
      <c r="AY106" s="128" t="b">
        <v>1</v>
      </c>
      <c r="AZ106" s="122" t="s">
        <v>1586</v>
      </c>
      <c r="BA106" s="122">
        <v>4</v>
      </c>
      <c r="BB106" s="126">
        <v>0.05</v>
      </c>
      <c r="BC106" s="126">
        <v>0.5</v>
      </c>
      <c r="BD106" s="129" t="b">
        <v>0</v>
      </c>
      <c r="BE106" s="122" t="s">
        <v>1873</v>
      </c>
      <c r="BF106" s="128" t="b">
        <v>1</v>
      </c>
      <c r="BG106" s="122" t="s">
        <v>1578</v>
      </c>
      <c r="BH106" s="133">
        <v>0.02</v>
      </c>
      <c r="BI106" s="156" t="s">
        <v>403</v>
      </c>
      <c r="BJ106" s="128" t="b">
        <v>1</v>
      </c>
      <c r="BK106" s="160">
        <v>1</v>
      </c>
      <c r="BL106" s="129" t="b">
        <v>0</v>
      </c>
      <c r="BM106" s="156" t="s">
        <v>412</v>
      </c>
      <c r="BN106" s="129" t="b">
        <v>0</v>
      </c>
      <c r="BO106" s="156" t="s">
        <v>1382</v>
      </c>
      <c r="BP106" s="157"/>
      <c r="BQ106" s="157"/>
      <c r="BR106" s="166" t="str">
        <f t="shared" si="145"/>
        <v>5/ 13/ 34/ 89</v>
      </c>
      <c r="BS106" s="166" t="str">
        <f>AR106&amp;" / "&amp;AS106&amp;" / "&amp;AT106</f>
        <v>5 / 8 / 5</v>
      </c>
      <c r="BT106" s="166" t="str">
        <f>BB106&amp;" / "&amp;BC106</f>
        <v>0.05 / 0.5</v>
      </c>
      <c r="BU106" s="66">
        <v>609</v>
      </c>
      <c r="BV106" s="66">
        <v>375</v>
      </c>
      <c r="BW106" s="66">
        <v>257</v>
      </c>
      <c r="BX106" s="99">
        <f>BV106-BW106</f>
        <v>118</v>
      </c>
      <c r="BY106" s="66">
        <v>74</v>
      </c>
      <c r="BZ106" s="92">
        <f>BU106-SUM(BW106:BY106)</f>
        <v>160</v>
      </c>
      <c r="CA106" s="204">
        <f t="shared" si="146"/>
        <v>0.61576354679802958</v>
      </c>
      <c r="CB106" s="205">
        <f t="shared" si="147"/>
        <v>0.12151067323481117</v>
      </c>
      <c r="CC106" s="87">
        <v>4.13</v>
      </c>
      <c r="CD106" s="87">
        <v>28.3</v>
      </c>
      <c r="CE106" s="87">
        <v>0.38</v>
      </c>
      <c r="CF106" s="170">
        <f>BK106</f>
        <v>1</v>
      </c>
      <c r="CG106" s="87">
        <v>0.53</v>
      </c>
      <c r="CH106" s="87">
        <v>0.48</v>
      </c>
      <c r="CI106" s="93">
        <v>5714.2</v>
      </c>
      <c r="CJ106" s="93"/>
      <c r="CK106" s="93"/>
      <c r="CL106" s="87">
        <v>-4.2699999999999996</v>
      </c>
      <c r="CM106" s="66">
        <v>1000</v>
      </c>
      <c r="CN106" s="93">
        <v>17237.18</v>
      </c>
      <c r="CO106" s="108">
        <f>CM106+CN106</f>
        <v>18237.18</v>
      </c>
      <c r="CP106" s="108">
        <f>CN106/10</f>
        <v>1723.7180000000001</v>
      </c>
    </row>
    <row r="107" spans="2:94" hidden="1" outlineLevel="1" x14ac:dyDescent="0.2">
      <c r="B107" s="72" t="s">
        <v>1590</v>
      </c>
      <c r="C107" s="57" t="s">
        <v>1387</v>
      </c>
      <c r="D107" s="57" t="s">
        <v>1440</v>
      </c>
      <c r="E107" s="65" t="s">
        <v>1389</v>
      </c>
      <c r="F107" s="57" t="s">
        <v>1454</v>
      </c>
      <c r="G107" s="62" t="s">
        <v>1556</v>
      </c>
      <c r="H107" s="128" t="b">
        <v>1</v>
      </c>
      <c r="I107" s="122" t="s">
        <v>1865</v>
      </c>
      <c r="N107" s="124">
        <v>21</v>
      </c>
      <c r="O107" s="132">
        <v>0.5</v>
      </c>
      <c r="P107" s="124">
        <v>5</v>
      </c>
      <c r="Q107" s="128" t="b">
        <v>1</v>
      </c>
      <c r="R107" s="128"/>
      <c r="T107" s="126">
        <v>13</v>
      </c>
      <c r="U107" s="124">
        <v>1.4999999999999999E-2</v>
      </c>
      <c r="V107" s="126">
        <v>75</v>
      </c>
      <c r="W107" s="126">
        <v>-75</v>
      </c>
      <c r="X107" s="124">
        <v>50</v>
      </c>
      <c r="Y107" s="124">
        <v>5</v>
      </c>
      <c r="Z107" s="128" t="b">
        <v>1</v>
      </c>
      <c r="AA107" s="127" t="s">
        <v>1867</v>
      </c>
      <c r="AB107" s="133">
        <v>2</v>
      </c>
      <c r="AC107" s="146"/>
      <c r="AD107" s="147">
        <v>34</v>
      </c>
      <c r="AE107" s="124"/>
      <c r="AF107" s="124">
        <v>5.0000000000000001E-4</v>
      </c>
      <c r="AG107" s="135" t="b">
        <v>1</v>
      </c>
      <c r="AH107" s="125">
        <v>5</v>
      </c>
      <c r="AI107" s="125">
        <v>13</v>
      </c>
      <c r="AJ107" s="125">
        <v>34</v>
      </c>
      <c r="AK107" s="125">
        <v>89</v>
      </c>
      <c r="AL107" s="129" t="b">
        <v>0</v>
      </c>
      <c r="AM107" s="128" t="b">
        <v>1</v>
      </c>
      <c r="AN107" s="131" t="s">
        <v>1469</v>
      </c>
      <c r="AO107" s="127">
        <v>1E-4</v>
      </c>
      <c r="AP107" s="128" t="b">
        <v>1</v>
      </c>
      <c r="AQ107" s="143">
        <v>5.0000000000000001E-4</v>
      </c>
      <c r="AR107" s="126">
        <v>5</v>
      </c>
      <c r="AS107" s="126">
        <v>8</v>
      </c>
      <c r="AT107" s="126">
        <v>5</v>
      </c>
      <c r="AU107" s="128" t="b">
        <v>1</v>
      </c>
      <c r="AV107" s="124">
        <v>3</v>
      </c>
      <c r="AW107" s="146">
        <v>5</v>
      </c>
      <c r="AX107" s="124">
        <v>1</v>
      </c>
      <c r="AY107" s="128" t="b">
        <v>1</v>
      </c>
      <c r="AZ107" s="122" t="s">
        <v>1586</v>
      </c>
      <c r="BA107" s="122">
        <v>4</v>
      </c>
      <c r="BB107" s="126">
        <v>0.05</v>
      </c>
      <c r="BC107" s="126">
        <v>0.5</v>
      </c>
      <c r="BD107" s="129" t="b">
        <v>0</v>
      </c>
      <c r="BE107" s="122" t="s">
        <v>1873</v>
      </c>
      <c r="BF107" s="128" t="b">
        <v>1</v>
      </c>
      <c r="BG107" s="122" t="s">
        <v>1578</v>
      </c>
      <c r="BH107" s="134">
        <v>0.05</v>
      </c>
      <c r="BI107" s="156" t="s">
        <v>403</v>
      </c>
      <c r="BJ107" s="128" t="b">
        <v>1</v>
      </c>
      <c r="BK107" s="160">
        <v>1</v>
      </c>
      <c r="BL107" s="129" t="b">
        <v>0</v>
      </c>
      <c r="BM107" s="156" t="s">
        <v>412</v>
      </c>
      <c r="BN107" s="129" t="b">
        <v>0</v>
      </c>
      <c r="BO107" s="156" t="s">
        <v>1382</v>
      </c>
      <c r="BP107" s="157"/>
      <c r="BQ107" s="157"/>
      <c r="BR107" s="166" t="str">
        <f t="shared" si="145"/>
        <v>5/ 13/ 34/ 89</v>
      </c>
      <c r="BS107" s="166" t="str">
        <f>AR107&amp;" / "&amp;AS107&amp;" / "&amp;AT107</f>
        <v>5 / 8 / 5</v>
      </c>
      <c r="BT107" s="166" t="str">
        <f>BB107&amp;" / "&amp;BC107</f>
        <v>0.05 / 0.5</v>
      </c>
      <c r="BU107" s="66">
        <v>633</v>
      </c>
      <c r="BV107" s="66">
        <v>388</v>
      </c>
      <c r="BW107" s="66">
        <v>269</v>
      </c>
      <c r="BX107" s="99">
        <f>BV107-BW107</f>
        <v>119</v>
      </c>
      <c r="BY107" s="66">
        <v>74</v>
      </c>
      <c r="BZ107" s="92">
        <f>BU107-SUM(BW107:BY107)</f>
        <v>171</v>
      </c>
      <c r="CA107" s="204">
        <f t="shared" si="146"/>
        <v>0.61295418641390209</v>
      </c>
      <c r="CB107" s="205">
        <f t="shared" si="147"/>
        <v>0.11690363349131122</v>
      </c>
      <c r="CC107" s="87">
        <v>3.92</v>
      </c>
      <c r="CD107" s="87">
        <v>29.05</v>
      </c>
      <c r="CE107" s="87">
        <v>0.36</v>
      </c>
      <c r="CF107" s="170">
        <f>BK107</f>
        <v>1</v>
      </c>
      <c r="CG107" s="87">
        <v>0.52</v>
      </c>
      <c r="CH107" s="87">
        <v>0.46</v>
      </c>
      <c r="CI107" s="93">
        <v>5926.2</v>
      </c>
      <c r="CJ107" s="93"/>
      <c r="CK107" s="93"/>
      <c r="CL107" s="87">
        <v>-3.96</v>
      </c>
      <c r="CM107" s="66">
        <v>1000</v>
      </c>
      <c r="CN107" s="93">
        <v>18388.400000000001</v>
      </c>
      <c r="CO107" s="108">
        <f>CM107+CN107</f>
        <v>19388.400000000001</v>
      </c>
      <c r="CP107" s="108">
        <f>CN107/10</f>
        <v>1838.8400000000001</v>
      </c>
    </row>
    <row r="108" spans="2:94" hidden="1" outlineLevel="1" x14ac:dyDescent="0.2">
      <c r="G108" s="113"/>
      <c r="AE108" s="124"/>
      <c r="AO108" s="127"/>
      <c r="BB108" s="126"/>
      <c r="BC108" s="126"/>
      <c r="BV108" s="99"/>
    </row>
    <row r="109" spans="2:94" collapsed="1" x14ac:dyDescent="0.2">
      <c r="B109" s="72" t="s">
        <v>1591</v>
      </c>
      <c r="C109" s="57" t="s">
        <v>1387</v>
      </c>
      <c r="D109" s="57" t="s">
        <v>1440</v>
      </c>
      <c r="E109" s="65" t="s">
        <v>1389</v>
      </c>
      <c r="F109" s="57" t="s">
        <v>1454</v>
      </c>
      <c r="G109" s="62" t="s">
        <v>1556</v>
      </c>
      <c r="H109" s="128" t="b">
        <v>1</v>
      </c>
      <c r="I109" s="122" t="s">
        <v>1865</v>
      </c>
      <c r="N109" s="124">
        <v>21</v>
      </c>
      <c r="O109" s="132">
        <v>0.5</v>
      </c>
      <c r="P109" s="124">
        <v>5</v>
      </c>
      <c r="Q109" s="128" t="b">
        <v>1</v>
      </c>
      <c r="R109" s="128"/>
      <c r="T109" s="126">
        <v>13</v>
      </c>
      <c r="U109" s="124">
        <v>1.4999999999999999E-2</v>
      </c>
      <c r="V109" s="126">
        <v>75</v>
      </c>
      <c r="W109" s="126">
        <v>-75</v>
      </c>
      <c r="X109" s="124">
        <v>50</v>
      </c>
      <c r="Y109" s="124">
        <v>5</v>
      </c>
      <c r="Z109" s="128" t="b">
        <v>1</v>
      </c>
      <c r="AA109" s="127" t="s">
        <v>1867</v>
      </c>
      <c r="AB109" s="133">
        <v>2</v>
      </c>
      <c r="AC109" s="146"/>
      <c r="AD109" s="147">
        <v>34</v>
      </c>
      <c r="AE109" s="124"/>
      <c r="AF109" s="124">
        <v>5.0000000000000001E-4</v>
      </c>
      <c r="AG109" s="135" t="b">
        <v>1</v>
      </c>
      <c r="AH109" s="125">
        <v>5</v>
      </c>
      <c r="AI109" s="125">
        <v>13</v>
      </c>
      <c r="AJ109" s="125">
        <v>34</v>
      </c>
      <c r="AK109" s="125">
        <v>89</v>
      </c>
      <c r="AL109" s="129" t="b">
        <v>0</v>
      </c>
      <c r="AM109" s="128" t="b">
        <v>1</v>
      </c>
      <c r="AN109" s="131" t="s">
        <v>1469</v>
      </c>
      <c r="AO109" s="127">
        <v>1E-4</v>
      </c>
      <c r="AP109" s="128" t="b">
        <v>1</v>
      </c>
      <c r="AQ109" s="143">
        <v>5.0000000000000001E-4</v>
      </c>
      <c r="AR109" s="126">
        <v>5</v>
      </c>
      <c r="AS109" s="126">
        <v>8</v>
      </c>
      <c r="AT109" s="126">
        <v>5</v>
      </c>
      <c r="AU109" s="128" t="b">
        <v>1</v>
      </c>
      <c r="AV109" s="124">
        <v>3</v>
      </c>
      <c r="AW109" s="146">
        <v>5</v>
      </c>
      <c r="AX109" s="124">
        <v>1</v>
      </c>
      <c r="AY109" s="128" t="b">
        <v>1</v>
      </c>
      <c r="AZ109" s="122" t="s">
        <v>1586</v>
      </c>
      <c r="BA109" s="122">
        <v>4</v>
      </c>
      <c r="BB109" s="126">
        <v>0.05</v>
      </c>
      <c r="BC109" s="126">
        <v>0.5</v>
      </c>
      <c r="BD109" s="129" t="b">
        <v>0</v>
      </c>
      <c r="BE109" s="122" t="s">
        <v>1873</v>
      </c>
      <c r="BF109" s="128" t="b">
        <v>1</v>
      </c>
      <c r="BG109" s="122" t="s">
        <v>1578</v>
      </c>
      <c r="BH109" s="133">
        <v>0.02</v>
      </c>
      <c r="BI109" s="156" t="s">
        <v>403</v>
      </c>
      <c r="BJ109" s="128" t="b">
        <v>1</v>
      </c>
      <c r="BK109" s="161">
        <v>1.5</v>
      </c>
      <c r="BL109" s="129" t="b">
        <v>0</v>
      </c>
      <c r="BM109" s="156" t="s">
        <v>412</v>
      </c>
      <c r="BN109" s="129" t="b">
        <v>0</v>
      </c>
      <c r="BO109" s="156" t="s">
        <v>1382</v>
      </c>
      <c r="BP109" s="157"/>
      <c r="BQ109" s="157"/>
      <c r="BR109" s="166" t="str">
        <f t="shared" si="145"/>
        <v>5/ 13/ 34/ 89</v>
      </c>
      <c r="BS109" s="166" t="str">
        <f>AR109&amp;" / "&amp;AS109&amp;" / "&amp;AT109</f>
        <v>5 / 8 / 5</v>
      </c>
      <c r="BT109" s="166" t="str">
        <f>BB109&amp;" / "&amp;BC109</f>
        <v>0.05 / 0.5</v>
      </c>
      <c r="BU109" s="66">
        <v>617</v>
      </c>
      <c r="BV109" s="66">
        <v>382</v>
      </c>
      <c r="BW109" s="66">
        <v>325</v>
      </c>
      <c r="BX109" s="99">
        <f>BV109-BW109</f>
        <v>57</v>
      </c>
      <c r="BY109" s="66">
        <v>70</v>
      </c>
      <c r="BZ109" s="92">
        <f>BU109-SUM(BW109:BY109)</f>
        <v>165</v>
      </c>
      <c r="CA109" s="204">
        <f>IF(BU109=0,0,BV109/BU109)</f>
        <v>0.61912479740680715</v>
      </c>
      <c r="CB109" s="205">
        <f>IF(BU109=0,0,BY109/BU109)</f>
        <v>0.11345218800648298</v>
      </c>
      <c r="CC109" s="87">
        <v>4.67</v>
      </c>
      <c r="CD109" s="87">
        <v>59.17</v>
      </c>
      <c r="CE109" s="87">
        <v>0.35</v>
      </c>
      <c r="CF109" s="170">
        <f>BK109</f>
        <v>1.5</v>
      </c>
      <c r="CG109" s="87">
        <v>0.61</v>
      </c>
      <c r="CH109" s="87">
        <v>0.46</v>
      </c>
      <c r="CI109" s="93">
        <v>6514.7</v>
      </c>
      <c r="CJ109" s="93"/>
      <c r="CK109" s="93"/>
      <c r="CL109" s="87">
        <v>-3.96</v>
      </c>
      <c r="CM109" s="66">
        <v>1000</v>
      </c>
      <c r="CN109" s="102">
        <v>36506.47</v>
      </c>
      <c r="CO109" s="110">
        <f>CM109+CN109</f>
        <v>37506.47</v>
      </c>
      <c r="CP109" s="110">
        <f>CN109/10</f>
        <v>3650.6469999999999</v>
      </c>
    </row>
    <row r="110" spans="2:94" hidden="1" outlineLevel="1" x14ac:dyDescent="0.2">
      <c r="B110" s="72" t="s">
        <v>1592</v>
      </c>
      <c r="C110" s="57" t="s">
        <v>1387</v>
      </c>
      <c r="D110" s="57" t="s">
        <v>1440</v>
      </c>
      <c r="E110" s="65" t="s">
        <v>1389</v>
      </c>
      <c r="F110" s="57" t="s">
        <v>1454</v>
      </c>
      <c r="G110" s="62" t="s">
        <v>1556</v>
      </c>
      <c r="H110" s="128" t="b">
        <v>1</v>
      </c>
      <c r="I110" s="122" t="s">
        <v>1865</v>
      </c>
      <c r="N110" s="124">
        <v>21</v>
      </c>
      <c r="O110" s="132">
        <v>0.5</v>
      </c>
      <c r="P110" s="124">
        <v>5</v>
      </c>
      <c r="Q110" s="128" t="b">
        <v>1</v>
      </c>
      <c r="R110" s="128"/>
      <c r="T110" s="126">
        <v>13</v>
      </c>
      <c r="U110" s="124">
        <v>1.4999999999999999E-2</v>
      </c>
      <c r="V110" s="126">
        <v>75</v>
      </c>
      <c r="W110" s="126">
        <v>-75</v>
      </c>
      <c r="X110" s="124">
        <v>50</v>
      </c>
      <c r="Y110" s="124">
        <v>5</v>
      </c>
      <c r="Z110" s="128" t="b">
        <v>1</v>
      </c>
      <c r="AA110" s="127" t="s">
        <v>1867</v>
      </c>
      <c r="AB110" s="133">
        <v>2</v>
      </c>
      <c r="AC110" s="146"/>
      <c r="AD110" s="147">
        <v>34</v>
      </c>
      <c r="AE110" s="124"/>
      <c r="AF110" s="124">
        <v>5.0000000000000001E-4</v>
      </c>
      <c r="AG110" s="135" t="b">
        <v>1</v>
      </c>
      <c r="AH110" s="125">
        <v>5</v>
      </c>
      <c r="AI110" s="125">
        <v>13</v>
      </c>
      <c r="AJ110" s="125">
        <v>34</v>
      </c>
      <c r="AK110" s="125">
        <v>89</v>
      </c>
      <c r="AL110" s="129" t="b">
        <v>0</v>
      </c>
      <c r="AM110" s="128" t="b">
        <v>1</v>
      </c>
      <c r="AN110" s="131" t="s">
        <v>1469</v>
      </c>
      <c r="AO110" s="127">
        <v>1E-4</v>
      </c>
      <c r="AP110" s="128" t="b">
        <v>1</v>
      </c>
      <c r="AQ110" s="143">
        <v>5.0000000000000001E-4</v>
      </c>
      <c r="AR110" s="126">
        <v>5</v>
      </c>
      <c r="AS110" s="126">
        <v>8</v>
      </c>
      <c r="AT110" s="126">
        <v>5</v>
      </c>
      <c r="AU110" s="128" t="b">
        <v>1</v>
      </c>
      <c r="AV110" s="124">
        <v>3</v>
      </c>
      <c r="AW110" s="146">
        <v>5</v>
      </c>
      <c r="AX110" s="124">
        <v>1</v>
      </c>
      <c r="AY110" s="128" t="b">
        <v>1</v>
      </c>
      <c r="AZ110" s="122" t="s">
        <v>1586</v>
      </c>
      <c r="BA110" s="122">
        <v>4</v>
      </c>
      <c r="BB110" s="126">
        <v>0.05</v>
      </c>
      <c r="BC110" s="126">
        <v>0.5</v>
      </c>
      <c r="BD110" s="129" t="b">
        <v>0</v>
      </c>
      <c r="BE110" s="122" t="s">
        <v>1873</v>
      </c>
      <c r="BF110" s="128" t="b">
        <v>1</v>
      </c>
      <c r="BG110" s="122" t="s">
        <v>1578</v>
      </c>
      <c r="BH110" s="133">
        <v>0.02</v>
      </c>
      <c r="BI110" s="156" t="s">
        <v>403</v>
      </c>
      <c r="BJ110" s="128" t="b">
        <v>1</v>
      </c>
      <c r="BK110" s="161">
        <v>1.5</v>
      </c>
      <c r="BL110" s="128" t="b">
        <v>1</v>
      </c>
      <c r="BM110" s="164" t="s">
        <v>405</v>
      </c>
      <c r="BN110" s="129" t="b">
        <v>0</v>
      </c>
      <c r="BO110" s="156" t="s">
        <v>1382</v>
      </c>
      <c r="BP110" s="157"/>
      <c r="BQ110" s="157"/>
      <c r="BR110" s="166" t="str">
        <f t="shared" si="145"/>
        <v>5/ 13/ 34/ 89</v>
      </c>
      <c r="BS110" s="166" t="str">
        <f>AR110&amp;" / "&amp;AS110&amp;" / "&amp;AT110</f>
        <v>5 / 8 / 5</v>
      </c>
      <c r="BT110" s="166" t="str">
        <f>BB110&amp;" / "&amp;BC110</f>
        <v>0.05 / 0.5</v>
      </c>
      <c r="BU110" s="66">
        <v>620</v>
      </c>
      <c r="BV110" s="66">
        <v>384</v>
      </c>
      <c r="BW110" s="66">
        <v>328</v>
      </c>
      <c r="BX110" s="99">
        <f>BV110-BW110</f>
        <v>56</v>
      </c>
      <c r="BY110" s="66">
        <v>70</v>
      </c>
      <c r="BZ110" s="92">
        <f>BU110-SUM(BW110:BY110)</f>
        <v>166</v>
      </c>
      <c r="CA110" s="204">
        <f t="shared" ref="CA110:CA111" si="148">IF(BU110=0,0,BV110/BU110)</f>
        <v>0.61935483870967745</v>
      </c>
      <c r="CB110" s="205">
        <f t="shared" ref="CB110:CB111" si="149">IF(BU110=0,0,BY110/BU110)</f>
        <v>0.11290322580645161</v>
      </c>
      <c r="CC110" s="87">
        <v>4.6500000000000004</v>
      </c>
      <c r="CD110" s="87">
        <v>58.66</v>
      </c>
      <c r="CE110" s="87">
        <v>0.35</v>
      </c>
      <c r="CF110" s="170">
        <f>BK110</f>
        <v>1.5</v>
      </c>
      <c r="CG110" s="87">
        <v>0.61</v>
      </c>
      <c r="CH110" s="87">
        <v>0.46</v>
      </c>
      <c r="CI110" s="93">
        <v>6556.7</v>
      </c>
      <c r="CJ110" s="93"/>
      <c r="CK110" s="93"/>
      <c r="CL110" s="87">
        <v>-3.96</v>
      </c>
      <c r="CM110" s="66">
        <v>1000</v>
      </c>
      <c r="CN110" s="93">
        <v>36366.99</v>
      </c>
      <c r="CO110" s="108">
        <f>CM110+CN110</f>
        <v>37366.99</v>
      </c>
      <c r="CP110" s="108">
        <f>CN110/10</f>
        <v>3636.6989999999996</v>
      </c>
    </row>
    <row r="111" spans="2:94" hidden="1" outlineLevel="1" x14ac:dyDescent="0.2">
      <c r="B111" s="72" t="s">
        <v>1593</v>
      </c>
      <c r="C111" s="57" t="s">
        <v>1387</v>
      </c>
      <c r="D111" s="57" t="s">
        <v>1440</v>
      </c>
      <c r="E111" s="65" t="s">
        <v>1389</v>
      </c>
      <c r="F111" s="57" t="s">
        <v>1454</v>
      </c>
      <c r="G111" s="62" t="s">
        <v>1556</v>
      </c>
      <c r="H111" s="128" t="b">
        <v>1</v>
      </c>
      <c r="I111" s="122" t="s">
        <v>1865</v>
      </c>
      <c r="N111" s="124">
        <v>21</v>
      </c>
      <c r="O111" s="132">
        <v>0.5</v>
      </c>
      <c r="P111" s="124">
        <v>5</v>
      </c>
      <c r="Q111" s="128" t="b">
        <v>1</v>
      </c>
      <c r="R111" s="128"/>
      <c r="T111" s="126">
        <v>13</v>
      </c>
      <c r="U111" s="124">
        <v>1.4999999999999999E-2</v>
      </c>
      <c r="V111" s="126">
        <v>75</v>
      </c>
      <c r="W111" s="126">
        <v>-75</v>
      </c>
      <c r="X111" s="124">
        <v>50</v>
      </c>
      <c r="Y111" s="124">
        <v>5</v>
      </c>
      <c r="Z111" s="128" t="b">
        <v>1</v>
      </c>
      <c r="AA111" s="127" t="s">
        <v>1867</v>
      </c>
      <c r="AB111" s="133">
        <v>2</v>
      </c>
      <c r="AC111" s="146"/>
      <c r="AD111" s="147">
        <v>34</v>
      </c>
      <c r="AE111" s="124"/>
      <c r="AF111" s="124">
        <v>5.0000000000000001E-4</v>
      </c>
      <c r="AG111" s="135" t="b">
        <v>1</v>
      </c>
      <c r="AH111" s="125">
        <v>5</v>
      </c>
      <c r="AI111" s="125">
        <v>13</v>
      </c>
      <c r="AJ111" s="125">
        <v>34</v>
      </c>
      <c r="AK111" s="125">
        <v>89</v>
      </c>
      <c r="AL111" s="129" t="b">
        <v>0</v>
      </c>
      <c r="AM111" s="128" t="b">
        <v>1</v>
      </c>
      <c r="AN111" s="131" t="s">
        <v>1469</v>
      </c>
      <c r="AO111" s="127">
        <v>1E-4</v>
      </c>
      <c r="AP111" s="128" t="b">
        <v>1</v>
      </c>
      <c r="AQ111" s="143">
        <v>5.0000000000000001E-4</v>
      </c>
      <c r="AR111" s="126">
        <v>5</v>
      </c>
      <c r="AS111" s="126">
        <v>8</v>
      </c>
      <c r="AT111" s="126">
        <v>5</v>
      </c>
      <c r="AU111" s="128" t="b">
        <v>1</v>
      </c>
      <c r="AV111" s="124">
        <v>3</v>
      </c>
      <c r="AW111" s="146">
        <v>5</v>
      </c>
      <c r="AX111" s="124">
        <v>1</v>
      </c>
      <c r="AY111" s="128" t="b">
        <v>1</v>
      </c>
      <c r="AZ111" s="122" t="s">
        <v>1586</v>
      </c>
      <c r="BA111" s="122">
        <v>4</v>
      </c>
      <c r="BB111" s="126">
        <v>0.05</v>
      </c>
      <c r="BC111" s="126">
        <v>0.5</v>
      </c>
      <c r="BD111" s="129" t="b">
        <v>0</v>
      </c>
      <c r="BE111" s="122" t="s">
        <v>1873</v>
      </c>
      <c r="BF111" s="128" t="b">
        <v>1</v>
      </c>
      <c r="BG111" s="122" t="s">
        <v>1578</v>
      </c>
      <c r="BH111" s="133">
        <v>0.02</v>
      </c>
      <c r="BI111" s="156" t="s">
        <v>403</v>
      </c>
      <c r="BJ111" s="128" t="b">
        <v>1</v>
      </c>
      <c r="BK111" s="161">
        <v>1.5</v>
      </c>
      <c r="BL111" s="128" t="b">
        <v>1</v>
      </c>
      <c r="BM111" s="156" t="s">
        <v>412</v>
      </c>
      <c r="BN111" s="129" t="b">
        <v>0</v>
      </c>
      <c r="BO111" s="156" t="s">
        <v>1382</v>
      </c>
      <c r="BP111" s="157"/>
      <c r="BQ111" s="157"/>
      <c r="BR111" s="166" t="str">
        <f t="shared" si="145"/>
        <v>5/ 13/ 34/ 89</v>
      </c>
      <c r="BS111" s="166" t="str">
        <f>AR111&amp;" / "&amp;AS111&amp;" / "&amp;AT111</f>
        <v>5 / 8 / 5</v>
      </c>
      <c r="BT111" s="166" t="str">
        <f>BB111&amp;" / "&amp;BC111</f>
        <v>0.05 / 0.5</v>
      </c>
      <c r="BU111" s="66">
        <v>621</v>
      </c>
      <c r="BV111" s="66">
        <v>368</v>
      </c>
      <c r="BW111" s="66">
        <v>316</v>
      </c>
      <c r="BX111" s="99">
        <f>BV111-BW111</f>
        <v>52</v>
      </c>
      <c r="BY111" s="66">
        <v>68</v>
      </c>
      <c r="BZ111" s="92">
        <f>BU111-SUM(BW111:BY111)</f>
        <v>185</v>
      </c>
      <c r="CA111" s="204">
        <f t="shared" si="148"/>
        <v>0.59259259259259256</v>
      </c>
      <c r="CB111" s="205">
        <f t="shared" si="149"/>
        <v>0.10950080515297907</v>
      </c>
      <c r="CC111" s="87">
        <v>4.62</v>
      </c>
      <c r="CD111" s="87">
        <v>50.15</v>
      </c>
      <c r="CE111" s="87">
        <v>0.34</v>
      </c>
      <c r="CF111" s="170">
        <f>BK111</f>
        <v>1.5</v>
      </c>
      <c r="CG111" s="87">
        <v>0.61</v>
      </c>
      <c r="CH111" s="87">
        <v>0.46</v>
      </c>
      <c r="CI111" s="93">
        <v>6400.7</v>
      </c>
      <c r="CJ111" s="93"/>
      <c r="CK111" s="93"/>
      <c r="CL111" s="87">
        <v>-4.13</v>
      </c>
      <c r="CM111" s="66">
        <v>1000</v>
      </c>
      <c r="CN111" s="93">
        <v>31143.09</v>
      </c>
      <c r="CO111" s="108">
        <f>CM111+CN111</f>
        <v>32143.09</v>
      </c>
      <c r="CP111" s="108">
        <f>CN111/10</f>
        <v>3114.3090000000002</v>
      </c>
    </row>
    <row r="112" spans="2:94" hidden="1" outlineLevel="1" x14ac:dyDescent="0.2">
      <c r="G112" s="113"/>
      <c r="AE112" s="124"/>
      <c r="AO112" s="127"/>
      <c r="BB112" s="126"/>
      <c r="BC112" s="126"/>
      <c r="BV112" s="99"/>
    </row>
    <row r="113" spans="2:94" collapsed="1" x14ac:dyDescent="0.2">
      <c r="B113" s="72" t="s">
        <v>1594</v>
      </c>
      <c r="C113" s="57" t="s">
        <v>1387</v>
      </c>
      <c r="D113" s="57" t="s">
        <v>1440</v>
      </c>
      <c r="E113" s="65" t="s">
        <v>1389</v>
      </c>
      <c r="F113" s="57" t="s">
        <v>1454</v>
      </c>
      <c r="G113" s="62" t="s">
        <v>1556</v>
      </c>
      <c r="H113" s="128" t="b">
        <v>1</v>
      </c>
      <c r="I113" s="122" t="s">
        <v>1865</v>
      </c>
      <c r="M113" s="135" t="b">
        <v>1</v>
      </c>
      <c r="N113" s="124">
        <v>21</v>
      </c>
      <c r="O113" s="132">
        <v>0.5</v>
      </c>
      <c r="P113" s="124">
        <v>5</v>
      </c>
      <c r="Q113" s="128" t="b">
        <v>1</v>
      </c>
      <c r="R113" s="127" t="s">
        <v>1559</v>
      </c>
      <c r="T113" s="126">
        <v>13</v>
      </c>
      <c r="U113" s="124">
        <v>1.4999999999999999E-2</v>
      </c>
      <c r="V113" s="126">
        <v>75</v>
      </c>
      <c r="W113" s="126">
        <v>-75</v>
      </c>
      <c r="X113" s="124">
        <v>50</v>
      </c>
      <c r="Y113" s="124">
        <v>5</v>
      </c>
      <c r="Z113" s="128" t="b">
        <v>1</v>
      </c>
      <c r="AA113" s="127" t="s">
        <v>1867</v>
      </c>
      <c r="AB113" s="133">
        <v>2</v>
      </c>
      <c r="AC113" s="135" t="b">
        <v>1</v>
      </c>
      <c r="AD113" s="147">
        <v>34</v>
      </c>
      <c r="AE113" s="135" t="b">
        <v>1</v>
      </c>
      <c r="AF113" s="124">
        <v>5.0000000000000001E-4</v>
      </c>
      <c r="AG113" s="135" t="b">
        <v>1</v>
      </c>
      <c r="AH113" s="125">
        <v>5</v>
      </c>
      <c r="AI113" s="125">
        <v>13</v>
      </c>
      <c r="AJ113" s="125">
        <v>34</v>
      </c>
      <c r="AK113" s="125">
        <v>89</v>
      </c>
      <c r="AL113" s="129" t="b">
        <v>0</v>
      </c>
      <c r="AM113" s="128" t="b">
        <v>1</v>
      </c>
      <c r="AN113" s="131" t="s">
        <v>1469</v>
      </c>
      <c r="AO113" s="127">
        <v>1E-4</v>
      </c>
      <c r="AP113" s="128" t="b">
        <v>1</v>
      </c>
      <c r="AQ113" s="143">
        <v>5.0000000000000001E-4</v>
      </c>
      <c r="AR113" s="126">
        <v>5</v>
      </c>
      <c r="AS113" s="126">
        <v>8</v>
      </c>
      <c r="AT113" s="126">
        <v>5</v>
      </c>
      <c r="AU113" s="128" t="b">
        <v>1</v>
      </c>
      <c r="AV113" s="124">
        <v>3</v>
      </c>
      <c r="AW113" s="146">
        <v>5</v>
      </c>
      <c r="AX113" s="124">
        <v>1</v>
      </c>
      <c r="AY113" s="128" t="b">
        <v>1</v>
      </c>
      <c r="AZ113" s="122" t="s">
        <v>1586</v>
      </c>
      <c r="BA113" s="122">
        <v>4</v>
      </c>
      <c r="BB113" s="126">
        <v>0.05</v>
      </c>
      <c r="BC113" s="126">
        <v>0.5</v>
      </c>
      <c r="BD113" s="129" t="b">
        <v>0</v>
      </c>
      <c r="BE113" s="122" t="s">
        <v>1873</v>
      </c>
      <c r="BF113" s="128" t="b">
        <v>1</v>
      </c>
      <c r="BG113" s="122" t="s">
        <v>1578</v>
      </c>
      <c r="BH113" s="133">
        <v>0.02</v>
      </c>
      <c r="BI113" s="156" t="s">
        <v>403</v>
      </c>
      <c r="BJ113" s="128" t="b">
        <v>1</v>
      </c>
      <c r="BK113" s="161">
        <v>1.5</v>
      </c>
      <c r="BL113" s="129" t="b">
        <v>0</v>
      </c>
      <c r="BM113" s="156" t="s">
        <v>412</v>
      </c>
      <c r="BN113" s="128" t="b">
        <v>1</v>
      </c>
      <c r="BO113" s="156" t="s">
        <v>1382</v>
      </c>
      <c r="BP113" s="157">
        <v>1</v>
      </c>
      <c r="BQ113" s="157">
        <v>0.5</v>
      </c>
      <c r="BR113" s="166" t="str">
        <f t="shared" ref="BR113:BR119" si="150">AH113&amp;"/ "&amp;AI113&amp;"/ "&amp;AJ113&amp;"/ "&amp;AK113</f>
        <v>5/ 13/ 34/ 89</v>
      </c>
      <c r="BS113" s="166" t="str">
        <f t="shared" ref="BS113:BS119" si="151">AR113&amp;" / "&amp;AS113&amp;" / "&amp;AT113</f>
        <v>5 / 8 / 5</v>
      </c>
      <c r="BT113" s="166" t="str">
        <f t="shared" ref="BT113:BT119" si="152">BB113&amp;" / "&amp;BC113</f>
        <v>0.05 / 0.5</v>
      </c>
      <c r="BU113" s="66">
        <v>617</v>
      </c>
      <c r="BV113" s="66">
        <v>382</v>
      </c>
      <c r="BW113" s="66">
        <v>325</v>
      </c>
      <c r="BX113" s="99">
        <f t="shared" ref="BX113:BX119" si="153">BV113-BW113</f>
        <v>57</v>
      </c>
      <c r="BY113" s="66">
        <v>70</v>
      </c>
      <c r="BZ113" s="92">
        <f t="shared" ref="BZ113:BZ119" si="154">BU113-SUM(BW113:BY113)</f>
        <v>165</v>
      </c>
      <c r="CA113" s="204">
        <f>IF(BU113=0,0,BV113/BU113)</f>
        <v>0.61912479740680715</v>
      </c>
      <c r="CB113" s="205">
        <f>IF(BU113=0,0,BY113/BU113)</f>
        <v>0.11345218800648298</v>
      </c>
      <c r="CC113" s="87">
        <v>4.91</v>
      </c>
      <c r="CD113" s="87">
        <v>76.680000000000007</v>
      </c>
      <c r="CE113" s="87">
        <v>0.34</v>
      </c>
      <c r="CF113" s="170">
        <f t="shared" ref="CF113:CF119" si="155">BK113</f>
        <v>1.5</v>
      </c>
      <c r="CG113" s="87">
        <v>0.65</v>
      </c>
      <c r="CH113" s="87">
        <v>0.46</v>
      </c>
      <c r="CI113" s="93">
        <v>6743.2</v>
      </c>
      <c r="CJ113" s="93"/>
      <c r="CK113" s="93"/>
      <c r="CL113" s="87">
        <v>-3.96</v>
      </c>
      <c r="CM113" s="66">
        <v>1000</v>
      </c>
      <c r="CN113" s="93">
        <v>47313.07</v>
      </c>
      <c r="CO113" s="108">
        <f t="shared" ref="CO113:CO119" si="156">CM113+CN113</f>
        <v>48313.07</v>
      </c>
      <c r="CP113" s="108">
        <f t="shared" ref="CP113:CP119" si="157">CN113/10</f>
        <v>4731.3069999999998</v>
      </c>
    </row>
    <row r="114" spans="2:94" hidden="1" outlineLevel="1" x14ac:dyDescent="0.2">
      <c r="B114" s="72" t="s">
        <v>1595</v>
      </c>
      <c r="C114" s="57" t="s">
        <v>1387</v>
      </c>
      <c r="D114" s="57" t="s">
        <v>1440</v>
      </c>
      <c r="E114" s="65" t="s">
        <v>1389</v>
      </c>
      <c r="F114" s="57" t="s">
        <v>1454</v>
      </c>
      <c r="G114" s="62" t="s">
        <v>1556</v>
      </c>
      <c r="H114" s="128" t="b">
        <v>1</v>
      </c>
      <c r="I114" s="122" t="s">
        <v>1865</v>
      </c>
      <c r="M114" s="135" t="b">
        <v>1</v>
      </c>
      <c r="N114" s="124">
        <v>21</v>
      </c>
      <c r="O114" s="132">
        <v>0.5</v>
      </c>
      <c r="P114" s="124">
        <v>5</v>
      </c>
      <c r="Q114" s="128" t="b">
        <v>1</v>
      </c>
      <c r="R114" s="127" t="s">
        <v>1559</v>
      </c>
      <c r="T114" s="126">
        <v>13</v>
      </c>
      <c r="U114" s="124">
        <v>1.4999999999999999E-2</v>
      </c>
      <c r="V114" s="126">
        <v>75</v>
      </c>
      <c r="W114" s="126">
        <v>-75</v>
      </c>
      <c r="X114" s="124">
        <v>50</v>
      </c>
      <c r="Y114" s="124">
        <v>5</v>
      </c>
      <c r="Z114" s="128" t="b">
        <v>1</v>
      </c>
      <c r="AA114" s="127" t="s">
        <v>1867</v>
      </c>
      <c r="AB114" s="133">
        <v>2</v>
      </c>
      <c r="AC114" s="135" t="b">
        <v>1</v>
      </c>
      <c r="AD114" s="147">
        <v>34</v>
      </c>
      <c r="AE114" s="135" t="b">
        <v>1</v>
      </c>
      <c r="AF114" s="124">
        <v>5.0000000000000001E-4</v>
      </c>
      <c r="AG114" s="135" t="b">
        <v>1</v>
      </c>
      <c r="AH114" s="125">
        <v>5</v>
      </c>
      <c r="AI114" s="125">
        <v>13</v>
      </c>
      <c r="AJ114" s="125">
        <v>34</v>
      </c>
      <c r="AK114" s="125">
        <v>89</v>
      </c>
      <c r="AL114" s="129" t="b">
        <v>0</v>
      </c>
      <c r="AM114" s="128" t="b">
        <v>1</v>
      </c>
      <c r="AN114" s="131" t="s">
        <v>1469</v>
      </c>
      <c r="AO114" s="127">
        <v>1E-4</v>
      </c>
      <c r="AP114" s="128" t="b">
        <v>1</v>
      </c>
      <c r="AQ114" s="143">
        <v>5.0000000000000001E-4</v>
      </c>
      <c r="AR114" s="137">
        <v>5</v>
      </c>
      <c r="AS114" s="137">
        <v>13</v>
      </c>
      <c r="AT114" s="137">
        <v>5</v>
      </c>
      <c r="AU114" s="128" t="b">
        <v>1</v>
      </c>
      <c r="AV114" s="124">
        <v>3</v>
      </c>
      <c r="AW114" s="146">
        <v>5</v>
      </c>
      <c r="AX114" s="124">
        <v>1</v>
      </c>
      <c r="AY114" s="128" t="b">
        <v>1</v>
      </c>
      <c r="AZ114" s="122" t="s">
        <v>1586</v>
      </c>
      <c r="BA114" s="122">
        <v>4</v>
      </c>
      <c r="BB114" s="126">
        <v>0.05</v>
      </c>
      <c r="BC114" s="126">
        <v>0.5</v>
      </c>
      <c r="BD114" s="129" t="b">
        <v>0</v>
      </c>
      <c r="BE114" s="122" t="s">
        <v>1873</v>
      </c>
      <c r="BF114" s="128" t="b">
        <v>1</v>
      </c>
      <c r="BG114" s="122" t="s">
        <v>1578</v>
      </c>
      <c r="BH114" s="133">
        <v>0.02</v>
      </c>
      <c r="BI114" s="156" t="s">
        <v>403</v>
      </c>
      <c r="BJ114" s="128" t="b">
        <v>1</v>
      </c>
      <c r="BK114" s="161">
        <v>1.5</v>
      </c>
      <c r="BL114" s="129" t="b">
        <v>0</v>
      </c>
      <c r="BM114" s="156" t="s">
        <v>412</v>
      </c>
      <c r="BN114" s="128" t="b">
        <v>1</v>
      </c>
      <c r="BO114" s="156" t="s">
        <v>1382</v>
      </c>
      <c r="BP114" s="157">
        <v>1</v>
      </c>
      <c r="BQ114" s="157">
        <v>0.5</v>
      </c>
      <c r="BR114" s="166" t="str">
        <f t="shared" si="150"/>
        <v>5/ 13/ 34/ 89</v>
      </c>
      <c r="BS114" s="166" t="str">
        <f t="shared" si="151"/>
        <v>5 / 13 / 5</v>
      </c>
      <c r="BT114" s="166" t="str">
        <f t="shared" si="152"/>
        <v>0.05 / 0.5</v>
      </c>
      <c r="BU114" s="66">
        <v>653</v>
      </c>
      <c r="BV114" s="66">
        <v>393</v>
      </c>
      <c r="BW114" s="66">
        <v>328</v>
      </c>
      <c r="BX114" s="99">
        <f t="shared" si="153"/>
        <v>65</v>
      </c>
      <c r="BY114" s="66">
        <v>86</v>
      </c>
      <c r="BZ114" s="92">
        <f t="shared" si="154"/>
        <v>174</v>
      </c>
      <c r="CA114" s="204">
        <f t="shared" ref="CA114:CA119" si="158">IF(BU114=0,0,BV114/BU114)</f>
        <v>0.60183767228177643</v>
      </c>
      <c r="CB114" s="205">
        <f t="shared" ref="CB114:CB119" si="159">IF(BU114=0,0,BY114/BU114)</f>
        <v>0.13169984686064318</v>
      </c>
      <c r="CC114" s="87">
        <v>4.01</v>
      </c>
      <c r="CD114" s="87">
        <v>76.78</v>
      </c>
      <c r="CE114" s="87">
        <v>0.31</v>
      </c>
      <c r="CF114" s="170">
        <f t="shared" si="155"/>
        <v>1.5</v>
      </c>
      <c r="CG114" s="87">
        <v>0.67</v>
      </c>
      <c r="CH114" s="87">
        <v>0.5</v>
      </c>
      <c r="CI114" s="93">
        <v>6925.7</v>
      </c>
      <c r="CJ114" s="93"/>
      <c r="CK114" s="93"/>
      <c r="CL114" s="87">
        <v>-5.49</v>
      </c>
      <c r="CM114" s="66">
        <v>1000</v>
      </c>
      <c r="CN114" s="93">
        <v>50134.57</v>
      </c>
      <c r="CO114" s="108">
        <f t="shared" si="156"/>
        <v>51134.57</v>
      </c>
      <c r="CP114" s="108">
        <f t="shared" si="157"/>
        <v>5013.4570000000003</v>
      </c>
    </row>
    <row r="115" spans="2:94" hidden="1" outlineLevel="1" x14ac:dyDescent="0.2">
      <c r="B115" s="72" t="s">
        <v>1596</v>
      </c>
      <c r="C115" s="57" t="s">
        <v>1387</v>
      </c>
      <c r="D115" s="57" t="s">
        <v>1440</v>
      </c>
      <c r="E115" s="65" t="s">
        <v>1389</v>
      </c>
      <c r="F115" s="57" t="s">
        <v>1454</v>
      </c>
      <c r="G115" s="62" t="s">
        <v>1556</v>
      </c>
      <c r="H115" s="128" t="b">
        <v>1</v>
      </c>
      <c r="I115" s="122" t="s">
        <v>1865</v>
      </c>
      <c r="M115" s="135" t="b">
        <v>1</v>
      </c>
      <c r="N115" s="124">
        <v>21</v>
      </c>
      <c r="O115" s="132">
        <v>0.5</v>
      </c>
      <c r="P115" s="124">
        <v>5</v>
      </c>
      <c r="Q115" s="128" t="b">
        <v>1</v>
      </c>
      <c r="R115" s="127" t="s">
        <v>1559</v>
      </c>
      <c r="T115" s="126">
        <v>13</v>
      </c>
      <c r="U115" s="124">
        <v>1.4999999999999999E-2</v>
      </c>
      <c r="V115" s="126">
        <v>75</v>
      </c>
      <c r="W115" s="126">
        <v>-75</v>
      </c>
      <c r="X115" s="124">
        <v>50</v>
      </c>
      <c r="Y115" s="124">
        <v>5</v>
      </c>
      <c r="Z115" s="128" t="b">
        <v>1</v>
      </c>
      <c r="AA115" s="127" t="s">
        <v>1867</v>
      </c>
      <c r="AB115" s="133">
        <v>2</v>
      </c>
      <c r="AC115" s="135" t="b">
        <v>1</v>
      </c>
      <c r="AD115" s="147">
        <v>34</v>
      </c>
      <c r="AE115" s="135" t="b">
        <v>1</v>
      </c>
      <c r="AF115" s="124">
        <v>5.0000000000000001E-4</v>
      </c>
      <c r="AG115" s="135" t="b">
        <v>1</v>
      </c>
      <c r="AH115" s="125">
        <v>5</v>
      </c>
      <c r="AI115" s="125">
        <v>13</v>
      </c>
      <c r="AJ115" s="125">
        <v>34</v>
      </c>
      <c r="AK115" s="125">
        <v>89</v>
      </c>
      <c r="AL115" s="129" t="b">
        <v>0</v>
      </c>
      <c r="AM115" s="128" t="b">
        <v>1</v>
      </c>
      <c r="AN115" s="131" t="s">
        <v>1469</v>
      </c>
      <c r="AO115" s="127">
        <v>1E-4</v>
      </c>
      <c r="AP115" s="128" t="b">
        <v>1</v>
      </c>
      <c r="AQ115" s="143">
        <v>5.0000000000000001E-4</v>
      </c>
      <c r="AR115" s="135">
        <v>5</v>
      </c>
      <c r="AS115" s="135">
        <v>13</v>
      </c>
      <c r="AT115" s="135">
        <v>8</v>
      </c>
      <c r="AU115" s="128" t="b">
        <v>1</v>
      </c>
      <c r="AV115" s="124">
        <v>3</v>
      </c>
      <c r="AW115" s="146">
        <v>5</v>
      </c>
      <c r="AX115" s="124">
        <v>1</v>
      </c>
      <c r="AY115" s="128" t="b">
        <v>1</v>
      </c>
      <c r="AZ115" s="122" t="s">
        <v>1586</v>
      </c>
      <c r="BA115" s="122">
        <v>4</v>
      </c>
      <c r="BB115" s="126">
        <v>0.05</v>
      </c>
      <c r="BC115" s="126">
        <v>0.5</v>
      </c>
      <c r="BD115" s="129" t="b">
        <v>0</v>
      </c>
      <c r="BE115" s="122" t="s">
        <v>1873</v>
      </c>
      <c r="BF115" s="128" t="b">
        <v>1</v>
      </c>
      <c r="BG115" s="122" t="s">
        <v>1578</v>
      </c>
      <c r="BH115" s="133">
        <v>0.02</v>
      </c>
      <c r="BI115" s="156" t="s">
        <v>403</v>
      </c>
      <c r="BJ115" s="128" t="b">
        <v>1</v>
      </c>
      <c r="BK115" s="161">
        <v>1.5</v>
      </c>
      <c r="BL115" s="129" t="b">
        <v>0</v>
      </c>
      <c r="BM115" s="156" t="s">
        <v>412</v>
      </c>
      <c r="BN115" s="128" t="b">
        <v>1</v>
      </c>
      <c r="BO115" s="156" t="s">
        <v>1382</v>
      </c>
      <c r="BP115" s="157">
        <v>1</v>
      </c>
      <c r="BQ115" s="157">
        <v>0.5</v>
      </c>
      <c r="BR115" s="166" t="str">
        <f t="shared" si="150"/>
        <v>5/ 13/ 34/ 89</v>
      </c>
      <c r="BS115" s="166" t="str">
        <f t="shared" si="151"/>
        <v>5 / 13 / 8</v>
      </c>
      <c r="BT115" s="166" t="str">
        <f t="shared" si="152"/>
        <v>0.05 / 0.5</v>
      </c>
      <c r="BU115" s="66">
        <v>667</v>
      </c>
      <c r="BV115" s="66">
        <v>402</v>
      </c>
      <c r="BW115" s="66">
        <v>337</v>
      </c>
      <c r="BX115" s="99">
        <f t="shared" si="153"/>
        <v>65</v>
      </c>
      <c r="BY115" s="66">
        <v>90</v>
      </c>
      <c r="BZ115" s="92">
        <f t="shared" si="154"/>
        <v>175</v>
      </c>
      <c r="CA115" s="204">
        <f t="shared" si="158"/>
        <v>0.60269865067466266</v>
      </c>
      <c r="CB115" s="205">
        <f t="shared" si="159"/>
        <v>0.13493253373313344</v>
      </c>
      <c r="CC115" s="87">
        <v>4.17</v>
      </c>
      <c r="CD115" s="94">
        <v>79.87</v>
      </c>
      <c r="CE115" s="87">
        <v>0.31</v>
      </c>
      <c r="CF115" s="170">
        <f t="shared" si="155"/>
        <v>1.5</v>
      </c>
      <c r="CG115" s="87">
        <v>0.66</v>
      </c>
      <c r="CH115" s="87">
        <v>0.5</v>
      </c>
      <c r="CI115" s="93">
        <v>7015.3</v>
      </c>
      <c r="CJ115" s="93"/>
      <c r="CK115" s="93"/>
      <c r="CL115" s="87">
        <v>-5.49</v>
      </c>
      <c r="CM115" s="66">
        <v>1000</v>
      </c>
      <c r="CN115" s="102">
        <v>53273.77</v>
      </c>
      <c r="CO115" s="110">
        <f t="shared" si="156"/>
        <v>54273.77</v>
      </c>
      <c r="CP115" s="110">
        <f t="shared" si="157"/>
        <v>5327.3769999999995</v>
      </c>
    </row>
    <row r="116" spans="2:94" hidden="1" outlineLevel="1" x14ac:dyDescent="0.2">
      <c r="B116" s="72" t="s">
        <v>1597</v>
      </c>
      <c r="C116" s="57" t="s">
        <v>1387</v>
      </c>
      <c r="D116" s="57" t="s">
        <v>1440</v>
      </c>
      <c r="E116" s="65" t="s">
        <v>1389</v>
      </c>
      <c r="F116" s="57" t="s">
        <v>1454</v>
      </c>
      <c r="G116" s="62" t="s">
        <v>1556</v>
      </c>
      <c r="H116" s="128" t="b">
        <v>1</v>
      </c>
      <c r="I116" s="122" t="s">
        <v>1865</v>
      </c>
      <c r="M116" s="135" t="b">
        <v>1</v>
      </c>
      <c r="N116" s="124">
        <v>21</v>
      </c>
      <c r="O116" s="132">
        <v>0.5</v>
      </c>
      <c r="P116" s="124">
        <v>5</v>
      </c>
      <c r="Q116" s="128" t="b">
        <v>1</v>
      </c>
      <c r="R116" s="127" t="s">
        <v>1559</v>
      </c>
      <c r="T116" s="126">
        <v>13</v>
      </c>
      <c r="U116" s="124">
        <v>1.4999999999999999E-2</v>
      </c>
      <c r="V116" s="126">
        <v>75</v>
      </c>
      <c r="W116" s="126">
        <v>-75</v>
      </c>
      <c r="X116" s="124">
        <v>50</v>
      </c>
      <c r="Y116" s="124">
        <v>5</v>
      </c>
      <c r="Z116" s="128" t="b">
        <v>1</v>
      </c>
      <c r="AA116" s="127" t="s">
        <v>1867</v>
      </c>
      <c r="AB116" s="133">
        <v>2</v>
      </c>
      <c r="AC116" s="135" t="b">
        <v>1</v>
      </c>
      <c r="AD116" s="147">
        <v>34</v>
      </c>
      <c r="AE116" s="135" t="b">
        <v>1</v>
      </c>
      <c r="AF116" s="124">
        <v>5.0000000000000001E-4</v>
      </c>
      <c r="AG116" s="135" t="b">
        <v>1</v>
      </c>
      <c r="AH116" s="125">
        <v>5</v>
      </c>
      <c r="AI116" s="125">
        <v>13</v>
      </c>
      <c r="AJ116" s="125">
        <v>34</v>
      </c>
      <c r="AK116" s="125">
        <v>89</v>
      </c>
      <c r="AL116" s="129" t="b">
        <v>0</v>
      </c>
      <c r="AM116" s="128" t="b">
        <v>1</v>
      </c>
      <c r="AN116" s="131" t="s">
        <v>1469</v>
      </c>
      <c r="AO116" s="127">
        <v>1E-4</v>
      </c>
      <c r="AP116" s="128" t="b">
        <v>1</v>
      </c>
      <c r="AQ116" s="143">
        <v>5.0000000000000001E-4</v>
      </c>
      <c r="AR116" s="149">
        <v>8</v>
      </c>
      <c r="AS116" s="149">
        <v>13</v>
      </c>
      <c r="AT116" s="149">
        <v>8</v>
      </c>
      <c r="AU116" s="128" t="b">
        <v>1</v>
      </c>
      <c r="AV116" s="124">
        <v>3</v>
      </c>
      <c r="AW116" s="146">
        <v>5</v>
      </c>
      <c r="AX116" s="124">
        <v>1</v>
      </c>
      <c r="AY116" s="128" t="b">
        <v>1</v>
      </c>
      <c r="AZ116" s="122" t="s">
        <v>1586</v>
      </c>
      <c r="BA116" s="122">
        <v>4</v>
      </c>
      <c r="BB116" s="126">
        <v>0.05</v>
      </c>
      <c r="BC116" s="126">
        <v>0.5</v>
      </c>
      <c r="BD116" s="129" t="b">
        <v>0</v>
      </c>
      <c r="BE116" s="122" t="s">
        <v>1873</v>
      </c>
      <c r="BF116" s="128" t="b">
        <v>1</v>
      </c>
      <c r="BG116" s="122" t="s">
        <v>1578</v>
      </c>
      <c r="BH116" s="133">
        <v>0.02</v>
      </c>
      <c r="BI116" s="156" t="s">
        <v>403</v>
      </c>
      <c r="BJ116" s="128" t="b">
        <v>1</v>
      </c>
      <c r="BK116" s="161">
        <v>1.5</v>
      </c>
      <c r="BL116" s="129" t="b">
        <v>0</v>
      </c>
      <c r="BM116" s="156" t="s">
        <v>412</v>
      </c>
      <c r="BN116" s="128" t="b">
        <v>1</v>
      </c>
      <c r="BO116" s="156" t="s">
        <v>1382</v>
      </c>
      <c r="BP116" s="157">
        <v>1</v>
      </c>
      <c r="BQ116" s="157">
        <v>0.5</v>
      </c>
      <c r="BR116" s="166" t="str">
        <f t="shared" si="150"/>
        <v>5/ 13/ 34/ 89</v>
      </c>
      <c r="BS116" s="166" t="str">
        <f t="shared" si="151"/>
        <v>8 / 13 / 8</v>
      </c>
      <c r="BT116" s="166" t="str">
        <f t="shared" si="152"/>
        <v>0.05 / 0.5</v>
      </c>
      <c r="BU116" s="66">
        <v>642</v>
      </c>
      <c r="BV116" s="66">
        <v>385</v>
      </c>
      <c r="BW116" s="66">
        <v>324</v>
      </c>
      <c r="BX116" s="99">
        <f t="shared" si="153"/>
        <v>61</v>
      </c>
      <c r="BY116" s="66">
        <v>91</v>
      </c>
      <c r="BZ116" s="92">
        <f t="shared" si="154"/>
        <v>166</v>
      </c>
      <c r="CA116" s="204">
        <f t="shared" si="158"/>
        <v>0.59968847352024923</v>
      </c>
      <c r="CB116" s="205">
        <f t="shared" si="159"/>
        <v>0.14174454828660435</v>
      </c>
      <c r="CC116" s="87">
        <v>3.74</v>
      </c>
      <c r="CD116" s="87">
        <v>63.21</v>
      </c>
      <c r="CE116" s="87">
        <v>0.3</v>
      </c>
      <c r="CF116" s="170">
        <f t="shared" si="155"/>
        <v>1.5</v>
      </c>
      <c r="CG116" s="87">
        <v>0.66</v>
      </c>
      <c r="CH116" s="87">
        <v>0.5</v>
      </c>
      <c r="CI116" s="93">
        <v>6665.6</v>
      </c>
      <c r="CJ116" s="93"/>
      <c r="CK116" s="93"/>
      <c r="CL116" s="87">
        <v>-5.49</v>
      </c>
      <c r="CM116" s="66">
        <v>1000</v>
      </c>
      <c r="CN116" s="93">
        <v>40578.839999999997</v>
      </c>
      <c r="CO116" s="108">
        <f t="shared" si="156"/>
        <v>41578.839999999997</v>
      </c>
      <c r="CP116" s="108">
        <f t="shared" si="157"/>
        <v>4057.8839999999996</v>
      </c>
    </row>
    <row r="117" spans="2:94" hidden="1" outlineLevel="1" x14ac:dyDescent="0.2">
      <c r="B117" s="72" t="s">
        <v>1598</v>
      </c>
      <c r="C117" s="57" t="s">
        <v>1387</v>
      </c>
      <c r="D117" s="57" t="s">
        <v>1440</v>
      </c>
      <c r="E117" s="65" t="s">
        <v>1389</v>
      </c>
      <c r="F117" s="57" t="s">
        <v>1454</v>
      </c>
      <c r="G117" s="62" t="s">
        <v>1556</v>
      </c>
      <c r="H117" s="128" t="b">
        <v>1</v>
      </c>
      <c r="I117" s="122" t="s">
        <v>1865</v>
      </c>
      <c r="M117" s="135" t="b">
        <v>1</v>
      </c>
      <c r="N117" s="124">
        <v>21</v>
      </c>
      <c r="O117" s="132">
        <v>0.5</v>
      </c>
      <c r="P117" s="124">
        <v>5</v>
      </c>
      <c r="Q117" s="128" t="b">
        <v>1</v>
      </c>
      <c r="R117" s="127" t="s">
        <v>1559</v>
      </c>
      <c r="T117" s="126">
        <v>13</v>
      </c>
      <c r="U117" s="124">
        <v>1.4999999999999999E-2</v>
      </c>
      <c r="V117" s="126">
        <v>75</v>
      </c>
      <c r="W117" s="126">
        <v>-75</v>
      </c>
      <c r="X117" s="124">
        <v>50</v>
      </c>
      <c r="Y117" s="124">
        <v>5</v>
      </c>
      <c r="Z117" s="128" t="b">
        <v>1</v>
      </c>
      <c r="AA117" s="127" t="s">
        <v>1867</v>
      </c>
      <c r="AB117" s="133">
        <v>2</v>
      </c>
      <c r="AC117" s="135" t="b">
        <v>1</v>
      </c>
      <c r="AD117" s="147">
        <v>34</v>
      </c>
      <c r="AE117" s="135" t="b">
        <v>1</v>
      </c>
      <c r="AF117" s="124">
        <v>5.0000000000000001E-4</v>
      </c>
      <c r="AG117" s="135" t="b">
        <v>1</v>
      </c>
      <c r="AH117" s="125">
        <v>5</v>
      </c>
      <c r="AI117" s="125">
        <v>13</v>
      </c>
      <c r="AJ117" s="125">
        <v>34</v>
      </c>
      <c r="AK117" s="125">
        <v>89</v>
      </c>
      <c r="AL117" s="129" t="b">
        <v>0</v>
      </c>
      <c r="AM117" s="128" t="b">
        <v>1</v>
      </c>
      <c r="AN117" s="131" t="s">
        <v>1469</v>
      </c>
      <c r="AO117" s="127">
        <v>1E-4</v>
      </c>
      <c r="AP117" s="128" t="b">
        <v>1</v>
      </c>
      <c r="AQ117" s="143">
        <v>5.0000000000000001E-4</v>
      </c>
      <c r="AR117" s="150">
        <v>8</v>
      </c>
      <c r="AS117" s="150">
        <v>17</v>
      </c>
      <c r="AT117" s="150">
        <v>9</v>
      </c>
      <c r="AU117" s="128" t="b">
        <v>1</v>
      </c>
      <c r="AV117" s="124">
        <v>3</v>
      </c>
      <c r="AW117" s="146">
        <v>5</v>
      </c>
      <c r="AX117" s="124">
        <v>1</v>
      </c>
      <c r="AY117" s="128" t="b">
        <v>1</v>
      </c>
      <c r="AZ117" s="122" t="s">
        <v>1586</v>
      </c>
      <c r="BA117" s="122">
        <v>4</v>
      </c>
      <c r="BB117" s="126">
        <v>0.05</v>
      </c>
      <c r="BC117" s="126">
        <v>0.5</v>
      </c>
      <c r="BD117" s="129" t="b">
        <v>0</v>
      </c>
      <c r="BE117" s="122" t="s">
        <v>1873</v>
      </c>
      <c r="BF117" s="128" t="b">
        <v>1</v>
      </c>
      <c r="BG117" s="122" t="s">
        <v>1578</v>
      </c>
      <c r="BH117" s="133">
        <v>0.02</v>
      </c>
      <c r="BI117" s="156" t="s">
        <v>403</v>
      </c>
      <c r="BJ117" s="128" t="b">
        <v>1</v>
      </c>
      <c r="BK117" s="161">
        <v>1.5</v>
      </c>
      <c r="BL117" s="129" t="b">
        <v>0</v>
      </c>
      <c r="BM117" s="156" t="s">
        <v>412</v>
      </c>
      <c r="BN117" s="128" t="b">
        <v>1</v>
      </c>
      <c r="BO117" s="156" t="s">
        <v>1382</v>
      </c>
      <c r="BP117" s="157">
        <v>1</v>
      </c>
      <c r="BQ117" s="157">
        <v>0.5</v>
      </c>
      <c r="BR117" s="166" t="str">
        <f t="shared" si="150"/>
        <v>5/ 13/ 34/ 89</v>
      </c>
      <c r="BS117" s="166" t="str">
        <f t="shared" si="151"/>
        <v>8 / 17 / 9</v>
      </c>
      <c r="BT117" s="166" t="str">
        <f t="shared" si="152"/>
        <v>0.05 / 0.5</v>
      </c>
      <c r="BU117" s="66">
        <v>652</v>
      </c>
      <c r="BV117" s="66">
        <v>383</v>
      </c>
      <c r="BW117" s="66">
        <v>321</v>
      </c>
      <c r="BX117" s="99">
        <f t="shared" si="153"/>
        <v>62</v>
      </c>
      <c r="BY117" s="66">
        <v>99</v>
      </c>
      <c r="BZ117" s="92">
        <f t="shared" si="154"/>
        <v>170</v>
      </c>
      <c r="CA117" s="204">
        <f t="shared" si="158"/>
        <v>0.58742331288343563</v>
      </c>
      <c r="CB117" s="205">
        <f t="shared" si="159"/>
        <v>0.15184049079754602</v>
      </c>
      <c r="CC117" s="87">
        <v>3.3</v>
      </c>
      <c r="CD117" s="87">
        <v>51.64</v>
      </c>
      <c r="CE117" s="87">
        <v>0.28999999999999998</v>
      </c>
      <c r="CF117" s="170">
        <f t="shared" si="155"/>
        <v>1.5</v>
      </c>
      <c r="CG117" s="87">
        <v>0.66</v>
      </c>
      <c r="CH117" s="87">
        <v>0.5</v>
      </c>
      <c r="CI117" s="93">
        <v>6730.7</v>
      </c>
      <c r="CJ117" s="93"/>
      <c r="CK117" s="93"/>
      <c r="CL117" s="87">
        <v>-5.93</v>
      </c>
      <c r="CM117" s="66">
        <v>1000</v>
      </c>
      <c r="CN117" s="93">
        <v>33670.06</v>
      </c>
      <c r="CO117" s="108">
        <f t="shared" si="156"/>
        <v>34670.06</v>
      </c>
      <c r="CP117" s="108">
        <f t="shared" si="157"/>
        <v>3367.0059999999999</v>
      </c>
    </row>
    <row r="118" spans="2:94" hidden="1" outlineLevel="1" x14ac:dyDescent="0.2">
      <c r="B118" s="72" t="s">
        <v>1599</v>
      </c>
      <c r="C118" s="57" t="s">
        <v>1387</v>
      </c>
      <c r="D118" s="57" t="s">
        <v>1440</v>
      </c>
      <c r="E118" s="65" t="s">
        <v>1389</v>
      </c>
      <c r="F118" s="57" t="s">
        <v>1454</v>
      </c>
      <c r="G118" s="62" t="s">
        <v>1556</v>
      </c>
      <c r="H118" s="128" t="b">
        <v>1</v>
      </c>
      <c r="I118" s="122" t="s">
        <v>1865</v>
      </c>
      <c r="M118" s="135" t="b">
        <v>1</v>
      </c>
      <c r="N118" s="124">
        <v>21</v>
      </c>
      <c r="O118" s="132">
        <v>0.5</v>
      </c>
      <c r="P118" s="124">
        <v>5</v>
      </c>
      <c r="Q118" s="128" t="b">
        <v>1</v>
      </c>
      <c r="R118" s="127" t="s">
        <v>1559</v>
      </c>
      <c r="T118" s="126">
        <v>13</v>
      </c>
      <c r="U118" s="124">
        <v>1.4999999999999999E-2</v>
      </c>
      <c r="V118" s="126">
        <v>75</v>
      </c>
      <c r="W118" s="126">
        <v>-75</v>
      </c>
      <c r="X118" s="124">
        <v>50</v>
      </c>
      <c r="Y118" s="124">
        <v>5</v>
      </c>
      <c r="Z118" s="128" t="b">
        <v>1</v>
      </c>
      <c r="AA118" s="127" t="s">
        <v>1867</v>
      </c>
      <c r="AB118" s="133">
        <v>2</v>
      </c>
      <c r="AC118" s="135" t="b">
        <v>1</v>
      </c>
      <c r="AD118" s="147">
        <v>34</v>
      </c>
      <c r="AE118" s="135" t="b">
        <v>1</v>
      </c>
      <c r="AF118" s="124">
        <v>5.0000000000000001E-4</v>
      </c>
      <c r="AG118" s="135" t="b">
        <v>1</v>
      </c>
      <c r="AH118" s="125">
        <v>5</v>
      </c>
      <c r="AI118" s="125">
        <v>13</v>
      </c>
      <c r="AJ118" s="125">
        <v>34</v>
      </c>
      <c r="AK118" s="125">
        <v>89</v>
      </c>
      <c r="AL118" s="129" t="b">
        <v>0</v>
      </c>
      <c r="AM118" s="128" t="b">
        <v>1</v>
      </c>
      <c r="AN118" s="131" t="s">
        <v>1469</v>
      </c>
      <c r="AO118" s="127">
        <v>1E-4</v>
      </c>
      <c r="AP118" s="128" t="b">
        <v>1</v>
      </c>
      <c r="AQ118" s="143">
        <v>5.0000000000000001E-4</v>
      </c>
      <c r="AR118" s="152">
        <v>12</v>
      </c>
      <c r="AS118" s="152">
        <v>26</v>
      </c>
      <c r="AT118" s="152">
        <v>9</v>
      </c>
      <c r="AU118" s="128" t="b">
        <v>1</v>
      </c>
      <c r="AV118" s="124">
        <v>3</v>
      </c>
      <c r="AW118" s="146">
        <v>5</v>
      </c>
      <c r="AX118" s="124">
        <v>1</v>
      </c>
      <c r="AY118" s="128" t="b">
        <v>1</v>
      </c>
      <c r="AZ118" s="122" t="s">
        <v>1586</v>
      </c>
      <c r="BA118" s="122">
        <v>4</v>
      </c>
      <c r="BB118" s="126">
        <v>0.05</v>
      </c>
      <c r="BC118" s="126">
        <v>0.5</v>
      </c>
      <c r="BD118" s="129" t="b">
        <v>0</v>
      </c>
      <c r="BE118" s="122" t="s">
        <v>1873</v>
      </c>
      <c r="BF118" s="128" t="b">
        <v>1</v>
      </c>
      <c r="BG118" s="122" t="s">
        <v>1578</v>
      </c>
      <c r="BH118" s="133">
        <v>0.02</v>
      </c>
      <c r="BI118" s="156" t="s">
        <v>403</v>
      </c>
      <c r="BJ118" s="128" t="b">
        <v>1</v>
      </c>
      <c r="BK118" s="161">
        <v>1.5</v>
      </c>
      <c r="BL118" s="129" t="b">
        <v>0</v>
      </c>
      <c r="BM118" s="156" t="s">
        <v>412</v>
      </c>
      <c r="BN118" s="128" t="b">
        <v>1</v>
      </c>
      <c r="BO118" s="156" t="s">
        <v>1382</v>
      </c>
      <c r="BP118" s="157">
        <v>1</v>
      </c>
      <c r="BQ118" s="157">
        <v>0.5</v>
      </c>
      <c r="BR118" s="166" t="str">
        <f t="shared" si="150"/>
        <v>5/ 13/ 34/ 89</v>
      </c>
      <c r="BS118" s="166" t="str">
        <f t="shared" si="151"/>
        <v>12 / 26 / 9</v>
      </c>
      <c r="BT118" s="166" t="str">
        <f t="shared" si="152"/>
        <v>0.05 / 0.5</v>
      </c>
      <c r="BU118" s="66">
        <v>615</v>
      </c>
      <c r="BV118" s="66">
        <v>368</v>
      </c>
      <c r="BW118" s="66">
        <v>301</v>
      </c>
      <c r="BX118" s="99">
        <f t="shared" si="153"/>
        <v>67</v>
      </c>
      <c r="BY118" s="66">
        <v>85</v>
      </c>
      <c r="BZ118" s="92">
        <f t="shared" si="154"/>
        <v>162</v>
      </c>
      <c r="CA118" s="204">
        <f t="shared" si="158"/>
        <v>0.59837398373983741</v>
      </c>
      <c r="CB118" s="205">
        <f t="shared" si="159"/>
        <v>0.13821138211382114</v>
      </c>
      <c r="CC118" s="87">
        <v>4.43</v>
      </c>
      <c r="CD118" s="87">
        <v>66.650000000000006</v>
      </c>
      <c r="CE118" s="87">
        <v>0.33</v>
      </c>
      <c r="CF118" s="170">
        <f t="shared" si="155"/>
        <v>1.5</v>
      </c>
      <c r="CG118" s="87">
        <v>0.68</v>
      </c>
      <c r="CH118" s="87">
        <v>0.51</v>
      </c>
      <c r="CI118" s="93">
        <v>6618.3</v>
      </c>
      <c r="CJ118" s="93"/>
      <c r="CK118" s="93"/>
      <c r="CL118" s="87">
        <v>-5.77</v>
      </c>
      <c r="CM118" s="66">
        <v>1000</v>
      </c>
      <c r="CN118" s="93">
        <v>40991.47</v>
      </c>
      <c r="CO118" s="108">
        <f t="shared" si="156"/>
        <v>41991.47</v>
      </c>
      <c r="CP118" s="108">
        <f t="shared" si="157"/>
        <v>4099.1469999999999</v>
      </c>
    </row>
    <row r="119" spans="2:94" hidden="1" outlineLevel="1" x14ac:dyDescent="0.2">
      <c r="B119" s="72" t="s">
        <v>1600</v>
      </c>
      <c r="C119" s="57" t="s">
        <v>1387</v>
      </c>
      <c r="D119" s="57" t="s">
        <v>1440</v>
      </c>
      <c r="E119" s="65" t="s">
        <v>1389</v>
      </c>
      <c r="F119" s="57" t="s">
        <v>1454</v>
      </c>
      <c r="G119" s="62" t="s">
        <v>1556</v>
      </c>
      <c r="H119" s="128" t="b">
        <v>1</v>
      </c>
      <c r="I119" s="122" t="s">
        <v>1865</v>
      </c>
      <c r="M119" s="135" t="b">
        <v>1</v>
      </c>
      <c r="N119" s="124">
        <v>21</v>
      </c>
      <c r="O119" s="132">
        <v>0.5</v>
      </c>
      <c r="P119" s="124">
        <v>5</v>
      </c>
      <c r="Q119" s="128" t="b">
        <v>1</v>
      </c>
      <c r="R119" s="127" t="s">
        <v>1559</v>
      </c>
      <c r="T119" s="126">
        <v>13</v>
      </c>
      <c r="U119" s="124">
        <v>1.4999999999999999E-2</v>
      </c>
      <c r="V119" s="126">
        <v>75</v>
      </c>
      <c r="W119" s="126">
        <v>-75</v>
      </c>
      <c r="X119" s="124">
        <v>50</v>
      </c>
      <c r="Y119" s="124">
        <v>5</v>
      </c>
      <c r="Z119" s="128" t="b">
        <v>1</v>
      </c>
      <c r="AA119" s="127" t="s">
        <v>1867</v>
      </c>
      <c r="AB119" s="133">
        <v>2</v>
      </c>
      <c r="AC119" s="135" t="b">
        <v>1</v>
      </c>
      <c r="AD119" s="147">
        <v>34</v>
      </c>
      <c r="AE119" s="135" t="b">
        <v>1</v>
      </c>
      <c r="AF119" s="124">
        <v>5.0000000000000001E-4</v>
      </c>
      <c r="AG119" s="135" t="b">
        <v>1</v>
      </c>
      <c r="AH119" s="125">
        <v>5</v>
      </c>
      <c r="AI119" s="125">
        <v>13</v>
      </c>
      <c r="AJ119" s="125">
        <v>34</v>
      </c>
      <c r="AK119" s="125">
        <v>89</v>
      </c>
      <c r="AL119" s="129" t="b">
        <v>0</v>
      </c>
      <c r="AM119" s="128" t="b">
        <v>1</v>
      </c>
      <c r="AN119" s="131" t="s">
        <v>1469</v>
      </c>
      <c r="AO119" s="127">
        <v>1E-4</v>
      </c>
      <c r="AP119" s="128" t="b">
        <v>1</v>
      </c>
      <c r="AQ119" s="143">
        <v>5.0000000000000001E-4</v>
      </c>
      <c r="AR119" s="137">
        <v>21</v>
      </c>
      <c r="AS119" s="137">
        <v>34</v>
      </c>
      <c r="AT119" s="137">
        <v>9</v>
      </c>
      <c r="AU119" s="128" t="b">
        <v>1</v>
      </c>
      <c r="AV119" s="124">
        <v>3</v>
      </c>
      <c r="AW119" s="146">
        <v>5</v>
      </c>
      <c r="AX119" s="124">
        <v>1</v>
      </c>
      <c r="AY119" s="128" t="b">
        <v>1</v>
      </c>
      <c r="AZ119" s="122" t="s">
        <v>1586</v>
      </c>
      <c r="BA119" s="122">
        <v>4</v>
      </c>
      <c r="BB119" s="126">
        <v>0.05</v>
      </c>
      <c r="BC119" s="126">
        <v>0.5</v>
      </c>
      <c r="BD119" s="129" t="b">
        <v>0</v>
      </c>
      <c r="BE119" s="122" t="s">
        <v>1873</v>
      </c>
      <c r="BF119" s="128" t="b">
        <v>1</v>
      </c>
      <c r="BG119" s="122" t="s">
        <v>1578</v>
      </c>
      <c r="BH119" s="133">
        <v>0.02</v>
      </c>
      <c r="BI119" s="156" t="s">
        <v>403</v>
      </c>
      <c r="BJ119" s="128" t="b">
        <v>1</v>
      </c>
      <c r="BK119" s="161">
        <v>1.5</v>
      </c>
      <c r="BL119" s="129" t="b">
        <v>0</v>
      </c>
      <c r="BM119" s="156" t="s">
        <v>412</v>
      </c>
      <c r="BN119" s="128" t="b">
        <v>1</v>
      </c>
      <c r="BO119" s="156" t="s">
        <v>1382</v>
      </c>
      <c r="BP119" s="157">
        <v>1</v>
      </c>
      <c r="BQ119" s="157">
        <v>0.5</v>
      </c>
      <c r="BR119" s="166" t="str">
        <f t="shared" si="150"/>
        <v>5/ 13/ 34/ 89</v>
      </c>
      <c r="BS119" s="166" t="str">
        <f t="shared" si="151"/>
        <v>21 / 34 / 9</v>
      </c>
      <c r="BT119" s="166" t="str">
        <f t="shared" si="152"/>
        <v>0.05 / 0.5</v>
      </c>
      <c r="BU119" s="66">
        <v>540</v>
      </c>
      <c r="BV119" s="66">
        <v>326</v>
      </c>
      <c r="BW119" s="66">
        <v>270</v>
      </c>
      <c r="BX119" s="99">
        <f t="shared" si="153"/>
        <v>56</v>
      </c>
      <c r="BY119" s="66">
        <v>70</v>
      </c>
      <c r="BZ119" s="92">
        <f t="shared" si="154"/>
        <v>144</v>
      </c>
      <c r="CA119" s="204">
        <f t="shared" si="158"/>
        <v>0.60370370370370374</v>
      </c>
      <c r="CB119" s="205">
        <f t="shared" si="159"/>
        <v>0.12962962962962962</v>
      </c>
      <c r="CC119" s="87">
        <v>4.9000000000000004</v>
      </c>
      <c r="CD119" s="87">
        <v>48.65</v>
      </c>
      <c r="CE119" s="87">
        <v>0.35</v>
      </c>
      <c r="CF119" s="170">
        <f t="shared" si="155"/>
        <v>1.5</v>
      </c>
      <c r="CG119" s="87">
        <v>0.67</v>
      </c>
      <c r="CH119" s="87">
        <v>0.46</v>
      </c>
      <c r="CI119" s="93">
        <v>5875.3</v>
      </c>
      <c r="CJ119" s="93"/>
      <c r="CK119" s="93"/>
      <c r="CL119" s="87">
        <v>-5.22</v>
      </c>
      <c r="CM119" s="66">
        <v>1000</v>
      </c>
      <c r="CN119" s="93">
        <v>26269.39</v>
      </c>
      <c r="CO119" s="108">
        <f t="shared" si="156"/>
        <v>27269.39</v>
      </c>
      <c r="CP119" s="108">
        <f t="shared" si="157"/>
        <v>2626.9389999999999</v>
      </c>
    </row>
    <row r="120" spans="2:94" hidden="1" outlineLevel="1" x14ac:dyDescent="0.2">
      <c r="G120" s="113"/>
      <c r="M120" s="125"/>
      <c r="AO120" s="127"/>
      <c r="CB120"/>
    </row>
    <row r="121" spans="2:94" collapsed="1" x14ac:dyDescent="0.2">
      <c r="B121" s="72" t="s">
        <v>1601</v>
      </c>
      <c r="C121" s="57" t="s">
        <v>1387</v>
      </c>
      <c r="D121" s="57" t="s">
        <v>1440</v>
      </c>
      <c r="E121" s="65" t="s">
        <v>1389</v>
      </c>
      <c r="F121" s="57" t="s">
        <v>1454</v>
      </c>
      <c r="G121" s="62" t="s">
        <v>1556</v>
      </c>
      <c r="H121" s="128" t="b">
        <v>1</v>
      </c>
      <c r="I121" s="122" t="s">
        <v>1865</v>
      </c>
      <c r="J121" s="123">
        <v>21</v>
      </c>
      <c r="K121" s="123">
        <v>0.8</v>
      </c>
      <c r="L121" s="123">
        <v>5</v>
      </c>
      <c r="M121" s="135" t="b">
        <v>1</v>
      </c>
      <c r="N121" s="124">
        <v>21</v>
      </c>
      <c r="O121" s="132">
        <v>0.5</v>
      </c>
      <c r="P121" s="124">
        <v>5</v>
      </c>
      <c r="Q121" s="128" t="b">
        <v>1</v>
      </c>
      <c r="R121" s="127" t="s">
        <v>1559</v>
      </c>
      <c r="T121" s="126">
        <v>13</v>
      </c>
      <c r="U121" s="124">
        <v>1.4999999999999999E-2</v>
      </c>
      <c r="V121" s="126">
        <v>75</v>
      </c>
      <c r="W121" s="126">
        <v>-75</v>
      </c>
      <c r="X121" s="124">
        <v>50</v>
      </c>
      <c r="Y121" s="124">
        <v>5</v>
      </c>
      <c r="Z121" s="128" t="b">
        <v>1</v>
      </c>
      <c r="AA121" s="127" t="s">
        <v>1867</v>
      </c>
      <c r="AB121" s="133">
        <v>2</v>
      </c>
      <c r="AC121" s="135" t="b">
        <v>1</v>
      </c>
      <c r="AD121" s="147">
        <v>34</v>
      </c>
      <c r="AE121" s="135" t="b">
        <v>1</v>
      </c>
      <c r="AF121" s="124">
        <v>5.0000000000000001E-4</v>
      </c>
      <c r="AG121" s="135" t="b">
        <v>1</v>
      </c>
      <c r="AH121" s="125">
        <v>5</v>
      </c>
      <c r="AI121" s="125">
        <v>13</v>
      </c>
      <c r="AJ121" s="125">
        <v>34</v>
      </c>
      <c r="AK121" s="125">
        <v>89</v>
      </c>
      <c r="AL121" s="129" t="b">
        <v>0</v>
      </c>
      <c r="AM121" s="128" t="b">
        <v>1</v>
      </c>
      <c r="AN121" s="131" t="s">
        <v>1469</v>
      </c>
      <c r="AO121" s="127">
        <v>1E-4</v>
      </c>
      <c r="AP121" s="128" t="b">
        <v>1</v>
      </c>
      <c r="AQ121" s="144">
        <v>1E-4</v>
      </c>
      <c r="AR121" s="126">
        <v>5</v>
      </c>
      <c r="AS121" s="126">
        <v>8</v>
      </c>
      <c r="AT121" s="126">
        <v>5</v>
      </c>
      <c r="AU121" s="128" t="b">
        <v>1</v>
      </c>
      <c r="AV121" s="124">
        <v>3</v>
      </c>
      <c r="AW121" s="146">
        <v>5</v>
      </c>
      <c r="AX121" s="124">
        <v>1</v>
      </c>
      <c r="AY121" s="128" t="b">
        <v>1</v>
      </c>
      <c r="AZ121" s="122" t="s">
        <v>1586</v>
      </c>
      <c r="BA121" s="122">
        <v>4</v>
      </c>
      <c r="BB121" s="126">
        <v>0.05</v>
      </c>
      <c r="BC121" s="126">
        <v>0.5</v>
      </c>
      <c r="BD121" s="129" t="b">
        <v>0</v>
      </c>
      <c r="BE121" s="122" t="s">
        <v>1873</v>
      </c>
      <c r="BF121" s="128" t="b">
        <v>1</v>
      </c>
      <c r="BG121" s="122" t="s">
        <v>1578</v>
      </c>
      <c r="BH121" s="133">
        <v>0.02</v>
      </c>
      <c r="BI121" s="156" t="s">
        <v>403</v>
      </c>
      <c r="BJ121" s="128" t="b">
        <v>1</v>
      </c>
      <c r="BK121" s="161">
        <v>1.5</v>
      </c>
      <c r="BL121" s="129" t="b">
        <v>0</v>
      </c>
      <c r="BM121" s="156" t="s">
        <v>412</v>
      </c>
      <c r="BN121" s="128" t="b">
        <v>1</v>
      </c>
      <c r="BO121" s="156" t="s">
        <v>1382</v>
      </c>
      <c r="BP121" s="157">
        <v>1</v>
      </c>
      <c r="BQ121" s="157">
        <v>0.5</v>
      </c>
      <c r="BR121" s="166" t="str">
        <f t="shared" ref="BR121:BR143" si="160">AH121&amp;"/ "&amp;AI121&amp;"/ "&amp;AJ121&amp;"/ "&amp;AK121</f>
        <v>5/ 13/ 34/ 89</v>
      </c>
      <c r="BS121" s="166" t="str">
        <f t="shared" ref="BS121:BS128" si="161">AR121&amp;" / "&amp;AS121&amp;" / "&amp;AT121</f>
        <v>5 / 8 / 5</v>
      </c>
      <c r="BT121" s="166" t="str">
        <f t="shared" ref="BT121:BT128" si="162">BB121&amp;" / "&amp;BC121</f>
        <v>0.05 / 0.5</v>
      </c>
      <c r="BU121" s="66">
        <v>645</v>
      </c>
      <c r="BV121" s="66">
        <v>397</v>
      </c>
      <c r="BW121" s="66">
        <v>336</v>
      </c>
      <c r="BX121" s="99">
        <f t="shared" ref="BX121:BX128" si="163">BV121-BW121</f>
        <v>61</v>
      </c>
      <c r="BY121" s="66">
        <v>77</v>
      </c>
      <c r="BZ121" s="92">
        <f t="shared" ref="BZ121:BZ128" si="164">BU121-SUM(BW121:BY121)</f>
        <v>171</v>
      </c>
      <c r="CA121" s="204">
        <f>IF(BU121=0,0,BV121/BU121)</f>
        <v>0.61550387596899225</v>
      </c>
      <c r="CB121" s="205">
        <f>IF(BU121=0,0,BY121/BU121)</f>
        <v>0.11937984496124031</v>
      </c>
      <c r="CC121" s="87">
        <v>4.3</v>
      </c>
      <c r="CD121" s="87">
        <v>81.819999999999993</v>
      </c>
      <c r="CE121" s="87">
        <v>0.31</v>
      </c>
      <c r="CF121" s="170">
        <f t="shared" ref="CF121:CF128" si="165">BK121</f>
        <v>1.5</v>
      </c>
      <c r="CG121" s="87">
        <v>0.65</v>
      </c>
      <c r="CH121" s="87">
        <v>0.48</v>
      </c>
      <c r="CI121" s="93">
        <v>6906.2</v>
      </c>
      <c r="CJ121" s="93"/>
      <c r="CK121" s="93"/>
      <c r="CL121" s="87">
        <v>-5.58</v>
      </c>
      <c r="CM121" s="66">
        <v>1000</v>
      </c>
      <c r="CN121" s="93">
        <v>52775.1</v>
      </c>
      <c r="CO121" s="108">
        <f t="shared" ref="CO121:CO128" si="166">CM121+CN121</f>
        <v>53775.1</v>
      </c>
      <c r="CP121" s="108">
        <f t="shared" ref="CP121:CP128" si="167">CN121/10</f>
        <v>5277.51</v>
      </c>
    </row>
    <row r="122" spans="2:94" outlineLevel="1" x14ac:dyDescent="0.2">
      <c r="B122" s="72" t="s">
        <v>1602</v>
      </c>
      <c r="C122" s="57" t="s">
        <v>1387</v>
      </c>
      <c r="D122" s="57" t="s">
        <v>1440</v>
      </c>
      <c r="E122" s="65" t="s">
        <v>1389</v>
      </c>
      <c r="F122" s="57" t="s">
        <v>1454</v>
      </c>
      <c r="G122" s="62" t="s">
        <v>1556</v>
      </c>
      <c r="H122" s="128" t="b">
        <v>1</v>
      </c>
      <c r="I122" s="122" t="s">
        <v>1865</v>
      </c>
      <c r="J122" s="123">
        <v>21</v>
      </c>
      <c r="K122" s="123">
        <v>0.8</v>
      </c>
      <c r="L122" s="123">
        <v>5</v>
      </c>
      <c r="M122" s="135" t="b">
        <v>1</v>
      </c>
      <c r="N122" s="124">
        <v>21</v>
      </c>
      <c r="O122" s="132">
        <v>0.5</v>
      </c>
      <c r="P122" s="124">
        <v>5</v>
      </c>
      <c r="Q122" s="128" t="b">
        <v>1</v>
      </c>
      <c r="R122" s="127" t="s">
        <v>1559</v>
      </c>
      <c r="T122" s="126">
        <v>13</v>
      </c>
      <c r="U122" s="124">
        <v>1.4999999999999999E-2</v>
      </c>
      <c r="V122" s="126">
        <v>75</v>
      </c>
      <c r="W122" s="126">
        <v>-75</v>
      </c>
      <c r="X122" s="124">
        <v>50</v>
      </c>
      <c r="Y122" s="124">
        <v>5</v>
      </c>
      <c r="Z122" s="128" t="b">
        <v>1</v>
      </c>
      <c r="AA122" s="127" t="s">
        <v>1867</v>
      </c>
      <c r="AB122" s="133">
        <v>2</v>
      </c>
      <c r="AC122" s="135" t="b">
        <v>1</v>
      </c>
      <c r="AD122" s="147">
        <v>34</v>
      </c>
      <c r="AE122" s="135" t="b">
        <v>1</v>
      </c>
      <c r="AF122" s="124">
        <v>5.0000000000000001E-4</v>
      </c>
      <c r="AG122" s="135" t="b">
        <v>1</v>
      </c>
      <c r="AH122" s="125">
        <v>5</v>
      </c>
      <c r="AI122" s="125">
        <v>13</v>
      </c>
      <c r="AJ122" s="125">
        <v>34</v>
      </c>
      <c r="AK122" s="125">
        <v>89</v>
      </c>
      <c r="AL122" s="129" t="b">
        <v>0</v>
      </c>
      <c r="AM122" s="128" t="b">
        <v>1</v>
      </c>
      <c r="AN122" s="131" t="s">
        <v>1469</v>
      </c>
      <c r="AO122" s="127">
        <v>1E-4</v>
      </c>
      <c r="AP122" s="128" t="b">
        <v>1</v>
      </c>
      <c r="AQ122" s="144">
        <v>1E-4</v>
      </c>
      <c r="AR122" s="137">
        <v>5</v>
      </c>
      <c r="AS122" s="137">
        <v>13</v>
      </c>
      <c r="AT122" s="137">
        <v>5</v>
      </c>
      <c r="AU122" s="128" t="b">
        <v>1</v>
      </c>
      <c r="AV122" s="124">
        <v>3</v>
      </c>
      <c r="AW122" s="146">
        <v>5</v>
      </c>
      <c r="AX122" s="124">
        <v>1</v>
      </c>
      <c r="AY122" s="128" t="b">
        <v>1</v>
      </c>
      <c r="AZ122" s="122" t="s">
        <v>1586</v>
      </c>
      <c r="BA122" s="122">
        <v>4</v>
      </c>
      <c r="BB122" s="126">
        <v>0.05</v>
      </c>
      <c r="BC122" s="126">
        <v>0.5</v>
      </c>
      <c r="BD122" s="129" t="b">
        <v>0</v>
      </c>
      <c r="BE122" s="122" t="s">
        <v>1873</v>
      </c>
      <c r="BF122" s="128" t="b">
        <v>1</v>
      </c>
      <c r="BG122" s="122" t="s">
        <v>1578</v>
      </c>
      <c r="BH122" s="133">
        <v>0.02</v>
      </c>
      <c r="BI122" s="156" t="s">
        <v>403</v>
      </c>
      <c r="BJ122" s="128" t="b">
        <v>1</v>
      </c>
      <c r="BK122" s="161">
        <v>1.5</v>
      </c>
      <c r="BL122" s="129" t="b">
        <v>0</v>
      </c>
      <c r="BM122" s="156" t="s">
        <v>412</v>
      </c>
      <c r="BN122" s="128" t="b">
        <v>1</v>
      </c>
      <c r="BO122" s="156" t="s">
        <v>1382</v>
      </c>
      <c r="BP122" s="157">
        <v>1</v>
      </c>
      <c r="BQ122" s="157">
        <v>0.5</v>
      </c>
      <c r="BR122" s="166" t="str">
        <f t="shared" si="160"/>
        <v>5/ 13/ 34/ 89</v>
      </c>
      <c r="BS122" s="166" t="str">
        <f t="shared" si="161"/>
        <v>5 / 13 / 5</v>
      </c>
      <c r="BT122" s="166" t="str">
        <f t="shared" si="162"/>
        <v>0.05 / 0.5</v>
      </c>
      <c r="BU122" s="66">
        <v>670</v>
      </c>
      <c r="BV122" s="66">
        <v>404</v>
      </c>
      <c r="BW122" s="66">
        <v>336</v>
      </c>
      <c r="BX122" s="99">
        <f t="shared" si="163"/>
        <v>68</v>
      </c>
      <c r="BY122" s="66">
        <v>89</v>
      </c>
      <c r="BZ122" s="92">
        <f t="shared" si="164"/>
        <v>177</v>
      </c>
      <c r="CA122" s="204">
        <f>IF(BU122=0,0,BV122/BU122)</f>
        <v>0.60298507462686568</v>
      </c>
      <c r="CB122" s="205">
        <f>IF(BU122=0,0,BY122/BU122)</f>
        <v>0.1328358208955224</v>
      </c>
      <c r="CC122" s="87">
        <v>4.16</v>
      </c>
      <c r="CD122" s="87">
        <v>86.02</v>
      </c>
      <c r="CE122" s="87">
        <v>0.31</v>
      </c>
      <c r="CF122" s="170">
        <f t="shared" si="165"/>
        <v>1.5</v>
      </c>
      <c r="CG122" s="87">
        <v>0.67</v>
      </c>
      <c r="CH122" s="87">
        <v>0.51</v>
      </c>
      <c r="CI122" s="93">
        <v>7071.7</v>
      </c>
      <c r="CJ122" s="93"/>
      <c r="CK122" s="93"/>
      <c r="CL122" s="87">
        <v>-5.49</v>
      </c>
      <c r="CM122" s="66">
        <v>1000</v>
      </c>
      <c r="CN122" s="93">
        <v>57631.54</v>
      </c>
      <c r="CO122" s="108">
        <f t="shared" si="166"/>
        <v>58631.54</v>
      </c>
      <c r="CP122" s="108">
        <f t="shared" si="167"/>
        <v>5763.1540000000005</v>
      </c>
    </row>
    <row r="123" spans="2:94" outlineLevel="1" x14ac:dyDescent="0.2">
      <c r="B123" s="72" t="s">
        <v>1603</v>
      </c>
      <c r="C123" s="57" t="s">
        <v>1387</v>
      </c>
      <c r="D123" s="57" t="s">
        <v>1440</v>
      </c>
      <c r="E123" s="65" t="s">
        <v>1389</v>
      </c>
      <c r="F123" s="57" t="s">
        <v>1454</v>
      </c>
      <c r="G123" s="62" t="s">
        <v>1556</v>
      </c>
      <c r="H123" s="128" t="b">
        <v>1</v>
      </c>
      <c r="I123" s="122" t="s">
        <v>1865</v>
      </c>
      <c r="J123" s="123">
        <v>21</v>
      </c>
      <c r="K123" s="123">
        <v>0.8</v>
      </c>
      <c r="L123" s="123">
        <v>5</v>
      </c>
      <c r="M123" s="135" t="b">
        <v>1</v>
      </c>
      <c r="N123" s="124">
        <v>21</v>
      </c>
      <c r="O123" s="132">
        <v>0.5</v>
      </c>
      <c r="P123" s="124">
        <v>5</v>
      </c>
      <c r="Q123" s="128" t="b">
        <v>1</v>
      </c>
      <c r="R123" s="127" t="s">
        <v>1559</v>
      </c>
      <c r="T123" s="126">
        <v>13</v>
      </c>
      <c r="U123" s="124">
        <v>1.4999999999999999E-2</v>
      </c>
      <c r="V123" s="126">
        <v>75</v>
      </c>
      <c r="W123" s="126">
        <v>-75</v>
      </c>
      <c r="X123" s="124">
        <v>50</v>
      </c>
      <c r="Y123" s="124">
        <v>5</v>
      </c>
      <c r="Z123" s="128" t="b">
        <v>1</v>
      </c>
      <c r="AA123" s="127" t="s">
        <v>1867</v>
      </c>
      <c r="AB123" s="133">
        <v>2</v>
      </c>
      <c r="AC123" s="135" t="b">
        <v>1</v>
      </c>
      <c r="AD123" s="147">
        <v>34</v>
      </c>
      <c r="AE123" s="135" t="b">
        <v>1</v>
      </c>
      <c r="AF123" s="124">
        <v>5.0000000000000001E-4</v>
      </c>
      <c r="AG123" s="135" t="b">
        <v>1</v>
      </c>
      <c r="AH123" s="125">
        <v>5</v>
      </c>
      <c r="AI123" s="125">
        <v>13</v>
      </c>
      <c r="AJ123" s="125">
        <v>34</v>
      </c>
      <c r="AK123" s="125">
        <v>89</v>
      </c>
      <c r="AL123" s="129" t="b">
        <v>0</v>
      </c>
      <c r="AM123" s="128" t="b">
        <v>1</v>
      </c>
      <c r="AN123" s="131" t="s">
        <v>1469</v>
      </c>
      <c r="AO123" s="127">
        <v>1E-4</v>
      </c>
      <c r="AP123" s="128" t="b">
        <v>1</v>
      </c>
      <c r="AQ123" s="144">
        <v>1E-4</v>
      </c>
      <c r="AR123" s="149">
        <v>8</v>
      </c>
      <c r="AS123" s="149">
        <v>13</v>
      </c>
      <c r="AT123" s="149">
        <v>8</v>
      </c>
      <c r="AU123" s="128" t="b">
        <v>1</v>
      </c>
      <c r="AV123" s="124">
        <v>3</v>
      </c>
      <c r="AW123" s="146">
        <v>5</v>
      </c>
      <c r="AX123" s="124">
        <v>1</v>
      </c>
      <c r="AY123" s="128" t="b">
        <v>1</v>
      </c>
      <c r="AZ123" s="122" t="s">
        <v>1586</v>
      </c>
      <c r="BA123" s="122">
        <v>4</v>
      </c>
      <c r="BB123" s="126">
        <v>0.05</v>
      </c>
      <c r="BC123" s="126">
        <v>0.5</v>
      </c>
      <c r="BD123" s="129" t="b">
        <v>0</v>
      </c>
      <c r="BE123" s="122" t="s">
        <v>1873</v>
      </c>
      <c r="BF123" s="128" t="b">
        <v>1</v>
      </c>
      <c r="BG123" s="122" t="s">
        <v>1578</v>
      </c>
      <c r="BH123" s="133">
        <v>0.02</v>
      </c>
      <c r="BI123" s="156" t="s">
        <v>403</v>
      </c>
      <c r="BJ123" s="128" t="b">
        <v>1</v>
      </c>
      <c r="BK123" s="161">
        <v>1.5</v>
      </c>
      <c r="BL123" s="129" t="b">
        <v>0</v>
      </c>
      <c r="BM123" s="156" t="s">
        <v>412</v>
      </c>
      <c r="BN123" s="128" t="b">
        <v>1</v>
      </c>
      <c r="BO123" s="156" t="s">
        <v>1382</v>
      </c>
      <c r="BP123" s="157">
        <v>1</v>
      </c>
      <c r="BQ123" s="157">
        <v>0.5</v>
      </c>
      <c r="BR123" s="166" t="str">
        <f t="shared" si="160"/>
        <v>5/ 13/ 34/ 89</v>
      </c>
      <c r="BS123" s="166" t="str">
        <f t="shared" si="161"/>
        <v>8 / 13 / 8</v>
      </c>
      <c r="BT123" s="166" t="str">
        <f t="shared" si="162"/>
        <v>0.05 / 0.5</v>
      </c>
      <c r="BU123" s="66">
        <v>676</v>
      </c>
      <c r="BV123" s="66">
        <v>409</v>
      </c>
      <c r="BW123" s="66">
        <v>340</v>
      </c>
      <c r="BX123" s="99">
        <f t="shared" si="163"/>
        <v>69</v>
      </c>
      <c r="BY123" s="66">
        <v>92</v>
      </c>
      <c r="BZ123" s="92">
        <f t="shared" si="164"/>
        <v>175</v>
      </c>
      <c r="CA123" s="204">
        <f t="shared" ref="CA123:CA128" si="168">IF(BU123=0,0,BV123/BU123)</f>
        <v>0.6050295857988166</v>
      </c>
      <c r="CB123" s="205">
        <f t="shared" ref="CB123:CB128" si="169">IF(BU123=0,0,BY123/BU123)</f>
        <v>0.13609467455621302</v>
      </c>
      <c r="CC123" s="87">
        <v>4.13</v>
      </c>
      <c r="CD123" s="94">
        <v>88.1</v>
      </c>
      <c r="CE123" s="87">
        <v>0.31</v>
      </c>
      <c r="CF123" s="170">
        <f t="shared" si="165"/>
        <v>1.5</v>
      </c>
      <c r="CG123" s="87">
        <v>0.67</v>
      </c>
      <c r="CH123" s="87">
        <v>0.5</v>
      </c>
      <c r="CI123" s="93">
        <v>7117.3</v>
      </c>
      <c r="CJ123" s="93"/>
      <c r="CK123" s="93"/>
      <c r="CL123" s="87">
        <v>-5.49</v>
      </c>
      <c r="CM123" s="66">
        <v>1000</v>
      </c>
      <c r="CN123" s="102">
        <v>59555.360000000001</v>
      </c>
      <c r="CO123" s="110">
        <f t="shared" si="166"/>
        <v>60555.360000000001</v>
      </c>
      <c r="CP123" s="110">
        <f t="shared" si="167"/>
        <v>5955.5360000000001</v>
      </c>
    </row>
    <row r="124" spans="2:94" outlineLevel="1" x14ac:dyDescent="0.2">
      <c r="B124" s="72" t="s">
        <v>1604</v>
      </c>
      <c r="C124" s="57" t="s">
        <v>1387</v>
      </c>
      <c r="D124" s="57" t="s">
        <v>1440</v>
      </c>
      <c r="E124" s="65" t="s">
        <v>1389</v>
      </c>
      <c r="F124" s="57" t="s">
        <v>1454</v>
      </c>
      <c r="G124" s="62" t="s">
        <v>1556</v>
      </c>
      <c r="H124" s="128" t="b">
        <v>1</v>
      </c>
      <c r="I124" s="122" t="s">
        <v>1865</v>
      </c>
      <c r="J124" s="123">
        <v>21</v>
      </c>
      <c r="K124" s="123">
        <v>0.8</v>
      </c>
      <c r="L124" s="123">
        <v>5</v>
      </c>
      <c r="M124" s="135" t="b">
        <v>1</v>
      </c>
      <c r="N124" s="124">
        <v>21</v>
      </c>
      <c r="O124" s="132">
        <v>0.5</v>
      </c>
      <c r="P124" s="124">
        <v>5</v>
      </c>
      <c r="Q124" s="128" t="b">
        <v>1</v>
      </c>
      <c r="R124" s="127" t="s">
        <v>1559</v>
      </c>
      <c r="T124" s="126">
        <v>13</v>
      </c>
      <c r="U124" s="124">
        <v>1.4999999999999999E-2</v>
      </c>
      <c r="V124" s="126">
        <v>75</v>
      </c>
      <c r="W124" s="126">
        <v>-75</v>
      </c>
      <c r="X124" s="124">
        <v>50</v>
      </c>
      <c r="Y124" s="124">
        <v>5</v>
      </c>
      <c r="Z124" s="128" t="b">
        <v>1</v>
      </c>
      <c r="AA124" s="127" t="s">
        <v>1867</v>
      </c>
      <c r="AB124" s="133">
        <v>2</v>
      </c>
      <c r="AC124" s="135" t="b">
        <v>1</v>
      </c>
      <c r="AD124" s="147">
        <v>34</v>
      </c>
      <c r="AE124" s="135" t="b">
        <v>1</v>
      </c>
      <c r="AF124" s="124">
        <v>5.0000000000000001E-4</v>
      </c>
      <c r="AG124" s="135" t="b">
        <v>1</v>
      </c>
      <c r="AH124" s="125">
        <v>5</v>
      </c>
      <c r="AI124" s="125">
        <v>13</v>
      </c>
      <c r="AJ124" s="125">
        <v>34</v>
      </c>
      <c r="AK124" s="125">
        <v>89</v>
      </c>
      <c r="AL124" s="129" t="b">
        <v>0</v>
      </c>
      <c r="AM124" s="128" t="b">
        <v>1</v>
      </c>
      <c r="AN124" s="131" t="s">
        <v>1469</v>
      </c>
      <c r="AO124" s="127">
        <v>1E-4</v>
      </c>
      <c r="AP124" s="128" t="b">
        <v>1</v>
      </c>
      <c r="AQ124" s="144">
        <v>1E-4</v>
      </c>
      <c r="AR124" s="149">
        <v>8</v>
      </c>
      <c r="AS124" s="149">
        <v>13</v>
      </c>
      <c r="AT124" s="149">
        <v>11</v>
      </c>
      <c r="AU124" s="128" t="b">
        <v>1</v>
      </c>
      <c r="AV124" s="124">
        <v>3</v>
      </c>
      <c r="AW124" s="146">
        <v>5</v>
      </c>
      <c r="AX124" s="124">
        <v>1</v>
      </c>
      <c r="AY124" s="128" t="b">
        <v>1</v>
      </c>
      <c r="AZ124" s="122" t="s">
        <v>1586</v>
      </c>
      <c r="BA124" s="122">
        <v>4</v>
      </c>
      <c r="BB124" s="126">
        <v>0.05</v>
      </c>
      <c r="BC124" s="126">
        <v>0.5</v>
      </c>
      <c r="BD124" s="129" t="b">
        <v>0</v>
      </c>
      <c r="BE124" s="122" t="s">
        <v>1873</v>
      </c>
      <c r="BF124" s="128" t="b">
        <v>1</v>
      </c>
      <c r="BG124" s="122" t="s">
        <v>1578</v>
      </c>
      <c r="BH124" s="133">
        <v>0.02</v>
      </c>
      <c r="BI124" s="156" t="s">
        <v>403</v>
      </c>
      <c r="BJ124" s="128" t="b">
        <v>1</v>
      </c>
      <c r="BK124" s="161">
        <v>1.5</v>
      </c>
      <c r="BL124" s="129" t="b">
        <v>0</v>
      </c>
      <c r="BM124" s="156" t="s">
        <v>412</v>
      </c>
      <c r="BN124" s="128" t="b">
        <v>1</v>
      </c>
      <c r="BO124" s="156" t="s">
        <v>1382</v>
      </c>
      <c r="BP124" s="157">
        <v>1</v>
      </c>
      <c r="BQ124" s="157">
        <v>0.5</v>
      </c>
      <c r="BR124" s="166" t="str">
        <f t="shared" si="160"/>
        <v>5/ 13/ 34/ 89</v>
      </c>
      <c r="BS124" s="166" t="str">
        <f t="shared" si="161"/>
        <v>8 / 13 / 11</v>
      </c>
      <c r="BT124" s="166" t="str">
        <f t="shared" si="162"/>
        <v>0.05 / 0.5</v>
      </c>
      <c r="BU124" s="66">
        <v>678</v>
      </c>
      <c r="BV124" s="66">
        <v>409</v>
      </c>
      <c r="BW124" s="66">
        <v>340</v>
      </c>
      <c r="BX124" s="99">
        <f t="shared" si="163"/>
        <v>69</v>
      </c>
      <c r="BY124" s="66">
        <v>93</v>
      </c>
      <c r="BZ124" s="92">
        <f t="shared" si="164"/>
        <v>176</v>
      </c>
      <c r="CA124" s="204">
        <f t="shared" si="168"/>
        <v>0.60324483775811211</v>
      </c>
      <c r="CB124" s="205">
        <f t="shared" si="169"/>
        <v>0.13716814159292035</v>
      </c>
      <c r="CC124" s="87">
        <v>3.83</v>
      </c>
      <c r="CD124" s="91">
        <v>89.26</v>
      </c>
      <c r="CE124" s="87">
        <v>0.28999999999999998</v>
      </c>
      <c r="CF124" s="170">
        <f t="shared" si="165"/>
        <v>1.5</v>
      </c>
      <c r="CG124" s="87">
        <v>0.68</v>
      </c>
      <c r="CH124" s="87">
        <v>0.52</v>
      </c>
      <c r="CI124" s="93">
        <v>7125.9</v>
      </c>
      <c r="CJ124" s="93"/>
      <c r="CK124" s="93"/>
      <c r="CL124" s="87">
        <v>-5.49</v>
      </c>
      <c r="CM124" s="66">
        <v>1000</v>
      </c>
      <c r="CN124" s="103">
        <v>60519.08</v>
      </c>
      <c r="CO124" s="112">
        <f t="shared" si="166"/>
        <v>61519.08</v>
      </c>
      <c r="CP124" s="112">
        <f t="shared" si="167"/>
        <v>6051.9080000000004</v>
      </c>
    </row>
    <row r="125" spans="2:94" outlineLevel="1" x14ac:dyDescent="0.2">
      <c r="B125" s="72" t="s">
        <v>1605</v>
      </c>
      <c r="C125" s="57" t="s">
        <v>1387</v>
      </c>
      <c r="D125" s="57" t="s">
        <v>1440</v>
      </c>
      <c r="E125" s="65" t="s">
        <v>1389</v>
      </c>
      <c r="F125" s="57" t="s">
        <v>1454</v>
      </c>
      <c r="G125" s="62" t="s">
        <v>1556</v>
      </c>
      <c r="H125" s="128" t="b">
        <v>1</v>
      </c>
      <c r="I125" s="122" t="s">
        <v>1865</v>
      </c>
      <c r="J125" s="123">
        <v>21</v>
      </c>
      <c r="K125" s="123">
        <v>0.8</v>
      </c>
      <c r="L125" s="123">
        <v>5</v>
      </c>
      <c r="M125" s="135" t="b">
        <v>1</v>
      </c>
      <c r="N125" s="124">
        <v>21</v>
      </c>
      <c r="O125" s="132">
        <v>0.5</v>
      </c>
      <c r="P125" s="124">
        <v>5</v>
      </c>
      <c r="Q125" s="128" t="b">
        <v>1</v>
      </c>
      <c r="R125" s="127" t="s">
        <v>1559</v>
      </c>
      <c r="T125" s="126">
        <v>13</v>
      </c>
      <c r="U125" s="124">
        <v>1.4999999999999999E-2</v>
      </c>
      <c r="V125" s="126">
        <v>75</v>
      </c>
      <c r="W125" s="126">
        <v>-75</v>
      </c>
      <c r="X125" s="124">
        <v>50</v>
      </c>
      <c r="Y125" s="124">
        <v>5</v>
      </c>
      <c r="Z125" s="128" t="b">
        <v>1</v>
      </c>
      <c r="AA125" s="127" t="s">
        <v>1867</v>
      </c>
      <c r="AB125" s="133">
        <v>2</v>
      </c>
      <c r="AC125" s="135" t="b">
        <v>1</v>
      </c>
      <c r="AD125" s="147">
        <v>34</v>
      </c>
      <c r="AE125" s="135" t="b">
        <v>1</v>
      </c>
      <c r="AF125" s="124">
        <v>5.0000000000000001E-4</v>
      </c>
      <c r="AG125" s="135" t="b">
        <v>1</v>
      </c>
      <c r="AH125" s="125">
        <v>5</v>
      </c>
      <c r="AI125" s="125">
        <v>13</v>
      </c>
      <c r="AJ125" s="125">
        <v>34</v>
      </c>
      <c r="AK125" s="125">
        <v>89</v>
      </c>
      <c r="AL125" s="129" t="b">
        <v>0</v>
      </c>
      <c r="AM125" s="128" t="b">
        <v>1</v>
      </c>
      <c r="AN125" s="131" t="s">
        <v>1469</v>
      </c>
      <c r="AO125" s="127">
        <v>1E-4</v>
      </c>
      <c r="AP125" s="128" t="b">
        <v>1</v>
      </c>
      <c r="AQ125" s="144">
        <v>1E-4</v>
      </c>
      <c r="AR125" s="149">
        <v>8</v>
      </c>
      <c r="AS125" s="149">
        <v>13</v>
      </c>
      <c r="AT125" s="149">
        <v>13</v>
      </c>
      <c r="AU125" s="128" t="b">
        <v>1</v>
      </c>
      <c r="AV125" s="124">
        <v>3</v>
      </c>
      <c r="AW125" s="146">
        <v>5</v>
      </c>
      <c r="AX125" s="124">
        <v>1</v>
      </c>
      <c r="AY125" s="128" t="b">
        <v>1</v>
      </c>
      <c r="AZ125" s="122" t="s">
        <v>1586</v>
      </c>
      <c r="BA125" s="122">
        <v>4</v>
      </c>
      <c r="BB125" s="126">
        <v>0.05</v>
      </c>
      <c r="BC125" s="126">
        <v>0.5</v>
      </c>
      <c r="BD125" s="129" t="b">
        <v>0</v>
      </c>
      <c r="BE125" s="122" t="s">
        <v>1873</v>
      </c>
      <c r="BF125" s="128" t="b">
        <v>1</v>
      </c>
      <c r="BG125" s="122" t="s">
        <v>1578</v>
      </c>
      <c r="BH125" s="133">
        <v>0.02</v>
      </c>
      <c r="BI125" s="156" t="s">
        <v>403</v>
      </c>
      <c r="BJ125" s="128" t="b">
        <v>1</v>
      </c>
      <c r="BK125" s="161">
        <v>1.5</v>
      </c>
      <c r="BL125" s="129" t="b">
        <v>0</v>
      </c>
      <c r="BM125" s="156" t="s">
        <v>412</v>
      </c>
      <c r="BN125" s="128" t="b">
        <v>1</v>
      </c>
      <c r="BO125" s="156" t="s">
        <v>1382</v>
      </c>
      <c r="BP125" s="157">
        <v>1</v>
      </c>
      <c r="BQ125" s="157">
        <v>0.5</v>
      </c>
      <c r="BR125" s="166" t="str">
        <f t="shared" si="160"/>
        <v>5/ 13/ 34/ 89</v>
      </c>
      <c r="BS125" s="166" t="str">
        <f t="shared" si="161"/>
        <v>8 / 13 / 13</v>
      </c>
      <c r="BT125" s="166" t="str">
        <f t="shared" si="162"/>
        <v>0.05 / 0.5</v>
      </c>
      <c r="BU125" s="66">
        <v>677</v>
      </c>
      <c r="BV125" s="66">
        <v>407</v>
      </c>
      <c r="BW125" s="66">
        <v>338</v>
      </c>
      <c r="BX125" s="99">
        <f t="shared" si="163"/>
        <v>69</v>
      </c>
      <c r="BY125" s="66">
        <v>94</v>
      </c>
      <c r="BZ125" s="92">
        <f t="shared" si="164"/>
        <v>176</v>
      </c>
      <c r="CA125" s="204">
        <f t="shared" si="168"/>
        <v>0.60118168389955684</v>
      </c>
      <c r="CB125" s="205">
        <f t="shared" si="169"/>
        <v>0.13884785819793205</v>
      </c>
      <c r="CC125" s="87">
        <v>3.79</v>
      </c>
      <c r="CD125" s="87">
        <v>86.3</v>
      </c>
      <c r="CE125" s="87">
        <v>0.28999999999999998</v>
      </c>
      <c r="CF125" s="170">
        <f t="shared" si="165"/>
        <v>1.5</v>
      </c>
      <c r="CG125" s="87">
        <v>0.68</v>
      </c>
      <c r="CH125" s="87">
        <v>0.51</v>
      </c>
      <c r="CI125" s="93">
        <v>7093.9</v>
      </c>
      <c r="CJ125" s="93"/>
      <c r="CK125" s="93"/>
      <c r="CL125" s="87">
        <v>-5.49</v>
      </c>
      <c r="CM125" s="66">
        <v>1000</v>
      </c>
      <c r="CN125" s="93">
        <v>58421.84</v>
      </c>
      <c r="CO125" s="108">
        <f t="shared" si="166"/>
        <v>59421.84</v>
      </c>
      <c r="CP125" s="108">
        <f t="shared" si="167"/>
        <v>5842.1839999999993</v>
      </c>
    </row>
    <row r="126" spans="2:94" outlineLevel="1" x14ac:dyDescent="0.2">
      <c r="B126" s="72" t="s">
        <v>1606</v>
      </c>
      <c r="C126" s="57" t="s">
        <v>1387</v>
      </c>
      <c r="D126" s="57" t="s">
        <v>1440</v>
      </c>
      <c r="E126" s="65" t="s">
        <v>1389</v>
      </c>
      <c r="F126" s="57" t="s">
        <v>1454</v>
      </c>
      <c r="G126" s="62" t="s">
        <v>1556</v>
      </c>
      <c r="H126" s="128" t="b">
        <v>1</v>
      </c>
      <c r="I126" s="122" t="s">
        <v>1865</v>
      </c>
      <c r="J126" s="123">
        <v>21</v>
      </c>
      <c r="K126" s="123">
        <v>0.8</v>
      </c>
      <c r="L126" s="123">
        <v>5</v>
      </c>
      <c r="M126" s="135" t="b">
        <v>1</v>
      </c>
      <c r="N126" s="124">
        <v>21</v>
      </c>
      <c r="O126" s="132">
        <v>0.5</v>
      </c>
      <c r="P126" s="124">
        <v>5</v>
      </c>
      <c r="Q126" s="128" t="b">
        <v>1</v>
      </c>
      <c r="R126" s="127" t="s">
        <v>1559</v>
      </c>
      <c r="T126" s="126">
        <v>13</v>
      </c>
      <c r="U126" s="124">
        <v>1.4999999999999999E-2</v>
      </c>
      <c r="V126" s="126">
        <v>75</v>
      </c>
      <c r="W126" s="126">
        <v>-75</v>
      </c>
      <c r="X126" s="124">
        <v>50</v>
      </c>
      <c r="Y126" s="124">
        <v>5</v>
      </c>
      <c r="Z126" s="128" t="b">
        <v>1</v>
      </c>
      <c r="AA126" s="127" t="s">
        <v>1867</v>
      </c>
      <c r="AB126" s="133">
        <v>2</v>
      </c>
      <c r="AC126" s="135" t="b">
        <v>1</v>
      </c>
      <c r="AD126" s="147">
        <v>34</v>
      </c>
      <c r="AE126" s="135" t="b">
        <v>1</v>
      </c>
      <c r="AF126" s="124">
        <v>5.0000000000000001E-4</v>
      </c>
      <c r="AG126" s="135" t="b">
        <v>1</v>
      </c>
      <c r="AH126" s="125">
        <v>5</v>
      </c>
      <c r="AI126" s="125">
        <v>13</v>
      </c>
      <c r="AJ126" s="125">
        <v>34</v>
      </c>
      <c r="AK126" s="125">
        <v>89</v>
      </c>
      <c r="AL126" s="129" t="b">
        <v>0</v>
      </c>
      <c r="AM126" s="128" t="b">
        <v>1</v>
      </c>
      <c r="AN126" s="131" t="s">
        <v>1469</v>
      </c>
      <c r="AO126" s="127">
        <v>1E-4</v>
      </c>
      <c r="AP126" s="128" t="b">
        <v>1</v>
      </c>
      <c r="AQ126" s="144">
        <v>1E-4</v>
      </c>
      <c r="AR126" s="150">
        <v>8</v>
      </c>
      <c r="AS126" s="150">
        <v>17</v>
      </c>
      <c r="AT126" s="150">
        <v>9</v>
      </c>
      <c r="AU126" s="128" t="b">
        <v>1</v>
      </c>
      <c r="AV126" s="124">
        <v>3</v>
      </c>
      <c r="AW126" s="146">
        <v>5</v>
      </c>
      <c r="AX126" s="124">
        <v>1</v>
      </c>
      <c r="AY126" s="128" t="b">
        <v>1</v>
      </c>
      <c r="AZ126" s="122" t="s">
        <v>1586</v>
      </c>
      <c r="BA126" s="122">
        <v>4</v>
      </c>
      <c r="BB126" s="126">
        <v>0.05</v>
      </c>
      <c r="BC126" s="126">
        <v>0.5</v>
      </c>
      <c r="BD126" s="129" t="b">
        <v>0</v>
      </c>
      <c r="BE126" s="122" t="s">
        <v>1873</v>
      </c>
      <c r="BF126" s="128" t="b">
        <v>1</v>
      </c>
      <c r="BG126" s="122" t="s">
        <v>1578</v>
      </c>
      <c r="BH126" s="133">
        <v>0.02</v>
      </c>
      <c r="BI126" s="156" t="s">
        <v>403</v>
      </c>
      <c r="BJ126" s="128" t="b">
        <v>1</v>
      </c>
      <c r="BK126" s="161">
        <v>1.5</v>
      </c>
      <c r="BL126" s="129" t="b">
        <v>0</v>
      </c>
      <c r="BM126" s="156" t="s">
        <v>412</v>
      </c>
      <c r="BN126" s="128" t="b">
        <v>1</v>
      </c>
      <c r="BO126" s="156" t="s">
        <v>1382</v>
      </c>
      <c r="BP126" s="157">
        <v>1</v>
      </c>
      <c r="BQ126" s="157">
        <v>0.5</v>
      </c>
      <c r="BR126" s="166" t="str">
        <f t="shared" si="160"/>
        <v>5/ 13/ 34/ 89</v>
      </c>
      <c r="BS126" s="166" t="str">
        <f t="shared" si="161"/>
        <v>8 / 17 / 9</v>
      </c>
      <c r="BT126" s="166" t="str">
        <f t="shared" si="162"/>
        <v>0.05 / 0.5</v>
      </c>
      <c r="BU126" s="66">
        <v>671</v>
      </c>
      <c r="BV126" s="66">
        <v>395</v>
      </c>
      <c r="BW126" s="66">
        <v>331</v>
      </c>
      <c r="BX126" s="99">
        <f t="shared" si="163"/>
        <v>64</v>
      </c>
      <c r="BY126" s="66">
        <v>97</v>
      </c>
      <c r="BZ126" s="92">
        <f t="shared" si="164"/>
        <v>179</v>
      </c>
      <c r="CA126" s="204">
        <f t="shared" si="168"/>
        <v>0.58867362146050672</v>
      </c>
      <c r="CB126" s="205">
        <f t="shared" si="169"/>
        <v>0.14456035767511177</v>
      </c>
      <c r="CC126" s="87">
        <v>3.5</v>
      </c>
      <c r="CD126" s="87">
        <v>66.94</v>
      </c>
      <c r="CE126" s="87">
        <v>0.28999999999999998</v>
      </c>
      <c r="CF126" s="170">
        <f t="shared" si="165"/>
        <v>1.5</v>
      </c>
      <c r="CG126" s="87">
        <v>0.67</v>
      </c>
      <c r="CH126" s="87">
        <v>0.52</v>
      </c>
      <c r="CI126" s="93">
        <v>6925.6</v>
      </c>
      <c r="CJ126" s="93"/>
      <c r="CK126" s="93"/>
      <c r="CL126" s="87">
        <v>-5.56</v>
      </c>
      <c r="CM126" s="66">
        <v>1000</v>
      </c>
      <c r="CN126" s="93">
        <v>44919.43</v>
      </c>
      <c r="CO126" s="108">
        <f t="shared" si="166"/>
        <v>45919.43</v>
      </c>
      <c r="CP126" s="108">
        <f t="shared" si="167"/>
        <v>4491.9430000000002</v>
      </c>
    </row>
    <row r="127" spans="2:94" outlineLevel="1" x14ac:dyDescent="0.2">
      <c r="B127" s="72" t="s">
        <v>1607</v>
      </c>
      <c r="C127" s="57" t="s">
        <v>1387</v>
      </c>
      <c r="D127" s="57" t="s">
        <v>1440</v>
      </c>
      <c r="E127" s="65" t="s">
        <v>1389</v>
      </c>
      <c r="F127" s="57" t="s">
        <v>1454</v>
      </c>
      <c r="G127" s="62" t="s">
        <v>1556</v>
      </c>
      <c r="H127" s="128" t="b">
        <v>1</v>
      </c>
      <c r="I127" s="122" t="s">
        <v>1865</v>
      </c>
      <c r="J127" s="123">
        <v>21</v>
      </c>
      <c r="K127" s="123">
        <v>0.8</v>
      </c>
      <c r="L127" s="123">
        <v>5</v>
      </c>
      <c r="M127" s="135" t="b">
        <v>1</v>
      </c>
      <c r="N127" s="124">
        <v>21</v>
      </c>
      <c r="O127" s="132">
        <v>0.5</v>
      </c>
      <c r="P127" s="124">
        <v>5</v>
      </c>
      <c r="Q127" s="128" t="b">
        <v>1</v>
      </c>
      <c r="R127" s="127" t="s">
        <v>1559</v>
      </c>
      <c r="T127" s="126">
        <v>13</v>
      </c>
      <c r="U127" s="124">
        <v>1.4999999999999999E-2</v>
      </c>
      <c r="V127" s="126">
        <v>75</v>
      </c>
      <c r="W127" s="126">
        <v>-75</v>
      </c>
      <c r="X127" s="124">
        <v>50</v>
      </c>
      <c r="Y127" s="124">
        <v>5</v>
      </c>
      <c r="Z127" s="128" t="b">
        <v>1</v>
      </c>
      <c r="AA127" s="127" t="s">
        <v>1867</v>
      </c>
      <c r="AB127" s="133">
        <v>2</v>
      </c>
      <c r="AC127" s="135" t="b">
        <v>1</v>
      </c>
      <c r="AD127" s="147">
        <v>34</v>
      </c>
      <c r="AE127" s="135" t="b">
        <v>1</v>
      </c>
      <c r="AF127" s="124">
        <v>5.0000000000000001E-4</v>
      </c>
      <c r="AG127" s="135" t="b">
        <v>1</v>
      </c>
      <c r="AH127" s="125">
        <v>5</v>
      </c>
      <c r="AI127" s="125">
        <v>13</v>
      </c>
      <c r="AJ127" s="125">
        <v>34</v>
      </c>
      <c r="AK127" s="125">
        <v>89</v>
      </c>
      <c r="AL127" s="129" t="b">
        <v>0</v>
      </c>
      <c r="AM127" s="128" t="b">
        <v>1</v>
      </c>
      <c r="AN127" s="131" t="s">
        <v>1469</v>
      </c>
      <c r="AO127" s="127">
        <v>1E-4</v>
      </c>
      <c r="AP127" s="128" t="b">
        <v>1</v>
      </c>
      <c r="AQ127" s="144">
        <v>1E-4</v>
      </c>
      <c r="AR127" s="152">
        <v>12</v>
      </c>
      <c r="AS127" s="152">
        <v>26</v>
      </c>
      <c r="AT127" s="152">
        <v>9</v>
      </c>
      <c r="AU127" s="128" t="b">
        <v>1</v>
      </c>
      <c r="AV127" s="124">
        <v>3</v>
      </c>
      <c r="AW127" s="146">
        <v>5</v>
      </c>
      <c r="AX127" s="124">
        <v>1</v>
      </c>
      <c r="AY127" s="128" t="b">
        <v>1</v>
      </c>
      <c r="AZ127" s="122" t="s">
        <v>1586</v>
      </c>
      <c r="BA127" s="122">
        <v>4</v>
      </c>
      <c r="BB127" s="126">
        <v>0.05</v>
      </c>
      <c r="BC127" s="126">
        <v>0.5</v>
      </c>
      <c r="BD127" s="129" t="b">
        <v>0</v>
      </c>
      <c r="BE127" s="122" t="s">
        <v>1873</v>
      </c>
      <c r="BF127" s="128" t="b">
        <v>1</v>
      </c>
      <c r="BG127" s="122" t="s">
        <v>1578</v>
      </c>
      <c r="BH127" s="133">
        <v>0.02</v>
      </c>
      <c r="BI127" s="156" t="s">
        <v>403</v>
      </c>
      <c r="BJ127" s="128" t="b">
        <v>1</v>
      </c>
      <c r="BK127" s="161">
        <v>1.5</v>
      </c>
      <c r="BL127" s="129" t="b">
        <v>0</v>
      </c>
      <c r="BM127" s="156" t="s">
        <v>412</v>
      </c>
      <c r="BN127" s="128" t="b">
        <v>1</v>
      </c>
      <c r="BO127" s="156" t="s">
        <v>1382</v>
      </c>
      <c r="BP127" s="157">
        <v>1</v>
      </c>
      <c r="BQ127" s="157">
        <v>0.5</v>
      </c>
      <c r="BR127" s="166" t="str">
        <f t="shared" si="160"/>
        <v>5/ 13/ 34/ 89</v>
      </c>
      <c r="BS127" s="166" t="str">
        <f t="shared" si="161"/>
        <v>12 / 26 / 9</v>
      </c>
      <c r="BT127" s="166" t="str">
        <f t="shared" si="162"/>
        <v>0.05 / 0.5</v>
      </c>
      <c r="BU127" s="66">
        <v>648</v>
      </c>
      <c r="BV127" s="66">
        <v>387</v>
      </c>
      <c r="BW127" s="66">
        <v>315</v>
      </c>
      <c r="BX127" s="99">
        <f t="shared" si="163"/>
        <v>72</v>
      </c>
      <c r="BY127" s="66">
        <v>94</v>
      </c>
      <c r="BZ127" s="92">
        <f t="shared" si="164"/>
        <v>167</v>
      </c>
      <c r="CA127" s="204">
        <f t="shared" si="168"/>
        <v>0.59722222222222221</v>
      </c>
      <c r="CB127" s="205">
        <f t="shared" si="169"/>
        <v>0.14506172839506173</v>
      </c>
      <c r="CC127" s="87">
        <v>3.89</v>
      </c>
      <c r="CD127" s="87">
        <v>80.12</v>
      </c>
      <c r="CE127" s="87">
        <v>0.3</v>
      </c>
      <c r="CF127" s="170">
        <f t="shared" si="165"/>
        <v>1.5</v>
      </c>
      <c r="CG127" s="87">
        <v>0.7</v>
      </c>
      <c r="CH127" s="87">
        <v>0.54</v>
      </c>
      <c r="CI127" s="93">
        <v>6878.1</v>
      </c>
      <c r="CJ127" s="93"/>
      <c r="CK127" s="93"/>
      <c r="CL127" s="87">
        <v>-6.31</v>
      </c>
      <c r="CM127" s="66">
        <v>1000</v>
      </c>
      <c r="CN127" s="93">
        <v>51915.41</v>
      </c>
      <c r="CO127" s="108">
        <f t="shared" si="166"/>
        <v>52915.41</v>
      </c>
      <c r="CP127" s="108">
        <f t="shared" si="167"/>
        <v>5191.5410000000002</v>
      </c>
    </row>
    <row r="128" spans="2:94" outlineLevel="1" x14ac:dyDescent="0.2">
      <c r="B128" s="72" t="s">
        <v>1608</v>
      </c>
      <c r="C128" s="57" t="s">
        <v>1387</v>
      </c>
      <c r="D128" s="57" t="s">
        <v>1440</v>
      </c>
      <c r="E128" s="65" t="s">
        <v>1389</v>
      </c>
      <c r="F128" s="57" t="s">
        <v>1454</v>
      </c>
      <c r="G128" s="62" t="s">
        <v>1556</v>
      </c>
      <c r="H128" s="128" t="b">
        <v>1</v>
      </c>
      <c r="I128" s="122" t="s">
        <v>1865</v>
      </c>
      <c r="J128" s="123">
        <v>21</v>
      </c>
      <c r="K128" s="123">
        <v>0.8</v>
      </c>
      <c r="L128" s="123">
        <v>5</v>
      </c>
      <c r="M128" s="135" t="b">
        <v>1</v>
      </c>
      <c r="N128" s="124">
        <v>21</v>
      </c>
      <c r="O128" s="132">
        <v>0.5</v>
      </c>
      <c r="P128" s="124">
        <v>5</v>
      </c>
      <c r="Q128" s="128" t="b">
        <v>1</v>
      </c>
      <c r="R128" s="127" t="s">
        <v>1559</v>
      </c>
      <c r="T128" s="126">
        <v>13</v>
      </c>
      <c r="U128" s="124">
        <v>1.4999999999999999E-2</v>
      </c>
      <c r="V128" s="126">
        <v>75</v>
      </c>
      <c r="W128" s="126">
        <v>-75</v>
      </c>
      <c r="X128" s="124">
        <v>50</v>
      </c>
      <c r="Y128" s="124">
        <v>5</v>
      </c>
      <c r="Z128" s="128" t="b">
        <v>1</v>
      </c>
      <c r="AA128" s="127" t="s">
        <v>1867</v>
      </c>
      <c r="AB128" s="133">
        <v>2</v>
      </c>
      <c r="AC128" s="135" t="b">
        <v>1</v>
      </c>
      <c r="AD128" s="147">
        <v>34</v>
      </c>
      <c r="AE128" s="135" t="b">
        <v>1</v>
      </c>
      <c r="AF128" s="124">
        <v>5.0000000000000001E-4</v>
      </c>
      <c r="AG128" s="135" t="b">
        <v>1</v>
      </c>
      <c r="AH128" s="125">
        <v>5</v>
      </c>
      <c r="AI128" s="125">
        <v>13</v>
      </c>
      <c r="AJ128" s="125">
        <v>34</v>
      </c>
      <c r="AK128" s="125">
        <v>89</v>
      </c>
      <c r="AL128" s="129" t="b">
        <v>0</v>
      </c>
      <c r="AM128" s="128" t="b">
        <v>1</v>
      </c>
      <c r="AN128" s="131" t="s">
        <v>1469</v>
      </c>
      <c r="AO128" s="127">
        <v>1E-4</v>
      </c>
      <c r="AP128" s="128" t="b">
        <v>1</v>
      </c>
      <c r="AQ128" s="144">
        <v>1E-4</v>
      </c>
      <c r="AR128" s="137">
        <v>21</v>
      </c>
      <c r="AS128" s="137">
        <v>34</v>
      </c>
      <c r="AT128" s="137">
        <v>9</v>
      </c>
      <c r="AU128" s="128" t="b">
        <v>1</v>
      </c>
      <c r="AV128" s="124">
        <v>3</v>
      </c>
      <c r="AW128" s="146">
        <v>5</v>
      </c>
      <c r="AX128" s="124">
        <v>1</v>
      </c>
      <c r="AY128" s="128" t="b">
        <v>1</v>
      </c>
      <c r="AZ128" s="122" t="s">
        <v>1586</v>
      </c>
      <c r="BA128" s="122">
        <v>4</v>
      </c>
      <c r="BB128" s="126">
        <v>0.05</v>
      </c>
      <c r="BC128" s="126">
        <v>0.5</v>
      </c>
      <c r="BD128" s="129" t="b">
        <v>0</v>
      </c>
      <c r="BE128" s="122" t="s">
        <v>1873</v>
      </c>
      <c r="BF128" s="128" t="b">
        <v>1</v>
      </c>
      <c r="BG128" s="122" t="s">
        <v>1578</v>
      </c>
      <c r="BH128" s="133">
        <v>0.02</v>
      </c>
      <c r="BI128" s="156" t="s">
        <v>403</v>
      </c>
      <c r="BJ128" s="128" t="b">
        <v>1</v>
      </c>
      <c r="BK128" s="161">
        <v>1.5</v>
      </c>
      <c r="BL128" s="129" t="b">
        <v>0</v>
      </c>
      <c r="BM128" s="156" t="s">
        <v>412</v>
      </c>
      <c r="BN128" s="128" t="b">
        <v>1</v>
      </c>
      <c r="BO128" s="156" t="s">
        <v>1382</v>
      </c>
      <c r="BP128" s="157">
        <v>1</v>
      </c>
      <c r="BQ128" s="157">
        <v>0.5</v>
      </c>
      <c r="BR128" s="166" t="str">
        <f t="shared" si="160"/>
        <v>5/ 13/ 34/ 89</v>
      </c>
      <c r="BS128" s="166" t="str">
        <f t="shared" si="161"/>
        <v>21 / 34 / 9</v>
      </c>
      <c r="BT128" s="166" t="str">
        <f t="shared" si="162"/>
        <v>0.05 / 0.5</v>
      </c>
      <c r="BU128" s="66">
        <v>601</v>
      </c>
      <c r="BV128" s="66">
        <v>360</v>
      </c>
      <c r="BW128" s="66">
        <v>293</v>
      </c>
      <c r="BX128" s="99">
        <f t="shared" si="163"/>
        <v>67</v>
      </c>
      <c r="BY128" s="66">
        <v>88</v>
      </c>
      <c r="BZ128" s="92">
        <f t="shared" si="164"/>
        <v>153</v>
      </c>
      <c r="CA128" s="204">
        <f t="shared" si="168"/>
        <v>0.59900166389351084</v>
      </c>
      <c r="CB128" s="205">
        <f t="shared" si="169"/>
        <v>0.1464226289517471</v>
      </c>
      <c r="CC128" s="87">
        <v>4.12</v>
      </c>
      <c r="CD128" s="87">
        <v>66.7</v>
      </c>
      <c r="CE128" s="87">
        <v>0.32</v>
      </c>
      <c r="CF128" s="170">
        <f t="shared" si="165"/>
        <v>1.5</v>
      </c>
      <c r="CG128" s="87">
        <v>0.7</v>
      </c>
      <c r="CH128" s="87">
        <v>0.52</v>
      </c>
      <c r="CI128" s="93">
        <v>6334.1</v>
      </c>
      <c r="CJ128" s="93"/>
      <c r="CK128" s="93"/>
      <c r="CL128" s="87">
        <v>-3.98</v>
      </c>
      <c r="CM128" s="66">
        <v>1000</v>
      </c>
      <c r="CN128" s="93">
        <v>40085.040000000001</v>
      </c>
      <c r="CO128" s="108">
        <f t="shared" si="166"/>
        <v>41085.040000000001</v>
      </c>
      <c r="CP128" s="108">
        <f t="shared" si="167"/>
        <v>4008.5039999999999</v>
      </c>
    </row>
    <row r="129" spans="1:103" outlineLevel="1" x14ac:dyDescent="0.2">
      <c r="G129" s="113"/>
      <c r="AE129" s="124"/>
      <c r="AO129" s="127"/>
    </row>
    <row r="130" spans="1:103" x14ac:dyDescent="0.2">
      <c r="B130" s="72" t="s">
        <v>1612</v>
      </c>
      <c r="C130" s="57" t="s">
        <v>1387</v>
      </c>
      <c r="D130" s="57" t="s">
        <v>1440</v>
      </c>
      <c r="E130" s="65" t="s">
        <v>1389</v>
      </c>
      <c r="F130" s="57" t="s">
        <v>1454</v>
      </c>
      <c r="G130" s="62" t="s">
        <v>1556</v>
      </c>
      <c r="H130" s="128" t="b">
        <v>1</v>
      </c>
      <c r="I130" s="122" t="s">
        <v>1865</v>
      </c>
      <c r="J130" s="123">
        <v>21</v>
      </c>
      <c r="K130" s="136">
        <v>0.5</v>
      </c>
      <c r="L130" s="123">
        <v>5</v>
      </c>
      <c r="M130" s="135" t="b">
        <v>1</v>
      </c>
      <c r="N130" s="124">
        <v>21</v>
      </c>
      <c r="O130" s="132">
        <v>0.5</v>
      </c>
      <c r="P130" s="124">
        <v>5</v>
      </c>
      <c r="Q130" s="128" t="b">
        <v>1</v>
      </c>
      <c r="R130" s="127" t="s">
        <v>1559</v>
      </c>
      <c r="S130" s="135" t="b">
        <v>1</v>
      </c>
      <c r="T130" s="126">
        <v>13</v>
      </c>
      <c r="U130" s="124">
        <v>1.4999999999999999E-2</v>
      </c>
      <c r="V130" s="126">
        <v>75</v>
      </c>
      <c r="W130" s="126">
        <v>-75</v>
      </c>
      <c r="X130" s="124">
        <v>50</v>
      </c>
      <c r="Y130" s="124">
        <v>5</v>
      </c>
      <c r="Z130" s="128" t="b">
        <v>1</v>
      </c>
      <c r="AA130" s="127" t="s">
        <v>1867</v>
      </c>
      <c r="AB130" s="133">
        <v>2</v>
      </c>
      <c r="AC130" s="135" t="b">
        <v>1</v>
      </c>
      <c r="AD130" s="147">
        <v>34</v>
      </c>
      <c r="AE130" s="135" t="b">
        <v>1</v>
      </c>
      <c r="AF130" s="124">
        <v>5.0000000000000001E-4</v>
      </c>
      <c r="AG130" s="135" t="b">
        <v>1</v>
      </c>
      <c r="AH130" s="125">
        <v>5</v>
      </c>
      <c r="AI130" s="125">
        <v>13</v>
      </c>
      <c r="AJ130" s="125">
        <v>34</v>
      </c>
      <c r="AK130" s="125">
        <v>89</v>
      </c>
      <c r="AL130" s="129" t="b">
        <v>0</v>
      </c>
      <c r="AM130" s="128" t="b">
        <v>1</v>
      </c>
      <c r="AN130" s="131" t="s">
        <v>1469</v>
      </c>
      <c r="AO130" s="127">
        <v>1E-4</v>
      </c>
      <c r="AP130" s="128" t="b">
        <v>1</v>
      </c>
      <c r="AQ130" s="144">
        <v>1E-4</v>
      </c>
      <c r="AR130" s="126">
        <v>5</v>
      </c>
      <c r="AS130" s="126">
        <v>8</v>
      </c>
      <c r="AT130" s="126">
        <v>5</v>
      </c>
      <c r="AU130" s="128" t="b">
        <v>1</v>
      </c>
      <c r="AV130" s="124">
        <v>3</v>
      </c>
      <c r="AW130" s="146">
        <v>5</v>
      </c>
      <c r="AX130" s="124">
        <v>1</v>
      </c>
      <c r="AY130" s="128" t="b">
        <v>1</v>
      </c>
      <c r="AZ130" s="122" t="s">
        <v>1586</v>
      </c>
      <c r="BA130" s="122">
        <v>4</v>
      </c>
      <c r="BB130" s="126">
        <v>0.05</v>
      </c>
      <c r="BC130" s="126">
        <v>0.5</v>
      </c>
      <c r="BD130" s="129" t="b">
        <v>0</v>
      </c>
      <c r="BE130" s="122" t="s">
        <v>1873</v>
      </c>
      <c r="BF130" s="128" t="b">
        <v>1</v>
      </c>
      <c r="BG130" s="122" t="s">
        <v>1578</v>
      </c>
      <c r="BH130" s="133">
        <v>0.02</v>
      </c>
      <c r="BI130" s="156" t="s">
        <v>403</v>
      </c>
      <c r="BJ130" s="128" t="b">
        <v>1</v>
      </c>
      <c r="BK130" s="161">
        <v>1.5</v>
      </c>
      <c r="BL130" s="129" t="b">
        <v>0</v>
      </c>
      <c r="BM130" s="156" t="s">
        <v>412</v>
      </c>
      <c r="BN130" s="128" t="b">
        <v>1</v>
      </c>
      <c r="BO130" s="156" t="s">
        <v>1382</v>
      </c>
      <c r="BP130" s="157">
        <v>1</v>
      </c>
      <c r="BQ130" s="157">
        <v>0.5</v>
      </c>
      <c r="BR130" s="166" t="str">
        <f t="shared" si="160"/>
        <v>5/ 13/ 34/ 89</v>
      </c>
      <c r="BS130" s="166" t="str">
        <f t="shared" ref="BS130:BS137" si="170">AR130&amp;" / "&amp;AS130&amp;" / "&amp;AT130</f>
        <v>5 / 8 / 5</v>
      </c>
      <c r="BT130" s="166" t="str">
        <f t="shared" ref="BT130:BT137" si="171">BB130&amp;" / "&amp;BC130</f>
        <v>0.05 / 0.5</v>
      </c>
      <c r="BU130" s="66">
        <v>717</v>
      </c>
      <c r="BV130" s="66">
        <v>444</v>
      </c>
      <c r="BW130" s="66">
        <v>368</v>
      </c>
      <c r="BX130" s="99">
        <f t="shared" ref="BX130:BX137" si="172">BV130-BW130</f>
        <v>76</v>
      </c>
      <c r="BY130" s="66">
        <v>85</v>
      </c>
      <c r="BZ130" s="92">
        <f t="shared" ref="BZ130:BZ137" si="173">BU130-SUM(BW130:BY130)</f>
        <v>188</v>
      </c>
      <c r="CA130" s="204">
        <f>IF(BU130=0,0,BV130/BU130)</f>
        <v>0.61924686192468614</v>
      </c>
      <c r="CB130" s="205">
        <f>IF(BU130=0,0,BY130/BU130)</f>
        <v>0.11854951185495119</v>
      </c>
      <c r="CC130" s="87">
        <v>4.3600000000000003</v>
      </c>
      <c r="CD130" s="87">
        <v>135.46</v>
      </c>
      <c r="CE130" s="87">
        <v>0.28999999999999998</v>
      </c>
      <c r="CF130" s="170">
        <f t="shared" ref="CF130:CF137" si="174">BK130</f>
        <v>1.5</v>
      </c>
      <c r="CG130" s="87">
        <v>0.66</v>
      </c>
      <c r="CH130" s="87">
        <v>0.5</v>
      </c>
      <c r="CI130" s="93">
        <v>7571.6</v>
      </c>
      <c r="CJ130" s="93"/>
      <c r="CK130" s="93"/>
      <c r="CL130" s="87">
        <v>-5.58</v>
      </c>
      <c r="CM130" s="66">
        <v>1000</v>
      </c>
      <c r="CN130" s="93">
        <v>97121.17</v>
      </c>
      <c r="CO130" s="108">
        <f t="shared" ref="CO130:CO137" si="175">CM130+CN130</f>
        <v>98121.17</v>
      </c>
      <c r="CP130" s="108">
        <f t="shared" ref="CP130:CP137" si="176">CN130/10</f>
        <v>9712.1170000000002</v>
      </c>
    </row>
    <row r="131" spans="1:103" outlineLevel="1" x14ac:dyDescent="0.2">
      <c r="B131" s="72" t="s">
        <v>1613</v>
      </c>
      <c r="C131" s="57" t="s">
        <v>1387</v>
      </c>
      <c r="D131" s="57" t="s">
        <v>1440</v>
      </c>
      <c r="E131" s="65" t="s">
        <v>1389</v>
      </c>
      <c r="F131" s="57" t="s">
        <v>1454</v>
      </c>
      <c r="G131" s="62" t="s">
        <v>1556</v>
      </c>
      <c r="H131" s="128" t="b">
        <v>1</v>
      </c>
      <c r="I131" s="122" t="s">
        <v>1865</v>
      </c>
      <c r="J131" s="123">
        <v>21</v>
      </c>
      <c r="K131" s="136">
        <v>0.5</v>
      </c>
      <c r="L131" s="123">
        <v>5</v>
      </c>
      <c r="M131" s="135" t="b">
        <v>1</v>
      </c>
      <c r="N131" s="124">
        <v>21</v>
      </c>
      <c r="O131" s="132">
        <v>0.5</v>
      </c>
      <c r="P131" s="124">
        <v>5</v>
      </c>
      <c r="Q131" s="128" t="b">
        <v>1</v>
      </c>
      <c r="R131" s="127" t="s">
        <v>1559</v>
      </c>
      <c r="S131" s="135" t="b">
        <v>1</v>
      </c>
      <c r="T131" s="126">
        <v>13</v>
      </c>
      <c r="U131" s="124">
        <v>1.4999999999999999E-2</v>
      </c>
      <c r="V131" s="126">
        <v>75</v>
      </c>
      <c r="W131" s="126">
        <v>-75</v>
      </c>
      <c r="X131" s="124">
        <v>50</v>
      </c>
      <c r="Y131" s="124">
        <v>5</v>
      </c>
      <c r="Z131" s="128" t="b">
        <v>1</v>
      </c>
      <c r="AA131" s="127" t="s">
        <v>1867</v>
      </c>
      <c r="AB131" s="133">
        <v>2</v>
      </c>
      <c r="AC131" s="135" t="b">
        <v>1</v>
      </c>
      <c r="AD131" s="147">
        <v>34</v>
      </c>
      <c r="AE131" s="135" t="b">
        <v>1</v>
      </c>
      <c r="AF131" s="124">
        <v>5.0000000000000001E-4</v>
      </c>
      <c r="AG131" s="135" t="b">
        <v>1</v>
      </c>
      <c r="AH131" s="125">
        <v>5</v>
      </c>
      <c r="AI131" s="125">
        <v>13</v>
      </c>
      <c r="AJ131" s="125">
        <v>34</v>
      </c>
      <c r="AK131" s="125">
        <v>89</v>
      </c>
      <c r="AL131" s="129" t="b">
        <v>0</v>
      </c>
      <c r="AM131" s="128" t="b">
        <v>1</v>
      </c>
      <c r="AN131" s="131" t="s">
        <v>1469</v>
      </c>
      <c r="AO131" s="127">
        <v>1E-4</v>
      </c>
      <c r="AP131" s="128" t="b">
        <v>1</v>
      </c>
      <c r="AQ131" s="144">
        <v>1E-4</v>
      </c>
      <c r="AR131" s="137">
        <v>5</v>
      </c>
      <c r="AS131" s="137">
        <v>13</v>
      </c>
      <c r="AT131" s="137">
        <v>5</v>
      </c>
      <c r="AU131" s="128" t="b">
        <v>1</v>
      </c>
      <c r="AV131" s="124">
        <v>3</v>
      </c>
      <c r="AW131" s="146">
        <v>5</v>
      </c>
      <c r="AX131" s="124">
        <v>1</v>
      </c>
      <c r="AY131" s="128" t="b">
        <v>1</v>
      </c>
      <c r="AZ131" s="122" t="s">
        <v>1586</v>
      </c>
      <c r="BA131" s="122">
        <v>4</v>
      </c>
      <c r="BB131" s="126">
        <v>0.05</v>
      </c>
      <c r="BC131" s="126">
        <v>0.5</v>
      </c>
      <c r="BD131" s="129" t="b">
        <v>0</v>
      </c>
      <c r="BE131" s="122" t="s">
        <v>1873</v>
      </c>
      <c r="BF131" s="128" t="b">
        <v>1</v>
      </c>
      <c r="BG131" s="122" t="s">
        <v>1578</v>
      </c>
      <c r="BH131" s="133">
        <v>0.02</v>
      </c>
      <c r="BI131" s="156" t="s">
        <v>403</v>
      </c>
      <c r="BJ131" s="128" t="b">
        <v>1</v>
      </c>
      <c r="BK131" s="161">
        <v>1.5</v>
      </c>
      <c r="BL131" s="129" t="b">
        <v>0</v>
      </c>
      <c r="BM131" s="156" t="s">
        <v>412</v>
      </c>
      <c r="BN131" s="128" t="b">
        <v>1</v>
      </c>
      <c r="BO131" s="156" t="s">
        <v>1382</v>
      </c>
      <c r="BP131" s="157">
        <v>1</v>
      </c>
      <c r="BQ131" s="157">
        <v>0.5</v>
      </c>
      <c r="BR131" s="166" t="str">
        <f t="shared" si="160"/>
        <v>5/ 13/ 34/ 89</v>
      </c>
      <c r="BS131" s="166" t="str">
        <f t="shared" si="170"/>
        <v>5 / 13 / 5</v>
      </c>
      <c r="BT131" s="166" t="str">
        <f t="shared" si="171"/>
        <v>0.05 / 0.5</v>
      </c>
      <c r="BU131" s="66">
        <v>742</v>
      </c>
      <c r="BV131" s="66">
        <v>450</v>
      </c>
      <c r="BW131" s="66">
        <v>367</v>
      </c>
      <c r="BX131" s="99">
        <f t="shared" si="172"/>
        <v>83</v>
      </c>
      <c r="BY131" s="66">
        <v>97</v>
      </c>
      <c r="BZ131" s="92">
        <f t="shared" si="173"/>
        <v>195</v>
      </c>
      <c r="CA131" s="204">
        <f t="shared" ref="CA131:CA136" si="177">IF(BU131=0,0,BV131/BU131)</f>
        <v>0.60646900269541781</v>
      </c>
      <c r="CB131" s="205">
        <f t="shared" ref="CB131:CB136" si="178">IF(BU131=0,0,BY131/BU131)</f>
        <v>0.1307277628032345</v>
      </c>
      <c r="CC131" s="87">
        <v>4.24</v>
      </c>
      <c r="CD131" s="94">
        <v>142.66</v>
      </c>
      <c r="CE131" s="87">
        <v>0.28999999999999998</v>
      </c>
      <c r="CF131" s="170">
        <f t="shared" si="174"/>
        <v>1.5</v>
      </c>
      <c r="CG131" s="87">
        <v>0.68</v>
      </c>
      <c r="CH131" s="87">
        <v>0.53</v>
      </c>
      <c r="CI131" s="93">
        <v>7723</v>
      </c>
      <c r="CJ131" s="93"/>
      <c r="CK131" s="93"/>
      <c r="CL131" s="87">
        <v>-6.41</v>
      </c>
      <c r="CM131" s="66">
        <v>1000</v>
      </c>
      <c r="CN131" s="102">
        <v>105852.5</v>
      </c>
      <c r="CO131" s="110">
        <f t="shared" si="175"/>
        <v>106852.5</v>
      </c>
      <c r="CP131" s="110">
        <f t="shared" si="176"/>
        <v>10585.25</v>
      </c>
    </row>
    <row r="132" spans="1:103" outlineLevel="1" x14ac:dyDescent="0.2">
      <c r="B132" s="72" t="s">
        <v>1614</v>
      </c>
      <c r="C132" s="57" t="s">
        <v>1387</v>
      </c>
      <c r="D132" s="57" t="s">
        <v>1440</v>
      </c>
      <c r="E132" s="65" t="s">
        <v>1389</v>
      </c>
      <c r="F132" s="57" t="s">
        <v>1454</v>
      </c>
      <c r="G132" s="62" t="s">
        <v>1556</v>
      </c>
      <c r="H132" s="128" t="b">
        <v>1</v>
      </c>
      <c r="I132" s="122" t="s">
        <v>1865</v>
      </c>
      <c r="J132" s="123">
        <v>21</v>
      </c>
      <c r="K132" s="136">
        <v>0.5</v>
      </c>
      <c r="L132" s="123">
        <v>5</v>
      </c>
      <c r="M132" s="135" t="b">
        <v>1</v>
      </c>
      <c r="N132" s="124">
        <v>21</v>
      </c>
      <c r="O132" s="132">
        <v>0.5</v>
      </c>
      <c r="P132" s="124">
        <v>5</v>
      </c>
      <c r="Q132" s="128" t="b">
        <v>1</v>
      </c>
      <c r="R132" s="127" t="s">
        <v>1559</v>
      </c>
      <c r="S132" s="135" t="b">
        <v>1</v>
      </c>
      <c r="T132" s="126">
        <v>13</v>
      </c>
      <c r="U132" s="124">
        <v>1.4999999999999999E-2</v>
      </c>
      <c r="V132" s="126">
        <v>75</v>
      </c>
      <c r="W132" s="126">
        <v>-75</v>
      </c>
      <c r="X132" s="124">
        <v>50</v>
      </c>
      <c r="Y132" s="124">
        <v>5</v>
      </c>
      <c r="Z132" s="128" t="b">
        <v>1</v>
      </c>
      <c r="AA132" s="127" t="s">
        <v>1867</v>
      </c>
      <c r="AB132" s="133">
        <v>2</v>
      </c>
      <c r="AC132" s="135" t="b">
        <v>1</v>
      </c>
      <c r="AD132" s="147">
        <v>34</v>
      </c>
      <c r="AE132" s="135" t="b">
        <v>1</v>
      </c>
      <c r="AF132" s="124">
        <v>5.0000000000000001E-4</v>
      </c>
      <c r="AG132" s="135" t="b">
        <v>1</v>
      </c>
      <c r="AH132" s="125">
        <v>5</v>
      </c>
      <c r="AI132" s="125">
        <v>13</v>
      </c>
      <c r="AJ132" s="125">
        <v>34</v>
      </c>
      <c r="AK132" s="125">
        <v>89</v>
      </c>
      <c r="AL132" s="129" t="b">
        <v>0</v>
      </c>
      <c r="AM132" s="128" t="b">
        <v>1</v>
      </c>
      <c r="AN132" s="131" t="s">
        <v>1469</v>
      </c>
      <c r="AO132" s="127">
        <v>1E-4</v>
      </c>
      <c r="AP132" s="128" t="b">
        <v>1</v>
      </c>
      <c r="AQ132" s="144">
        <v>1E-4</v>
      </c>
      <c r="AR132" s="149">
        <v>8</v>
      </c>
      <c r="AS132" s="149">
        <v>13</v>
      </c>
      <c r="AT132" s="149">
        <v>8</v>
      </c>
      <c r="AU132" s="128" t="b">
        <v>1</v>
      </c>
      <c r="AV132" s="124">
        <v>3</v>
      </c>
      <c r="AW132" s="146">
        <v>5</v>
      </c>
      <c r="AX132" s="124">
        <v>1</v>
      </c>
      <c r="AY132" s="128" t="b">
        <v>1</v>
      </c>
      <c r="AZ132" s="122" t="s">
        <v>1586</v>
      </c>
      <c r="BA132" s="122">
        <v>4</v>
      </c>
      <c r="BB132" s="126">
        <v>0.05</v>
      </c>
      <c r="BC132" s="126">
        <v>0.5</v>
      </c>
      <c r="BD132" s="129" t="b">
        <v>0</v>
      </c>
      <c r="BE132" s="122" t="s">
        <v>1873</v>
      </c>
      <c r="BF132" s="128" t="b">
        <v>1</v>
      </c>
      <c r="BG132" s="122" t="s">
        <v>1578</v>
      </c>
      <c r="BH132" s="133">
        <v>0.02</v>
      </c>
      <c r="BI132" s="156" t="s">
        <v>403</v>
      </c>
      <c r="BJ132" s="128" t="b">
        <v>1</v>
      </c>
      <c r="BK132" s="161">
        <v>1.5</v>
      </c>
      <c r="BL132" s="129" t="b">
        <v>0</v>
      </c>
      <c r="BM132" s="156" t="s">
        <v>412</v>
      </c>
      <c r="BN132" s="128" t="b">
        <v>1</v>
      </c>
      <c r="BO132" s="156" t="s">
        <v>1382</v>
      </c>
      <c r="BP132" s="157">
        <v>1</v>
      </c>
      <c r="BQ132" s="157">
        <v>0.5</v>
      </c>
      <c r="BR132" s="166" t="str">
        <f t="shared" si="160"/>
        <v>5/ 13/ 34/ 89</v>
      </c>
      <c r="BS132" s="166" t="str">
        <f t="shared" si="170"/>
        <v>8 / 13 / 8</v>
      </c>
      <c r="BT132" s="166" t="str">
        <f t="shared" si="171"/>
        <v>0.05 / 0.5</v>
      </c>
      <c r="BU132" s="66">
        <v>741</v>
      </c>
      <c r="BV132" s="66">
        <v>451</v>
      </c>
      <c r="BW132" s="66">
        <v>368</v>
      </c>
      <c r="BX132" s="99">
        <f t="shared" si="172"/>
        <v>83</v>
      </c>
      <c r="BY132" s="66">
        <v>100</v>
      </c>
      <c r="BZ132" s="92">
        <f t="shared" si="173"/>
        <v>190</v>
      </c>
      <c r="CA132" s="204">
        <f t="shared" si="177"/>
        <v>0.60863697705802966</v>
      </c>
      <c r="CB132" s="205">
        <f t="shared" si="178"/>
        <v>0.1349527665317139</v>
      </c>
      <c r="CC132" s="87">
        <v>4.18</v>
      </c>
      <c r="CD132" s="87">
        <v>140.24</v>
      </c>
      <c r="CE132" s="87">
        <v>0.28999999999999998</v>
      </c>
      <c r="CF132" s="170">
        <f t="shared" si="174"/>
        <v>1.5</v>
      </c>
      <c r="CG132" s="87">
        <v>0.68</v>
      </c>
      <c r="CH132" s="87">
        <v>0.52</v>
      </c>
      <c r="CI132" s="93">
        <v>7703.5</v>
      </c>
      <c r="CJ132" s="93"/>
      <c r="CK132" s="93"/>
      <c r="CL132" s="87">
        <v>-5.55</v>
      </c>
      <c r="CM132" s="66">
        <v>1000</v>
      </c>
      <c r="CN132" s="93">
        <v>103914.39</v>
      </c>
      <c r="CO132" s="108">
        <f t="shared" si="175"/>
        <v>104914.39</v>
      </c>
      <c r="CP132" s="108">
        <f t="shared" si="176"/>
        <v>10391.439</v>
      </c>
    </row>
    <row r="133" spans="1:103" outlineLevel="1" x14ac:dyDescent="0.2">
      <c r="B133" s="72" t="s">
        <v>1615</v>
      </c>
      <c r="C133" s="57" t="s">
        <v>1387</v>
      </c>
      <c r="D133" s="57" t="s">
        <v>1440</v>
      </c>
      <c r="E133" s="65" t="s">
        <v>1389</v>
      </c>
      <c r="F133" s="57" t="s">
        <v>1454</v>
      </c>
      <c r="G133" s="62" t="s">
        <v>1556</v>
      </c>
      <c r="H133" s="128" t="b">
        <v>1</v>
      </c>
      <c r="I133" s="122" t="s">
        <v>1865</v>
      </c>
      <c r="J133" s="123">
        <v>21</v>
      </c>
      <c r="K133" s="136">
        <v>0.5</v>
      </c>
      <c r="L133" s="123">
        <v>5</v>
      </c>
      <c r="M133" s="135" t="b">
        <v>1</v>
      </c>
      <c r="N133" s="124">
        <v>21</v>
      </c>
      <c r="O133" s="132">
        <v>0.5</v>
      </c>
      <c r="P133" s="124">
        <v>5</v>
      </c>
      <c r="Q133" s="128" t="b">
        <v>1</v>
      </c>
      <c r="R133" s="127" t="s">
        <v>1559</v>
      </c>
      <c r="S133" s="135" t="b">
        <v>1</v>
      </c>
      <c r="T133" s="126">
        <v>13</v>
      </c>
      <c r="U133" s="124">
        <v>1.4999999999999999E-2</v>
      </c>
      <c r="V133" s="126">
        <v>75</v>
      </c>
      <c r="W133" s="126">
        <v>-75</v>
      </c>
      <c r="X133" s="124">
        <v>50</v>
      </c>
      <c r="Y133" s="124">
        <v>5</v>
      </c>
      <c r="Z133" s="128" t="b">
        <v>1</v>
      </c>
      <c r="AA133" s="127" t="s">
        <v>1867</v>
      </c>
      <c r="AB133" s="133">
        <v>2</v>
      </c>
      <c r="AC133" s="135" t="b">
        <v>1</v>
      </c>
      <c r="AD133" s="147">
        <v>34</v>
      </c>
      <c r="AE133" s="135" t="b">
        <v>1</v>
      </c>
      <c r="AF133" s="124">
        <v>5.0000000000000001E-4</v>
      </c>
      <c r="AG133" s="135" t="b">
        <v>1</v>
      </c>
      <c r="AH133" s="125">
        <v>5</v>
      </c>
      <c r="AI133" s="125">
        <v>13</v>
      </c>
      <c r="AJ133" s="125">
        <v>34</v>
      </c>
      <c r="AK133" s="125">
        <v>89</v>
      </c>
      <c r="AL133" s="129" t="b">
        <v>0</v>
      </c>
      <c r="AM133" s="128" t="b">
        <v>1</v>
      </c>
      <c r="AN133" s="131" t="s">
        <v>1469</v>
      </c>
      <c r="AO133" s="127">
        <v>1E-4</v>
      </c>
      <c r="AP133" s="128" t="b">
        <v>1</v>
      </c>
      <c r="AQ133" s="144">
        <v>1E-4</v>
      </c>
      <c r="AR133" s="149">
        <v>8</v>
      </c>
      <c r="AS133" s="149">
        <v>13</v>
      </c>
      <c r="AT133" s="149">
        <v>11</v>
      </c>
      <c r="AU133" s="128" t="b">
        <v>1</v>
      </c>
      <c r="AV133" s="124">
        <v>3</v>
      </c>
      <c r="AW133" s="146">
        <v>5</v>
      </c>
      <c r="AX133" s="124">
        <v>1</v>
      </c>
      <c r="AY133" s="128" t="b">
        <v>1</v>
      </c>
      <c r="AZ133" s="122" t="s">
        <v>1586</v>
      </c>
      <c r="BA133" s="122">
        <v>4</v>
      </c>
      <c r="BB133" s="126">
        <v>0.05</v>
      </c>
      <c r="BC133" s="126">
        <v>0.5</v>
      </c>
      <c r="BD133" s="129" t="b">
        <v>0</v>
      </c>
      <c r="BE133" s="122" t="s">
        <v>1873</v>
      </c>
      <c r="BF133" s="128" t="b">
        <v>1</v>
      </c>
      <c r="BG133" s="122" t="s">
        <v>1578</v>
      </c>
      <c r="BH133" s="133">
        <v>0.02</v>
      </c>
      <c r="BI133" s="156" t="s">
        <v>403</v>
      </c>
      <c r="BJ133" s="128" t="b">
        <v>1</v>
      </c>
      <c r="BK133" s="161">
        <v>1.5</v>
      </c>
      <c r="BL133" s="129" t="b">
        <v>0</v>
      </c>
      <c r="BM133" s="156" t="s">
        <v>412</v>
      </c>
      <c r="BN133" s="128" t="b">
        <v>1</v>
      </c>
      <c r="BO133" s="156" t="s">
        <v>1382</v>
      </c>
      <c r="BP133" s="157">
        <v>1</v>
      </c>
      <c r="BQ133" s="157">
        <v>0.5</v>
      </c>
      <c r="BR133" s="166" t="str">
        <f t="shared" si="160"/>
        <v>5/ 13/ 34/ 89</v>
      </c>
      <c r="BS133" s="166" t="str">
        <f t="shared" si="170"/>
        <v>8 / 13 / 11</v>
      </c>
      <c r="BT133" s="166" t="str">
        <f t="shared" si="171"/>
        <v>0.05 / 0.5</v>
      </c>
      <c r="BU133" s="66">
        <v>739</v>
      </c>
      <c r="BV133" s="66">
        <v>447</v>
      </c>
      <c r="BW133" s="66">
        <v>364</v>
      </c>
      <c r="BX133" s="99">
        <f t="shared" si="172"/>
        <v>83</v>
      </c>
      <c r="BY133" s="66">
        <v>100</v>
      </c>
      <c r="BZ133" s="92">
        <f t="shared" si="173"/>
        <v>192</v>
      </c>
      <c r="CA133" s="204">
        <f t="shared" si="177"/>
        <v>0.60487144790257108</v>
      </c>
      <c r="CB133" s="205">
        <f t="shared" si="178"/>
        <v>0.13531799729364005</v>
      </c>
      <c r="CC133" s="87">
        <v>3.89</v>
      </c>
      <c r="CD133" s="87">
        <v>139.04</v>
      </c>
      <c r="CE133" s="87">
        <v>0.28000000000000003</v>
      </c>
      <c r="CF133" s="170">
        <f t="shared" si="174"/>
        <v>1.5</v>
      </c>
      <c r="CG133" s="87">
        <v>0.69</v>
      </c>
      <c r="CH133" s="87">
        <v>0.53</v>
      </c>
      <c r="CI133" s="93">
        <v>7679.3</v>
      </c>
      <c r="CJ133" s="93"/>
      <c r="CK133" s="93"/>
      <c r="CL133" s="87">
        <v>-5.55</v>
      </c>
      <c r="CM133" s="66">
        <v>1000</v>
      </c>
      <c r="CN133" s="93">
        <v>102753.96</v>
      </c>
      <c r="CO133" s="108">
        <f t="shared" si="175"/>
        <v>103753.96</v>
      </c>
      <c r="CP133" s="108">
        <f t="shared" si="176"/>
        <v>10275.396000000001</v>
      </c>
    </row>
    <row r="134" spans="1:103" outlineLevel="1" x14ac:dyDescent="0.2">
      <c r="B134" s="72" t="s">
        <v>1616</v>
      </c>
      <c r="C134" s="57" t="s">
        <v>1387</v>
      </c>
      <c r="D134" s="57" t="s">
        <v>1440</v>
      </c>
      <c r="E134" s="65" t="s">
        <v>1389</v>
      </c>
      <c r="F134" s="57" t="s">
        <v>1454</v>
      </c>
      <c r="G134" s="62" t="s">
        <v>1556</v>
      </c>
      <c r="H134" s="128" t="b">
        <v>1</v>
      </c>
      <c r="I134" s="122" t="s">
        <v>1865</v>
      </c>
      <c r="J134" s="123">
        <v>21</v>
      </c>
      <c r="K134" s="136">
        <v>0.5</v>
      </c>
      <c r="L134" s="123">
        <v>5</v>
      </c>
      <c r="M134" s="135" t="b">
        <v>1</v>
      </c>
      <c r="N134" s="124">
        <v>21</v>
      </c>
      <c r="O134" s="132">
        <v>0.5</v>
      </c>
      <c r="P134" s="124">
        <v>5</v>
      </c>
      <c r="Q134" s="128" t="b">
        <v>1</v>
      </c>
      <c r="R134" s="127" t="s">
        <v>1559</v>
      </c>
      <c r="S134" s="135" t="b">
        <v>1</v>
      </c>
      <c r="T134" s="126">
        <v>13</v>
      </c>
      <c r="U134" s="124">
        <v>1.4999999999999999E-2</v>
      </c>
      <c r="V134" s="126">
        <v>75</v>
      </c>
      <c r="W134" s="126">
        <v>-75</v>
      </c>
      <c r="X134" s="124">
        <v>50</v>
      </c>
      <c r="Y134" s="124">
        <v>5</v>
      </c>
      <c r="Z134" s="128" t="b">
        <v>1</v>
      </c>
      <c r="AA134" s="127" t="s">
        <v>1867</v>
      </c>
      <c r="AB134" s="133">
        <v>2</v>
      </c>
      <c r="AC134" s="135" t="b">
        <v>1</v>
      </c>
      <c r="AD134" s="147">
        <v>34</v>
      </c>
      <c r="AE134" s="135" t="b">
        <v>1</v>
      </c>
      <c r="AF134" s="124">
        <v>5.0000000000000001E-4</v>
      </c>
      <c r="AG134" s="135" t="b">
        <v>1</v>
      </c>
      <c r="AH134" s="125">
        <v>5</v>
      </c>
      <c r="AI134" s="125">
        <v>13</v>
      </c>
      <c r="AJ134" s="125">
        <v>34</v>
      </c>
      <c r="AK134" s="125">
        <v>89</v>
      </c>
      <c r="AL134" s="129" t="b">
        <v>0</v>
      </c>
      <c r="AM134" s="128" t="b">
        <v>1</v>
      </c>
      <c r="AN134" s="131" t="s">
        <v>1469</v>
      </c>
      <c r="AO134" s="127">
        <v>1E-4</v>
      </c>
      <c r="AP134" s="128" t="b">
        <v>1</v>
      </c>
      <c r="AQ134" s="144">
        <v>1E-4</v>
      </c>
      <c r="AR134" s="149">
        <v>8</v>
      </c>
      <c r="AS134" s="149">
        <v>13</v>
      </c>
      <c r="AT134" s="149">
        <v>13</v>
      </c>
      <c r="AU134" s="128" t="b">
        <v>1</v>
      </c>
      <c r="AV134" s="124">
        <v>3</v>
      </c>
      <c r="AW134" s="146">
        <v>5</v>
      </c>
      <c r="AX134" s="124">
        <v>1</v>
      </c>
      <c r="AY134" s="128" t="b">
        <v>1</v>
      </c>
      <c r="AZ134" s="122" t="s">
        <v>1586</v>
      </c>
      <c r="BA134" s="122">
        <v>4</v>
      </c>
      <c r="BB134" s="126">
        <v>0.05</v>
      </c>
      <c r="BC134" s="126">
        <v>0.5</v>
      </c>
      <c r="BD134" s="129" t="b">
        <v>0</v>
      </c>
      <c r="BE134" s="122" t="s">
        <v>1873</v>
      </c>
      <c r="BF134" s="128" t="b">
        <v>1</v>
      </c>
      <c r="BG134" s="122" t="s">
        <v>1578</v>
      </c>
      <c r="BH134" s="133">
        <v>0.02</v>
      </c>
      <c r="BI134" s="156" t="s">
        <v>403</v>
      </c>
      <c r="BJ134" s="128" t="b">
        <v>1</v>
      </c>
      <c r="BK134" s="161">
        <v>1.5</v>
      </c>
      <c r="BL134" s="129" t="b">
        <v>0</v>
      </c>
      <c r="BM134" s="156" t="s">
        <v>412</v>
      </c>
      <c r="BN134" s="128" t="b">
        <v>1</v>
      </c>
      <c r="BO134" s="156" t="s">
        <v>1382</v>
      </c>
      <c r="BP134" s="157">
        <v>1</v>
      </c>
      <c r="BQ134" s="157">
        <v>0.5</v>
      </c>
      <c r="BR134" s="166" t="str">
        <f t="shared" si="160"/>
        <v>5/ 13/ 34/ 89</v>
      </c>
      <c r="BS134" s="166" t="str">
        <f t="shared" si="170"/>
        <v>8 / 13 / 13</v>
      </c>
      <c r="BT134" s="166" t="str">
        <f t="shared" si="171"/>
        <v>0.05 / 0.5</v>
      </c>
      <c r="BU134" s="66">
        <v>736</v>
      </c>
      <c r="BV134" s="66">
        <v>445</v>
      </c>
      <c r="BW134" s="66">
        <v>361</v>
      </c>
      <c r="BX134" s="99">
        <f t="shared" si="172"/>
        <v>84</v>
      </c>
      <c r="BY134" s="66">
        <v>100</v>
      </c>
      <c r="BZ134" s="92">
        <f t="shared" si="173"/>
        <v>191</v>
      </c>
      <c r="CA134" s="204">
        <f t="shared" si="177"/>
        <v>0.60461956521739135</v>
      </c>
      <c r="CB134" s="205">
        <f t="shared" si="178"/>
        <v>0.1358695652173913</v>
      </c>
      <c r="CC134" s="87">
        <v>3.85</v>
      </c>
      <c r="CD134" s="87">
        <v>138.06</v>
      </c>
      <c r="CE134" s="87">
        <v>0.28000000000000003</v>
      </c>
      <c r="CF134" s="170">
        <f t="shared" si="174"/>
        <v>1.5</v>
      </c>
      <c r="CG134" s="87">
        <v>0.69</v>
      </c>
      <c r="CH134" s="87">
        <v>0.52</v>
      </c>
      <c r="CI134" s="93">
        <v>7651.3</v>
      </c>
      <c r="CJ134" s="93"/>
      <c r="CK134" s="93"/>
      <c r="CL134" s="87">
        <v>-5.55</v>
      </c>
      <c r="CM134" s="66">
        <v>1000</v>
      </c>
      <c r="CN134" s="93">
        <v>101614.01</v>
      </c>
      <c r="CO134" s="108">
        <f t="shared" si="175"/>
        <v>102614.01</v>
      </c>
      <c r="CP134" s="108">
        <f t="shared" si="176"/>
        <v>10161.401</v>
      </c>
    </row>
    <row r="135" spans="1:103" outlineLevel="1" x14ac:dyDescent="0.2">
      <c r="B135" s="72" t="s">
        <v>1617</v>
      </c>
      <c r="C135" s="57" t="s">
        <v>1387</v>
      </c>
      <c r="D135" s="57" t="s">
        <v>1440</v>
      </c>
      <c r="E135" s="65" t="s">
        <v>1389</v>
      </c>
      <c r="F135" s="57" t="s">
        <v>1454</v>
      </c>
      <c r="G135" s="62" t="s">
        <v>1556</v>
      </c>
      <c r="H135" s="128" t="b">
        <v>1</v>
      </c>
      <c r="I135" s="122" t="s">
        <v>1865</v>
      </c>
      <c r="J135" s="123">
        <v>21</v>
      </c>
      <c r="K135" s="136">
        <v>0.5</v>
      </c>
      <c r="L135" s="123">
        <v>5</v>
      </c>
      <c r="M135" s="135" t="b">
        <v>1</v>
      </c>
      <c r="N135" s="124">
        <v>21</v>
      </c>
      <c r="O135" s="132">
        <v>0.5</v>
      </c>
      <c r="P135" s="124">
        <v>5</v>
      </c>
      <c r="Q135" s="128" t="b">
        <v>1</v>
      </c>
      <c r="R135" s="127" t="s">
        <v>1559</v>
      </c>
      <c r="S135" s="135" t="b">
        <v>1</v>
      </c>
      <c r="T135" s="126">
        <v>13</v>
      </c>
      <c r="U135" s="124">
        <v>1.4999999999999999E-2</v>
      </c>
      <c r="V135" s="126">
        <v>75</v>
      </c>
      <c r="W135" s="126">
        <v>-75</v>
      </c>
      <c r="X135" s="124">
        <v>50</v>
      </c>
      <c r="Y135" s="124">
        <v>5</v>
      </c>
      <c r="Z135" s="128" t="b">
        <v>1</v>
      </c>
      <c r="AA135" s="127" t="s">
        <v>1867</v>
      </c>
      <c r="AB135" s="133">
        <v>2</v>
      </c>
      <c r="AC135" s="135" t="b">
        <v>1</v>
      </c>
      <c r="AD135" s="147">
        <v>34</v>
      </c>
      <c r="AE135" s="135" t="b">
        <v>1</v>
      </c>
      <c r="AF135" s="124">
        <v>5.0000000000000001E-4</v>
      </c>
      <c r="AG135" s="135" t="b">
        <v>1</v>
      </c>
      <c r="AH135" s="125">
        <v>5</v>
      </c>
      <c r="AI135" s="125">
        <v>13</v>
      </c>
      <c r="AJ135" s="125">
        <v>34</v>
      </c>
      <c r="AK135" s="125">
        <v>89</v>
      </c>
      <c r="AL135" s="129" t="b">
        <v>0</v>
      </c>
      <c r="AM135" s="128" t="b">
        <v>1</v>
      </c>
      <c r="AN135" s="131" t="s">
        <v>1469</v>
      </c>
      <c r="AO135" s="127">
        <v>1E-4</v>
      </c>
      <c r="AP135" s="128" t="b">
        <v>1</v>
      </c>
      <c r="AQ135" s="144">
        <v>1E-4</v>
      </c>
      <c r="AR135" s="150">
        <v>8</v>
      </c>
      <c r="AS135" s="150">
        <v>17</v>
      </c>
      <c r="AT135" s="150">
        <v>9</v>
      </c>
      <c r="AU135" s="128" t="b">
        <v>1</v>
      </c>
      <c r="AV135" s="124">
        <v>3</v>
      </c>
      <c r="AW135" s="146">
        <v>5</v>
      </c>
      <c r="AX135" s="124">
        <v>1</v>
      </c>
      <c r="AY135" s="128" t="b">
        <v>1</v>
      </c>
      <c r="AZ135" s="122" t="s">
        <v>1586</v>
      </c>
      <c r="BA135" s="122">
        <v>4</v>
      </c>
      <c r="BB135" s="126">
        <v>0.05</v>
      </c>
      <c r="BC135" s="126">
        <v>0.5</v>
      </c>
      <c r="BD135" s="129" t="b">
        <v>0</v>
      </c>
      <c r="BE135" s="122" t="s">
        <v>1873</v>
      </c>
      <c r="BF135" s="128" t="b">
        <v>1</v>
      </c>
      <c r="BG135" s="122" t="s">
        <v>1578</v>
      </c>
      <c r="BH135" s="133">
        <v>0.02</v>
      </c>
      <c r="BI135" s="156" t="s">
        <v>403</v>
      </c>
      <c r="BJ135" s="128" t="b">
        <v>1</v>
      </c>
      <c r="BK135" s="161">
        <v>1.5</v>
      </c>
      <c r="BL135" s="129" t="b">
        <v>0</v>
      </c>
      <c r="BM135" s="156" t="s">
        <v>412</v>
      </c>
      <c r="BN135" s="128" t="b">
        <v>1</v>
      </c>
      <c r="BO135" s="156" t="s">
        <v>1382</v>
      </c>
      <c r="BP135" s="157">
        <v>1</v>
      </c>
      <c r="BQ135" s="157">
        <v>0.5</v>
      </c>
      <c r="BR135" s="166" t="str">
        <f t="shared" si="160"/>
        <v>5/ 13/ 34/ 89</v>
      </c>
      <c r="BS135" s="166" t="str">
        <f t="shared" si="170"/>
        <v>8 / 17 / 9</v>
      </c>
      <c r="BT135" s="166" t="str">
        <f t="shared" si="171"/>
        <v>0.05 / 0.5</v>
      </c>
      <c r="BU135" s="66">
        <v>727</v>
      </c>
      <c r="BV135" s="66">
        <v>431</v>
      </c>
      <c r="BW135" s="66">
        <v>351</v>
      </c>
      <c r="BX135" s="99">
        <f t="shared" si="172"/>
        <v>80</v>
      </c>
      <c r="BY135" s="66">
        <v>104</v>
      </c>
      <c r="BZ135" s="92">
        <f t="shared" si="173"/>
        <v>192</v>
      </c>
      <c r="CA135" s="204">
        <f t="shared" si="177"/>
        <v>0.59284731774415411</v>
      </c>
      <c r="CB135" s="205">
        <f t="shared" si="178"/>
        <v>0.14305364511691884</v>
      </c>
      <c r="CC135" s="87">
        <v>3.57</v>
      </c>
      <c r="CD135" s="87">
        <v>107.8</v>
      </c>
      <c r="CE135" s="87">
        <v>0.27</v>
      </c>
      <c r="CF135" s="170">
        <f t="shared" si="174"/>
        <v>1.5</v>
      </c>
      <c r="CG135" s="87">
        <v>0.69</v>
      </c>
      <c r="CH135" s="87">
        <v>0.54</v>
      </c>
      <c r="CI135" s="93">
        <v>7503.3</v>
      </c>
      <c r="CJ135" s="93"/>
      <c r="CK135" s="93"/>
      <c r="CL135" s="87">
        <v>-5.56</v>
      </c>
      <c r="CM135" s="66">
        <v>1000</v>
      </c>
      <c r="CN135" s="93">
        <v>78367.23</v>
      </c>
      <c r="CO135" s="108">
        <f t="shared" si="175"/>
        <v>79367.23</v>
      </c>
      <c r="CP135" s="108">
        <f t="shared" si="176"/>
        <v>7836.723</v>
      </c>
    </row>
    <row r="136" spans="1:103" outlineLevel="1" x14ac:dyDescent="0.2">
      <c r="B136" s="72" t="s">
        <v>1618</v>
      </c>
      <c r="C136" s="57" t="s">
        <v>1387</v>
      </c>
      <c r="D136" s="57" t="s">
        <v>1440</v>
      </c>
      <c r="E136" s="65" t="s">
        <v>1389</v>
      </c>
      <c r="F136" s="57" t="s">
        <v>1454</v>
      </c>
      <c r="G136" s="62" t="s">
        <v>1556</v>
      </c>
      <c r="H136" s="128" t="b">
        <v>1</v>
      </c>
      <c r="I136" s="122" t="s">
        <v>1865</v>
      </c>
      <c r="J136" s="123">
        <v>21</v>
      </c>
      <c r="K136" s="136">
        <v>0.5</v>
      </c>
      <c r="L136" s="123">
        <v>5</v>
      </c>
      <c r="M136" s="135" t="b">
        <v>1</v>
      </c>
      <c r="N136" s="124">
        <v>21</v>
      </c>
      <c r="O136" s="132">
        <v>0.5</v>
      </c>
      <c r="P136" s="124">
        <v>5</v>
      </c>
      <c r="Q136" s="128" t="b">
        <v>1</v>
      </c>
      <c r="R136" s="127" t="s">
        <v>1559</v>
      </c>
      <c r="S136" s="135" t="b">
        <v>1</v>
      </c>
      <c r="T136" s="126">
        <v>13</v>
      </c>
      <c r="U136" s="124">
        <v>1.4999999999999999E-2</v>
      </c>
      <c r="V136" s="126">
        <v>75</v>
      </c>
      <c r="W136" s="126">
        <v>-75</v>
      </c>
      <c r="X136" s="124">
        <v>50</v>
      </c>
      <c r="Y136" s="124">
        <v>5</v>
      </c>
      <c r="Z136" s="128" t="b">
        <v>1</v>
      </c>
      <c r="AA136" s="127" t="s">
        <v>1867</v>
      </c>
      <c r="AB136" s="133">
        <v>2</v>
      </c>
      <c r="AC136" s="135" t="b">
        <v>1</v>
      </c>
      <c r="AD136" s="147">
        <v>34</v>
      </c>
      <c r="AE136" s="135" t="b">
        <v>1</v>
      </c>
      <c r="AF136" s="124">
        <v>5.0000000000000001E-4</v>
      </c>
      <c r="AG136" s="135" t="b">
        <v>1</v>
      </c>
      <c r="AH136" s="125">
        <v>5</v>
      </c>
      <c r="AI136" s="125">
        <v>13</v>
      </c>
      <c r="AJ136" s="125">
        <v>34</v>
      </c>
      <c r="AK136" s="125">
        <v>89</v>
      </c>
      <c r="AL136" s="129" t="b">
        <v>0</v>
      </c>
      <c r="AM136" s="128" t="b">
        <v>1</v>
      </c>
      <c r="AN136" s="131" t="s">
        <v>1469</v>
      </c>
      <c r="AO136" s="127">
        <v>1E-4</v>
      </c>
      <c r="AP136" s="128" t="b">
        <v>1</v>
      </c>
      <c r="AQ136" s="144">
        <v>1E-4</v>
      </c>
      <c r="AR136" s="152">
        <v>12</v>
      </c>
      <c r="AS136" s="152">
        <v>26</v>
      </c>
      <c r="AT136" s="152">
        <v>9</v>
      </c>
      <c r="AU136" s="128" t="b">
        <v>1</v>
      </c>
      <c r="AV136" s="124">
        <v>3</v>
      </c>
      <c r="AW136" s="146">
        <v>5</v>
      </c>
      <c r="AX136" s="124">
        <v>1</v>
      </c>
      <c r="AY136" s="128" t="b">
        <v>1</v>
      </c>
      <c r="AZ136" s="122" t="s">
        <v>1586</v>
      </c>
      <c r="BA136" s="122">
        <v>4</v>
      </c>
      <c r="BB136" s="126">
        <v>0.05</v>
      </c>
      <c r="BC136" s="126">
        <v>0.5</v>
      </c>
      <c r="BD136" s="129" t="b">
        <v>0</v>
      </c>
      <c r="BE136" s="122" t="s">
        <v>1873</v>
      </c>
      <c r="BF136" s="128" t="b">
        <v>1</v>
      </c>
      <c r="BG136" s="122" t="s">
        <v>1578</v>
      </c>
      <c r="BH136" s="133">
        <v>0.02</v>
      </c>
      <c r="BI136" s="156" t="s">
        <v>403</v>
      </c>
      <c r="BJ136" s="128" t="b">
        <v>1</v>
      </c>
      <c r="BK136" s="161">
        <v>1.5</v>
      </c>
      <c r="BL136" s="129" t="b">
        <v>0</v>
      </c>
      <c r="BM136" s="156" t="s">
        <v>412</v>
      </c>
      <c r="BN136" s="128" t="b">
        <v>1</v>
      </c>
      <c r="BO136" s="156" t="s">
        <v>1382</v>
      </c>
      <c r="BP136" s="157">
        <v>1</v>
      </c>
      <c r="BQ136" s="157">
        <v>0.5</v>
      </c>
      <c r="BR136" s="166" t="str">
        <f t="shared" si="160"/>
        <v>5/ 13/ 34/ 89</v>
      </c>
      <c r="BS136" s="166" t="str">
        <f t="shared" si="170"/>
        <v>12 / 26 / 9</v>
      </c>
      <c r="BT136" s="166" t="str">
        <f t="shared" si="171"/>
        <v>0.05 / 0.5</v>
      </c>
      <c r="BU136" s="66">
        <v>690</v>
      </c>
      <c r="BV136" s="66">
        <v>412</v>
      </c>
      <c r="BW136" s="66">
        <v>330</v>
      </c>
      <c r="BX136" s="99">
        <f t="shared" si="172"/>
        <v>82</v>
      </c>
      <c r="BY136" s="66">
        <v>100</v>
      </c>
      <c r="BZ136" s="92">
        <f t="shared" si="173"/>
        <v>178</v>
      </c>
      <c r="CA136" s="204">
        <f t="shared" si="177"/>
        <v>0.59710144927536235</v>
      </c>
      <c r="CB136" s="205">
        <f t="shared" si="178"/>
        <v>0.14492753623188406</v>
      </c>
      <c r="CC136" s="87">
        <v>3.99</v>
      </c>
      <c r="CD136" s="87">
        <v>106.37</v>
      </c>
      <c r="CE136" s="87">
        <v>0.28999999999999998</v>
      </c>
      <c r="CF136" s="170">
        <f t="shared" si="174"/>
        <v>1.5</v>
      </c>
      <c r="CG136" s="87">
        <v>0.71</v>
      </c>
      <c r="CH136" s="87">
        <v>0.55000000000000004</v>
      </c>
      <c r="CI136" s="93">
        <v>7314.1</v>
      </c>
      <c r="CJ136" s="93"/>
      <c r="CK136" s="93"/>
      <c r="CL136" s="87">
        <v>-6.53</v>
      </c>
      <c r="CM136" s="66">
        <v>1000</v>
      </c>
      <c r="CN136" s="93">
        <v>73398.06</v>
      </c>
      <c r="CO136" s="108">
        <f t="shared" si="175"/>
        <v>74398.06</v>
      </c>
      <c r="CP136" s="108">
        <f t="shared" si="176"/>
        <v>7339.8059999999996</v>
      </c>
    </row>
    <row r="137" spans="1:103" outlineLevel="1" x14ac:dyDescent="0.2">
      <c r="B137" s="72" t="s">
        <v>1619</v>
      </c>
      <c r="C137" s="57" t="s">
        <v>1387</v>
      </c>
      <c r="D137" s="57" t="s">
        <v>1440</v>
      </c>
      <c r="E137" s="65" t="s">
        <v>1389</v>
      </c>
      <c r="F137" s="57" t="s">
        <v>1454</v>
      </c>
      <c r="G137" s="62" t="s">
        <v>1556</v>
      </c>
      <c r="H137" s="128" t="b">
        <v>1</v>
      </c>
      <c r="I137" s="122" t="s">
        <v>1865</v>
      </c>
      <c r="J137" s="123">
        <v>21</v>
      </c>
      <c r="K137" s="136">
        <v>0.5</v>
      </c>
      <c r="L137" s="123">
        <v>5</v>
      </c>
      <c r="M137" s="135" t="b">
        <v>1</v>
      </c>
      <c r="N137" s="124">
        <v>21</v>
      </c>
      <c r="O137" s="132">
        <v>0.5</v>
      </c>
      <c r="P137" s="124">
        <v>5</v>
      </c>
      <c r="Q137" s="128" t="b">
        <v>1</v>
      </c>
      <c r="R137" s="127" t="s">
        <v>1559</v>
      </c>
      <c r="S137" s="135" t="b">
        <v>1</v>
      </c>
      <c r="T137" s="126">
        <v>13</v>
      </c>
      <c r="V137" s="126">
        <v>75</v>
      </c>
      <c r="W137" s="126">
        <v>-75</v>
      </c>
      <c r="Z137" s="128" t="b">
        <v>1</v>
      </c>
      <c r="AA137" s="127" t="s">
        <v>1867</v>
      </c>
      <c r="AB137" s="133">
        <v>2</v>
      </c>
      <c r="AC137" s="135" t="b">
        <v>1</v>
      </c>
      <c r="AD137" s="147">
        <v>34</v>
      </c>
      <c r="AE137" s="135" t="b">
        <v>1</v>
      </c>
      <c r="AF137" s="124">
        <v>5.0000000000000001E-4</v>
      </c>
      <c r="AG137" s="135" t="b">
        <v>1</v>
      </c>
      <c r="AH137" s="125">
        <v>5</v>
      </c>
      <c r="AI137" s="125">
        <v>13</v>
      </c>
      <c r="AJ137" s="125">
        <v>34</v>
      </c>
      <c r="AK137" s="125">
        <v>89</v>
      </c>
      <c r="AL137" s="129" t="b">
        <v>0</v>
      </c>
      <c r="AM137" s="128" t="b">
        <v>1</v>
      </c>
      <c r="AN137" s="131" t="s">
        <v>1469</v>
      </c>
      <c r="AO137" s="127">
        <v>1E-4</v>
      </c>
      <c r="AP137" s="128" t="b">
        <v>1</v>
      </c>
      <c r="AQ137" s="144">
        <v>1E-4</v>
      </c>
      <c r="AR137" s="137">
        <v>21</v>
      </c>
      <c r="AS137" s="137">
        <v>34</v>
      </c>
      <c r="AT137" s="137">
        <v>9</v>
      </c>
      <c r="AU137" s="128" t="b">
        <v>1</v>
      </c>
      <c r="AV137" s="124">
        <v>3</v>
      </c>
      <c r="AW137" s="146">
        <v>5</v>
      </c>
      <c r="AX137" s="124">
        <v>1</v>
      </c>
      <c r="AY137" s="128" t="b">
        <v>1</v>
      </c>
      <c r="AZ137" s="122" t="s">
        <v>1586</v>
      </c>
      <c r="BA137" s="122">
        <v>4</v>
      </c>
      <c r="BB137" s="126">
        <v>0.05</v>
      </c>
      <c r="BC137" s="126">
        <v>0.5</v>
      </c>
      <c r="BD137" s="129" t="b">
        <v>0</v>
      </c>
      <c r="BE137" s="122" t="s">
        <v>1873</v>
      </c>
      <c r="BF137" s="128" t="b">
        <v>1</v>
      </c>
      <c r="BG137" s="122" t="s">
        <v>1578</v>
      </c>
      <c r="BH137" s="133">
        <v>0.02</v>
      </c>
      <c r="BI137" s="156" t="s">
        <v>403</v>
      </c>
      <c r="BJ137" s="128" t="b">
        <v>1</v>
      </c>
      <c r="BK137" s="161">
        <v>1.5</v>
      </c>
      <c r="BL137" s="129" t="b">
        <v>0</v>
      </c>
      <c r="BM137" s="156" t="s">
        <v>412</v>
      </c>
      <c r="BN137" s="128" t="b">
        <v>1</v>
      </c>
      <c r="BO137" s="156" t="s">
        <v>1382</v>
      </c>
      <c r="BP137" s="157">
        <v>1</v>
      </c>
      <c r="BQ137" s="157">
        <v>0.5</v>
      </c>
      <c r="BR137" s="166" t="str">
        <f t="shared" si="160"/>
        <v>5/ 13/ 34/ 89</v>
      </c>
      <c r="BS137" s="166" t="str">
        <f t="shared" si="170"/>
        <v>21 / 34 / 9</v>
      </c>
      <c r="BT137" s="166" t="str">
        <f t="shared" si="171"/>
        <v>0.05 / 0.5</v>
      </c>
      <c r="BU137" s="66">
        <v>629</v>
      </c>
      <c r="BV137" s="66">
        <v>377</v>
      </c>
      <c r="BW137" s="66">
        <v>303</v>
      </c>
      <c r="BX137" s="99">
        <f t="shared" si="172"/>
        <v>74</v>
      </c>
      <c r="BY137" s="66">
        <v>93</v>
      </c>
      <c r="BZ137" s="92">
        <f t="shared" si="173"/>
        <v>159</v>
      </c>
      <c r="CA137" s="204">
        <f>IF(BU137=0,0,BV137/BU137)</f>
        <v>0.59936406995230529</v>
      </c>
      <c r="CB137" s="205">
        <f>IF(BU137=0,0,BY137/BU137)</f>
        <v>0.14785373608903021</v>
      </c>
      <c r="CC137" s="87">
        <v>4.1399999999999997</v>
      </c>
      <c r="CD137" s="87">
        <v>77.97</v>
      </c>
      <c r="CE137" s="87">
        <v>0.31</v>
      </c>
      <c r="CF137" s="170">
        <f t="shared" si="174"/>
        <v>1.5</v>
      </c>
      <c r="CG137" s="87">
        <v>0.7</v>
      </c>
      <c r="CH137" s="87">
        <v>0.53</v>
      </c>
      <c r="CI137" s="93">
        <v>6645.6</v>
      </c>
      <c r="CJ137" s="93"/>
      <c r="CK137" s="93"/>
      <c r="CL137" s="87">
        <v>-4.1500000000000004</v>
      </c>
      <c r="CM137" s="66">
        <v>1000</v>
      </c>
      <c r="CN137" s="93">
        <v>49043.75</v>
      </c>
      <c r="CO137" s="108">
        <f t="shared" si="175"/>
        <v>50043.75</v>
      </c>
      <c r="CP137" s="108">
        <f t="shared" si="176"/>
        <v>4904.375</v>
      </c>
    </row>
    <row r="138" spans="1:103" s="81" customFormat="1" x14ac:dyDescent="0.2">
      <c r="G138" s="175"/>
      <c r="H138" s="176"/>
      <c r="I138" s="176"/>
      <c r="J138" s="177"/>
      <c r="K138" s="177"/>
      <c r="L138" s="177"/>
      <c r="M138" s="178"/>
      <c r="N138" s="178"/>
      <c r="O138" s="178"/>
      <c r="P138" s="178"/>
      <c r="Q138" s="176"/>
      <c r="R138" s="176"/>
      <c r="S138" s="178"/>
      <c r="T138" s="178"/>
      <c r="U138" s="178"/>
      <c r="V138" s="178"/>
      <c r="W138" s="178"/>
      <c r="X138" s="178"/>
      <c r="Y138" s="178"/>
      <c r="Z138" s="176"/>
      <c r="AA138" s="176"/>
      <c r="AB138" s="176"/>
      <c r="AC138" s="179"/>
      <c r="AD138" s="179"/>
      <c r="AE138" s="178"/>
      <c r="AF138" s="178"/>
      <c r="AG138" s="178"/>
      <c r="AH138" s="178"/>
      <c r="AI138" s="178"/>
      <c r="AJ138" s="178"/>
      <c r="AK138" s="178"/>
      <c r="AL138" s="176"/>
      <c r="AM138" s="176"/>
      <c r="AN138" s="176"/>
      <c r="AO138" s="142"/>
      <c r="AP138" s="176"/>
      <c r="AQ138" s="180"/>
      <c r="AR138" s="176"/>
      <c r="AS138" s="181"/>
      <c r="AT138" s="182"/>
      <c r="AU138" s="176"/>
      <c r="AV138" s="178"/>
      <c r="AW138" s="178"/>
      <c r="AX138" s="178"/>
      <c r="AY138" s="176"/>
      <c r="AZ138" s="176"/>
      <c r="BA138" s="176"/>
      <c r="BB138" s="182"/>
      <c r="BC138" s="183"/>
      <c r="BD138" s="176"/>
      <c r="BE138" s="176"/>
      <c r="BF138" s="176"/>
      <c r="BG138" s="176"/>
      <c r="BH138" s="176"/>
      <c r="BI138" s="183"/>
      <c r="BJ138" s="176"/>
      <c r="BK138" s="184"/>
      <c r="BL138" s="176"/>
      <c r="BM138" s="183"/>
      <c r="BN138" s="176"/>
      <c r="BO138" s="183"/>
      <c r="BP138" s="185"/>
      <c r="BQ138" s="185"/>
      <c r="BR138" s="185"/>
      <c r="BS138" s="186"/>
      <c r="BT138" s="186"/>
      <c r="BU138" s="187"/>
      <c r="CB138" s="202"/>
      <c r="CF138" s="188"/>
    </row>
    <row r="139" spans="1:103" x14ac:dyDescent="0.2">
      <c r="A139" s="120">
        <v>250706</v>
      </c>
      <c r="B139" s="72" t="s">
        <v>1905</v>
      </c>
      <c r="C139" s="57" t="s">
        <v>1387</v>
      </c>
      <c r="D139" s="57" t="s">
        <v>1886</v>
      </c>
      <c r="E139" s="65" t="s">
        <v>1441</v>
      </c>
      <c r="F139" s="57" t="s">
        <v>1454</v>
      </c>
      <c r="G139" s="62" t="s">
        <v>1556</v>
      </c>
      <c r="H139" s="129" t="b">
        <v>0</v>
      </c>
      <c r="J139" s="123" t="s">
        <v>1866</v>
      </c>
      <c r="K139" s="123" t="s">
        <v>1866</v>
      </c>
      <c r="L139" s="123" t="s">
        <v>1866</v>
      </c>
      <c r="M139" s="137" t="b">
        <v>0</v>
      </c>
      <c r="Q139" s="128" t="b">
        <v>1</v>
      </c>
      <c r="R139" s="127" t="s">
        <v>1559</v>
      </c>
      <c r="S139" s="135" t="b">
        <v>1</v>
      </c>
      <c r="T139" s="126">
        <v>13</v>
      </c>
      <c r="U139" s="124">
        <v>1.4999999999999999E-2</v>
      </c>
      <c r="V139" s="126">
        <v>75</v>
      </c>
      <c r="W139" s="126">
        <v>-75</v>
      </c>
      <c r="X139" s="124">
        <v>50</v>
      </c>
      <c r="Y139" s="124">
        <v>5</v>
      </c>
      <c r="Z139" s="128" t="b">
        <v>1</v>
      </c>
      <c r="AA139" s="127" t="s">
        <v>1867</v>
      </c>
      <c r="AB139" s="133">
        <v>2</v>
      </c>
      <c r="AC139" s="137" t="b">
        <v>0</v>
      </c>
      <c r="AE139" s="137" t="b">
        <v>0</v>
      </c>
      <c r="AG139" s="135" t="b">
        <v>1</v>
      </c>
      <c r="AH139" s="125">
        <v>5</v>
      </c>
      <c r="AI139" s="125">
        <v>13</v>
      </c>
      <c r="AJ139" s="125">
        <v>34</v>
      </c>
      <c r="AK139" s="125">
        <v>89</v>
      </c>
      <c r="AL139" s="129" t="b">
        <v>0</v>
      </c>
      <c r="AM139" s="128" t="b">
        <v>1</v>
      </c>
      <c r="AN139" s="131" t="s">
        <v>1469</v>
      </c>
      <c r="AO139" s="141">
        <v>1.0000000000000001E-5</v>
      </c>
      <c r="AP139" s="128" t="b">
        <v>1</v>
      </c>
      <c r="AQ139" s="141">
        <v>1.0000000000000001E-5</v>
      </c>
      <c r="AR139" s="126">
        <v>5</v>
      </c>
      <c r="AS139" s="126">
        <v>8</v>
      </c>
      <c r="AT139" s="126">
        <v>5</v>
      </c>
      <c r="AU139" s="128" t="b">
        <v>1</v>
      </c>
      <c r="AV139" s="124">
        <v>3</v>
      </c>
      <c r="AW139" s="146">
        <v>5</v>
      </c>
      <c r="AX139" s="124">
        <v>1</v>
      </c>
      <c r="AY139" s="128" t="b">
        <v>1</v>
      </c>
      <c r="AZ139" s="122" t="s">
        <v>1586</v>
      </c>
      <c r="BA139" s="122">
        <v>4</v>
      </c>
      <c r="BB139" s="126">
        <v>0.05</v>
      </c>
      <c r="BC139" s="126">
        <v>0.5</v>
      </c>
      <c r="BD139" s="129" t="b">
        <v>0</v>
      </c>
      <c r="BE139" s="122" t="s">
        <v>1873</v>
      </c>
      <c r="BF139" s="128" t="b">
        <v>1</v>
      </c>
      <c r="BG139" s="122" t="s">
        <v>1578</v>
      </c>
      <c r="BH139" s="133">
        <v>0.02</v>
      </c>
      <c r="BI139" s="156" t="s">
        <v>403</v>
      </c>
      <c r="BJ139" s="128" t="b">
        <v>1</v>
      </c>
      <c r="BK139" s="161">
        <v>1.5</v>
      </c>
      <c r="BL139" s="129" t="b">
        <v>0</v>
      </c>
      <c r="BM139" s="156" t="s">
        <v>412</v>
      </c>
      <c r="BN139" s="128" t="b">
        <v>1</v>
      </c>
      <c r="BO139" s="156" t="s">
        <v>1382</v>
      </c>
      <c r="BP139" s="157">
        <v>1</v>
      </c>
      <c r="BQ139" s="157">
        <v>0.5</v>
      </c>
      <c r="BR139" s="166" t="str">
        <f t="shared" si="160"/>
        <v>5/ 13/ 34/ 89</v>
      </c>
      <c r="BS139" s="166" t="str">
        <f>AR139&amp;" / "&amp;AS139&amp;" / "&amp;AT139</f>
        <v>5 / 8 / 5</v>
      </c>
      <c r="BT139" s="166" t="str">
        <f>BB139&amp;" / "&amp;BC139</f>
        <v>0.05 / 0.5</v>
      </c>
      <c r="BU139" s="66">
        <v>404</v>
      </c>
      <c r="BV139" s="66">
        <v>226</v>
      </c>
      <c r="BW139" s="66">
        <v>196</v>
      </c>
      <c r="BX139" s="99">
        <f>BV139-BW139</f>
        <v>30</v>
      </c>
      <c r="BY139" s="66">
        <v>44</v>
      </c>
      <c r="BZ139" s="92">
        <f>BU139-SUM(BW139:BY139)</f>
        <v>134</v>
      </c>
      <c r="CA139" s="204">
        <f>IF(BU139=0,0,BV139/BU139)</f>
        <v>0.55940594059405946</v>
      </c>
      <c r="CB139" s="205">
        <f>IF(BU139=0,0,BY139/BU139)</f>
        <v>0.10891089108910891</v>
      </c>
      <c r="CC139" s="87">
        <v>3.98</v>
      </c>
      <c r="CD139" s="87">
        <v>18.559999999999999</v>
      </c>
      <c r="CE139" s="87">
        <v>0.38</v>
      </c>
      <c r="CF139" s="170">
        <f>BK139</f>
        <v>1.5</v>
      </c>
      <c r="CG139" s="87">
        <v>0.64</v>
      </c>
      <c r="CH139" s="87">
        <v>0.51</v>
      </c>
      <c r="CI139" s="93">
        <v>1806.3</v>
      </c>
      <c r="CJ139" s="87">
        <v>7.99</v>
      </c>
      <c r="CK139" s="87">
        <v>6.9</v>
      </c>
      <c r="CL139" s="87">
        <v>-3.96</v>
      </c>
      <c r="CM139" s="165">
        <v>1000</v>
      </c>
      <c r="CN139" s="102">
        <v>7498.22</v>
      </c>
      <c r="CO139" s="110">
        <f>CM139+CN139</f>
        <v>8498.2200000000012</v>
      </c>
      <c r="CP139" s="110">
        <f>CN139/10</f>
        <v>749.822</v>
      </c>
      <c r="CS139" s="80">
        <f>CI139</f>
        <v>1806.3</v>
      </c>
      <c r="CT139" s="80">
        <f>CN139</f>
        <v>7498.22</v>
      </c>
      <c r="CU139" s="80">
        <f>CP139</f>
        <v>749.822</v>
      </c>
      <c r="CV139" s="82">
        <f>CV$4</f>
        <v>12</v>
      </c>
      <c r="CW139" s="80">
        <f>CI139*CV139</f>
        <v>21675.599999999999</v>
      </c>
      <c r="CX139" s="80">
        <f>CN139*CV139</f>
        <v>89978.64</v>
      </c>
      <c r="CY139" s="80">
        <f>CX139/10</f>
        <v>8997.8639999999996</v>
      </c>
    </row>
    <row r="140" spans="1:103" outlineLevel="1" x14ac:dyDescent="0.2">
      <c r="A140" s="120"/>
      <c r="B140" s="72"/>
      <c r="C140" s="57" t="s">
        <v>1627</v>
      </c>
      <c r="D140" s="57" t="s">
        <v>1886</v>
      </c>
      <c r="E140" s="65" t="s">
        <v>1441</v>
      </c>
      <c r="F140" s="57" t="s">
        <v>1454</v>
      </c>
      <c r="G140" s="62" t="s">
        <v>1556</v>
      </c>
      <c r="H140" s="129" t="b">
        <v>0</v>
      </c>
      <c r="J140" s="123" t="s">
        <v>1866</v>
      </c>
      <c r="K140" s="123" t="s">
        <v>1866</v>
      </c>
      <c r="L140" s="123" t="s">
        <v>1866</v>
      </c>
      <c r="M140" s="137" t="b">
        <v>0</v>
      </c>
      <c r="Q140" s="128" t="b">
        <v>1</v>
      </c>
      <c r="R140" s="127" t="s">
        <v>1559</v>
      </c>
      <c r="S140" s="135" t="b">
        <v>1</v>
      </c>
      <c r="T140" s="126">
        <v>13</v>
      </c>
      <c r="U140" s="124">
        <v>1.4999999999999999E-2</v>
      </c>
      <c r="V140" s="126">
        <v>75</v>
      </c>
      <c r="W140" s="126">
        <v>-75</v>
      </c>
      <c r="X140" s="124">
        <v>50</v>
      </c>
      <c r="Y140" s="124">
        <v>5</v>
      </c>
      <c r="Z140" s="128" t="b">
        <v>1</v>
      </c>
      <c r="AA140" s="127" t="s">
        <v>1867</v>
      </c>
      <c r="AB140" s="133">
        <v>2</v>
      </c>
      <c r="AC140" s="137" t="b">
        <v>0</v>
      </c>
      <c r="AE140" s="137" t="b">
        <v>0</v>
      </c>
      <c r="AG140" s="135" t="b">
        <v>1</v>
      </c>
      <c r="AH140" s="125">
        <v>5</v>
      </c>
      <c r="AI140" s="125">
        <v>13</v>
      </c>
      <c r="AJ140" s="125">
        <v>34</v>
      </c>
      <c r="AK140" s="125">
        <v>89</v>
      </c>
      <c r="AL140" s="129" t="b">
        <v>0</v>
      </c>
      <c r="AM140" s="128" t="b">
        <v>1</v>
      </c>
      <c r="AN140" s="131" t="s">
        <v>1469</v>
      </c>
      <c r="AO140" s="141">
        <v>1.0000000000000001E-5</v>
      </c>
      <c r="AP140" s="128" t="b">
        <v>1</v>
      </c>
      <c r="AQ140" s="141">
        <v>1.0000000000000001E-5</v>
      </c>
      <c r="AR140" s="126">
        <v>5</v>
      </c>
      <c r="AS140" s="126">
        <v>8</v>
      </c>
      <c r="AT140" s="126">
        <v>5</v>
      </c>
      <c r="AU140" s="128" t="b">
        <v>1</v>
      </c>
      <c r="AV140" s="124">
        <v>3</v>
      </c>
      <c r="AW140" s="146">
        <v>5</v>
      </c>
      <c r="AX140" s="124">
        <v>1</v>
      </c>
      <c r="AY140" s="128" t="b">
        <v>1</v>
      </c>
      <c r="AZ140" s="122" t="s">
        <v>1586</v>
      </c>
      <c r="BA140" s="122">
        <v>4</v>
      </c>
      <c r="BB140" s="126">
        <v>0.05</v>
      </c>
      <c r="BC140" s="126">
        <v>0.5</v>
      </c>
      <c r="BD140" s="129" t="b">
        <v>0</v>
      </c>
      <c r="BE140" s="122" t="s">
        <v>1873</v>
      </c>
      <c r="BF140" s="128" t="b">
        <v>1</v>
      </c>
      <c r="BG140" s="122" t="s">
        <v>1578</v>
      </c>
      <c r="BH140" s="133">
        <v>0.02</v>
      </c>
      <c r="BI140" s="156" t="s">
        <v>403</v>
      </c>
      <c r="BJ140" s="128" t="b">
        <v>1</v>
      </c>
      <c r="BK140" s="161">
        <v>1.5</v>
      </c>
      <c r="BL140" s="129" t="b">
        <v>0</v>
      </c>
      <c r="BM140" s="156" t="s">
        <v>412</v>
      </c>
      <c r="BN140" s="128" t="b">
        <v>1</v>
      </c>
      <c r="BO140" s="156" t="s">
        <v>1382</v>
      </c>
      <c r="BP140" s="157">
        <v>1</v>
      </c>
      <c r="BQ140" s="157">
        <v>0.5</v>
      </c>
      <c r="BR140" s="166" t="str">
        <f t="shared" si="160"/>
        <v>5/ 13/ 34/ 89</v>
      </c>
      <c r="BS140" s="166" t="str">
        <f>AR140&amp;" / "&amp;AS140&amp;" / "&amp;AT140</f>
        <v>5 / 8 / 5</v>
      </c>
      <c r="BT140" s="166" t="str">
        <f>BB140&amp;" / "&amp;BC140</f>
        <v>0.05 / 0.5</v>
      </c>
      <c r="BU140" s="66">
        <v>406</v>
      </c>
      <c r="BV140" s="66">
        <v>245</v>
      </c>
      <c r="BW140" s="66">
        <v>197</v>
      </c>
      <c r="BX140" s="99">
        <f>BV140-BW140</f>
        <v>48</v>
      </c>
      <c r="BY140" s="66">
        <v>41</v>
      </c>
      <c r="BZ140" s="92">
        <f>BU140-SUM(BW140:BY140)</f>
        <v>120</v>
      </c>
      <c r="CA140" s="204">
        <f t="shared" ref="CA140:CA143" si="179">IF(BU140=0,0,BV140/BU140)</f>
        <v>0.60344827586206895</v>
      </c>
      <c r="CB140" s="205">
        <f t="shared" ref="CB140:CB143" si="180">IF(BU140=0,0,BY140/BU140)</f>
        <v>0.10098522167487685</v>
      </c>
      <c r="CC140" s="87">
        <v>5.05</v>
      </c>
      <c r="CD140" s="87">
        <v>27.13</v>
      </c>
      <c r="CE140" s="87">
        <v>0.44</v>
      </c>
      <c r="CF140" s="170">
        <f>BK140</f>
        <v>1.5</v>
      </c>
      <c r="CG140" s="87">
        <v>0.67</v>
      </c>
      <c r="CH140" s="87">
        <v>0.52</v>
      </c>
      <c r="CI140" s="93">
        <v>1844.2</v>
      </c>
      <c r="CJ140" s="87">
        <v>7.53</v>
      </c>
      <c r="CK140" s="87">
        <v>6.48</v>
      </c>
      <c r="CL140" s="87">
        <v>-4.22</v>
      </c>
      <c r="CM140" s="165">
        <v>1000</v>
      </c>
      <c r="CN140" s="103">
        <v>11013.47</v>
      </c>
      <c r="CO140" s="112">
        <f>CM140+CN140</f>
        <v>12013.47</v>
      </c>
      <c r="CP140" s="112">
        <f>CN140/10</f>
        <v>1101.347</v>
      </c>
      <c r="CS140" s="174">
        <f t="shared" ref="CS140:CS143" si="181">CI140</f>
        <v>1844.2</v>
      </c>
      <c r="CT140" s="174">
        <f t="shared" ref="CT140:CT143" si="182">CN140</f>
        <v>11013.47</v>
      </c>
      <c r="CU140" s="174">
        <f t="shared" ref="CU140:CU143" si="183">CP140</f>
        <v>1101.347</v>
      </c>
      <c r="CV140" s="82">
        <f>CV$4</f>
        <v>12</v>
      </c>
      <c r="CW140" s="174">
        <f>CI140*CV140</f>
        <v>22130.400000000001</v>
      </c>
      <c r="CX140" s="174">
        <f>CN140*CV140</f>
        <v>132161.63999999998</v>
      </c>
      <c r="CY140" s="174">
        <f t="shared" ref="CY140:CY143" si="184">CX140/10</f>
        <v>13216.163999999999</v>
      </c>
    </row>
    <row r="141" spans="1:103" outlineLevel="1" x14ac:dyDescent="0.2">
      <c r="A141" s="120"/>
      <c r="B141" s="72"/>
      <c r="C141" s="57" t="s">
        <v>1635</v>
      </c>
      <c r="D141" s="57" t="s">
        <v>1886</v>
      </c>
      <c r="E141" s="65" t="s">
        <v>1441</v>
      </c>
      <c r="F141" s="57" t="s">
        <v>1454</v>
      </c>
      <c r="G141" s="62" t="s">
        <v>1556</v>
      </c>
      <c r="H141" s="129" t="b">
        <v>0</v>
      </c>
      <c r="J141" s="123" t="s">
        <v>1866</v>
      </c>
      <c r="K141" s="123" t="s">
        <v>1866</v>
      </c>
      <c r="L141" s="123" t="s">
        <v>1866</v>
      </c>
      <c r="M141" s="137" t="b">
        <v>0</v>
      </c>
      <c r="Q141" s="128" t="b">
        <v>1</v>
      </c>
      <c r="R141" s="127" t="s">
        <v>1559</v>
      </c>
      <c r="S141" s="135" t="b">
        <v>1</v>
      </c>
      <c r="T141" s="126">
        <v>13</v>
      </c>
      <c r="U141" s="124">
        <v>1.4999999999999999E-2</v>
      </c>
      <c r="V141" s="126">
        <v>75</v>
      </c>
      <c r="W141" s="126">
        <v>-75</v>
      </c>
      <c r="X141" s="124">
        <v>50</v>
      </c>
      <c r="Y141" s="124">
        <v>5</v>
      </c>
      <c r="Z141" s="128" t="b">
        <v>1</v>
      </c>
      <c r="AA141" s="127" t="s">
        <v>1867</v>
      </c>
      <c r="AB141" s="133">
        <v>2</v>
      </c>
      <c r="AC141" s="137" t="b">
        <v>0</v>
      </c>
      <c r="AE141" s="137" t="b">
        <v>0</v>
      </c>
      <c r="AG141" s="135" t="b">
        <v>1</v>
      </c>
      <c r="AH141" s="125">
        <v>5</v>
      </c>
      <c r="AI141" s="125">
        <v>13</v>
      </c>
      <c r="AJ141" s="125">
        <v>34</v>
      </c>
      <c r="AK141" s="125">
        <v>89</v>
      </c>
      <c r="AL141" s="129" t="b">
        <v>0</v>
      </c>
      <c r="AM141" s="128" t="b">
        <v>1</v>
      </c>
      <c r="AN141" s="131" t="s">
        <v>1469</v>
      </c>
      <c r="AO141" s="141">
        <v>1.0000000000000001E-5</v>
      </c>
      <c r="AP141" s="128" t="b">
        <v>1</v>
      </c>
      <c r="AQ141" s="141">
        <v>1.0000000000000001E-5</v>
      </c>
      <c r="AR141" s="126">
        <v>5</v>
      </c>
      <c r="AS141" s="126">
        <v>8</v>
      </c>
      <c r="AT141" s="126">
        <v>5</v>
      </c>
      <c r="AU141" s="128" t="b">
        <v>1</v>
      </c>
      <c r="AV141" s="124">
        <v>3</v>
      </c>
      <c r="AW141" s="146">
        <v>5</v>
      </c>
      <c r="AX141" s="124">
        <v>1</v>
      </c>
      <c r="AY141" s="128" t="b">
        <v>1</v>
      </c>
      <c r="AZ141" s="122" t="s">
        <v>1586</v>
      </c>
      <c r="BA141" s="122">
        <v>4</v>
      </c>
      <c r="BB141" s="126">
        <v>0.05</v>
      </c>
      <c r="BC141" s="126">
        <v>0.5</v>
      </c>
      <c r="BD141" s="129" t="b">
        <v>0</v>
      </c>
      <c r="BE141" s="122" t="s">
        <v>1873</v>
      </c>
      <c r="BF141" s="128" t="b">
        <v>1</v>
      </c>
      <c r="BG141" s="122" t="s">
        <v>1578</v>
      </c>
      <c r="BH141" s="133">
        <v>0.02</v>
      </c>
      <c r="BI141" s="156" t="s">
        <v>403</v>
      </c>
      <c r="BJ141" s="128" t="b">
        <v>1</v>
      </c>
      <c r="BK141" s="161">
        <v>1.5</v>
      </c>
      <c r="BL141" s="129" t="b">
        <v>0</v>
      </c>
      <c r="BM141" s="156" t="s">
        <v>412</v>
      </c>
      <c r="BN141" s="128" t="b">
        <v>1</v>
      </c>
      <c r="BO141" s="156" t="s">
        <v>1382</v>
      </c>
      <c r="BP141" s="157">
        <v>1</v>
      </c>
      <c r="BQ141" s="157">
        <v>0.5</v>
      </c>
      <c r="BR141" s="166" t="str">
        <f t="shared" si="160"/>
        <v>5/ 13/ 34/ 89</v>
      </c>
      <c r="BS141" s="166" t="str">
        <f>AR141&amp;" / "&amp;AS141&amp;" / "&amp;AT141</f>
        <v>5 / 8 / 5</v>
      </c>
      <c r="BT141" s="166" t="str">
        <f>BB141&amp;" / "&amp;BC141</f>
        <v>0.05 / 0.5</v>
      </c>
      <c r="BU141" s="66">
        <v>228</v>
      </c>
      <c r="BV141" s="66">
        <v>130</v>
      </c>
      <c r="BW141" s="66">
        <v>117</v>
      </c>
      <c r="BX141" s="99">
        <f>BV141-BW141</f>
        <v>13</v>
      </c>
      <c r="BY141" s="66">
        <v>13</v>
      </c>
      <c r="BZ141" s="92">
        <f>BU141-SUM(BW141:BY141)</f>
        <v>85</v>
      </c>
      <c r="CA141" s="204">
        <f t="shared" si="179"/>
        <v>0.57017543859649122</v>
      </c>
      <c r="CB141" s="205">
        <f t="shared" si="180"/>
        <v>5.701754385964912E-2</v>
      </c>
      <c r="CC141" s="87">
        <v>6.56</v>
      </c>
      <c r="CD141" s="87">
        <v>11.03</v>
      </c>
      <c r="CE141" s="87">
        <v>0.49</v>
      </c>
      <c r="CF141" s="170">
        <f>BK141</f>
        <v>1.5</v>
      </c>
      <c r="CG141" s="87">
        <v>0.56999999999999995</v>
      </c>
      <c r="CH141" s="87">
        <v>0.47</v>
      </c>
      <c r="CI141" s="93">
        <v>594.70000000000005</v>
      </c>
      <c r="CJ141" s="87">
        <v>4.57</v>
      </c>
      <c r="CK141" s="87">
        <v>4.7300000000000004</v>
      </c>
      <c r="CL141" s="87">
        <v>-4</v>
      </c>
      <c r="CM141" s="165">
        <v>1000</v>
      </c>
      <c r="CN141" s="93">
        <v>2514.08</v>
      </c>
      <c r="CO141" s="108">
        <f>CM141+CN141</f>
        <v>3514.08</v>
      </c>
      <c r="CP141" s="108">
        <f>CN141/10</f>
        <v>251.40799999999999</v>
      </c>
      <c r="CS141" s="80">
        <f t="shared" si="181"/>
        <v>594.70000000000005</v>
      </c>
      <c r="CT141" s="80">
        <f t="shared" si="182"/>
        <v>2514.08</v>
      </c>
      <c r="CU141" s="80">
        <f t="shared" si="183"/>
        <v>251.40799999999999</v>
      </c>
      <c r="CV141" s="82">
        <f>CV$4</f>
        <v>12</v>
      </c>
      <c r="CW141" s="80">
        <f>CI141*CV141</f>
        <v>7136.4000000000005</v>
      </c>
      <c r="CX141" s="80">
        <f>CN141*CV141</f>
        <v>30168.959999999999</v>
      </c>
      <c r="CY141" s="80">
        <f t="shared" si="184"/>
        <v>3016.8959999999997</v>
      </c>
    </row>
    <row r="142" spans="1:103" outlineLevel="1" x14ac:dyDescent="0.2">
      <c r="A142" s="120"/>
      <c r="B142" s="72"/>
      <c r="C142" s="57" t="s">
        <v>1629</v>
      </c>
      <c r="D142" s="57" t="s">
        <v>1886</v>
      </c>
      <c r="E142" s="65" t="s">
        <v>1441</v>
      </c>
      <c r="F142" s="57" t="s">
        <v>1454</v>
      </c>
      <c r="G142" s="62" t="s">
        <v>1556</v>
      </c>
      <c r="H142" s="129" t="b">
        <v>0</v>
      </c>
      <c r="J142" s="123" t="s">
        <v>1866</v>
      </c>
      <c r="K142" s="123" t="s">
        <v>1866</v>
      </c>
      <c r="L142" s="123" t="s">
        <v>1866</v>
      </c>
      <c r="M142" s="137" t="b">
        <v>0</v>
      </c>
      <c r="Q142" s="128" t="b">
        <v>1</v>
      </c>
      <c r="R142" s="127" t="s">
        <v>1559</v>
      </c>
      <c r="S142" s="135" t="b">
        <v>1</v>
      </c>
      <c r="T142" s="126">
        <v>13</v>
      </c>
      <c r="U142" s="124">
        <v>1.4999999999999999E-2</v>
      </c>
      <c r="V142" s="126">
        <v>75</v>
      </c>
      <c r="W142" s="126">
        <v>-75</v>
      </c>
      <c r="X142" s="124">
        <v>50</v>
      </c>
      <c r="Y142" s="124">
        <v>5</v>
      </c>
      <c r="Z142" s="128" t="b">
        <v>1</v>
      </c>
      <c r="AA142" s="127" t="s">
        <v>1867</v>
      </c>
      <c r="AB142" s="133">
        <v>2</v>
      </c>
      <c r="AC142" s="137" t="b">
        <v>0</v>
      </c>
      <c r="AE142" s="137" t="b">
        <v>0</v>
      </c>
      <c r="AG142" s="135" t="b">
        <v>1</v>
      </c>
      <c r="AH142" s="125">
        <v>5</v>
      </c>
      <c r="AI142" s="125">
        <v>13</v>
      </c>
      <c r="AJ142" s="125">
        <v>34</v>
      </c>
      <c r="AK142" s="125">
        <v>89</v>
      </c>
      <c r="AL142" s="129" t="b">
        <v>0</v>
      </c>
      <c r="AM142" s="128" t="b">
        <v>1</v>
      </c>
      <c r="AN142" s="131" t="s">
        <v>1469</v>
      </c>
      <c r="AO142" s="141">
        <v>1.0000000000000001E-5</v>
      </c>
      <c r="AP142" s="128" t="b">
        <v>1</v>
      </c>
      <c r="AQ142" s="141">
        <v>1.0000000000000001E-5</v>
      </c>
      <c r="AR142" s="126">
        <v>5</v>
      </c>
      <c r="AS142" s="126">
        <v>8</v>
      </c>
      <c r="AT142" s="126">
        <v>5</v>
      </c>
      <c r="AU142" s="128" t="b">
        <v>1</v>
      </c>
      <c r="AV142" s="124">
        <v>3</v>
      </c>
      <c r="AW142" s="146">
        <v>5</v>
      </c>
      <c r="AX142" s="124">
        <v>1</v>
      </c>
      <c r="AY142" s="128" t="b">
        <v>1</v>
      </c>
      <c r="AZ142" s="122" t="s">
        <v>1586</v>
      </c>
      <c r="BA142" s="122">
        <v>4</v>
      </c>
      <c r="BB142" s="126">
        <v>0.05</v>
      </c>
      <c r="BC142" s="126">
        <v>0.5</v>
      </c>
      <c r="BD142" s="129" t="b">
        <v>0</v>
      </c>
      <c r="BE142" s="122" t="s">
        <v>1873</v>
      </c>
      <c r="BF142" s="128" t="b">
        <v>1</v>
      </c>
      <c r="BG142" s="122" t="s">
        <v>1578</v>
      </c>
      <c r="BH142" s="133">
        <v>0.02</v>
      </c>
      <c r="BI142" s="156" t="s">
        <v>403</v>
      </c>
      <c r="BJ142" s="128" t="b">
        <v>1</v>
      </c>
      <c r="BK142" s="161">
        <v>1.5</v>
      </c>
      <c r="BL142" s="129" t="b">
        <v>0</v>
      </c>
      <c r="BM142" s="156" t="s">
        <v>412</v>
      </c>
      <c r="BN142" s="128" t="b">
        <v>1</v>
      </c>
      <c r="BO142" s="156" t="s">
        <v>1382</v>
      </c>
      <c r="BP142" s="157">
        <v>1</v>
      </c>
      <c r="BQ142" s="157">
        <v>0.5</v>
      </c>
      <c r="BR142" s="166" t="str">
        <f t="shared" si="160"/>
        <v>5/ 13/ 34/ 89</v>
      </c>
      <c r="BS142" s="166" t="str">
        <f>AR142&amp;" / "&amp;AS142&amp;" / "&amp;AT142</f>
        <v>5 / 8 / 5</v>
      </c>
      <c r="BT142" s="166" t="str">
        <f>BB142&amp;" / "&amp;BC142</f>
        <v>0.05 / 0.5</v>
      </c>
      <c r="BU142" s="66">
        <v>233</v>
      </c>
      <c r="BV142" s="66">
        <v>146</v>
      </c>
      <c r="BW142" s="66">
        <v>126</v>
      </c>
      <c r="BX142" s="99">
        <f>BV142-BW142</f>
        <v>20</v>
      </c>
      <c r="BY142" s="66">
        <v>9</v>
      </c>
      <c r="BZ142" s="92">
        <f>BU142-SUM(BW142:BY142)</f>
        <v>78</v>
      </c>
      <c r="CA142" s="204">
        <f t="shared" si="179"/>
        <v>0.62660944206008584</v>
      </c>
      <c r="CB142" s="205">
        <f t="shared" si="180"/>
        <v>3.8626609442060089E-2</v>
      </c>
      <c r="CC142" s="87">
        <v>10.19</v>
      </c>
      <c r="CD142" s="87">
        <v>13.77</v>
      </c>
      <c r="CE142" s="87">
        <v>0.55000000000000004</v>
      </c>
      <c r="CF142" s="170">
        <f>BK142</f>
        <v>1.5</v>
      </c>
      <c r="CG142" s="87">
        <v>0.56000000000000005</v>
      </c>
      <c r="CH142" s="87">
        <v>0.39</v>
      </c>
      <c r="CI142" s="93">
        <v>663.8</v>
      </c>
      <c r="CJ142" s="87">
        <v>4.55</v>
      </c>
      <c r="CK142" s="87">
        <v>3.8</v>
      </c>
      <c r="CL142" s="87">
        <v>-3.95</v>
      </c>
      <c r="CM142" s="165">
        <v>1000</v>
      </c>
      <c r="CN142" s="93">
        <v>3208.22</v>
      </c>
      <c r="CO142" s="108">
        <f>CM142+CN142</f>
        <v>4208.2199999999993</v>
      </c>
      <c r="CP142" s="108">
        <f>CN142/10</f>
        <v>320.822</v>
      </c>
      <c r="CS142" s="80">
        <f t="shared" si="181"/>
        <v>663.8</v>
      </c>
      <c r="CT142" s="80">
        <f t="shared" si="182"/>
        <v>3208.22</v>
      </c>
      <c r="CU142" s="80">
        <f t="shared" si="183"/>
        <v>320.822</v>
      </c>
      <c r="CV142" s="82">
        <f>CV$4</f>
        <v>12</v>
      </c>
      <c r="CW142" s="80">
        <f>CI142*CV142</f>
        <v>7965.5999999999995</v>
      </c>
      <c r="CX142" s="80">
        <f>CN142*CV142</f>
        <v>38498.639999999999</v>
      </c>
      <c r="CY142" s="80">
        <f t="shared" si="184"/>
        <v>3849.864</v>
      </c>
    </row>
    <row r="143" spans="1:103" outlineLevel="1" x14ac:dyDescent="0.2">
      <c r="A143" s="120"/>
      <c r="B143" s="72"/>
      <c r="C143" s="57" t="s">
        <v>1633</v>
      </c>
      <c r="D143" s="57" t="s">
        <v>1886</v>
      </c>
      <c r="E143" s="65" t="s">
        <v>1441</v>
      </c>
      <c r="F143" s="57" t="s">
        <v>1454</v>
      </c>
      <c r="G143" s="62" t="s">
        <v>1556</v>
      </c>
      <c r="H143" s="129" t="b">
        <v>0</v>
      </c>
      <c r="J143" s="123" t="s">
        <v>1866</v>
      </c>
      <c r="K143" s="123" t="s">
        <v>1866</v>
      </c>
      <c r="L143" s="123" t="s">
        <v>1866</v>
      </c>
      <c r="M143" s="137" t="b">
        <v>0</v>
      </c>
      <c r="Q143" s="128" t="b">
        <v>1</v>
      </c>
      <c r="R143" s="127" t="s">
        <v>1559</v>
      </c>
      <c r="S143" s="135" t="b">
        <v>1</v>
      </c>
      <c r="T143" s="126">
        <v>13</v>
      </c>
      <c r="U143" s="124">
        <v>1.4999999999999999E-2</v>
      </c>
      <c r="V143" s="126">
        <v>75</v>
      </c>
      <c r="W143" s="126">
        <v>-75</v>
      </c>
      <c r="X143" s="124">
        <v>50</v>
      </c>
      <c r="Y143" s="124">
        <v>5</v>
      </c>
      <c r="Z143" s="128" t="b">
        <v>1</v>
      </c>
      <c r="AA143" s="127" t="s">
        <v>1867</v>
      </c>
      <c r="AB143" s="133">
        <v>2</v>
      </c>
      <c r="AC143" s="137" t="b">
        <v>0</v>
      </c>
      <c r="AE143" s="137" t="b">
        <v>0</v>
      </c>
      <c r="AG143" s="135" t="b">
        <v>1</v>
      </c>
      <c r="AH143" s="125">
        <v>5</v>
      </c>
      <c r="AI143" s="125">
        <v>13</v>
      </c>
      <c r="AJ143" s="125">
        <v>34</v>
      </c>
      <c r="AK143" s="125">
        <v>89</v>
      </c>
      <c r="AL143" s="129" t="b">
        <v>0</v>
      </c>
      <c r="AM143" s="128" t="b">
        <v>1</v>
      </c>
      <c r="AN143" s="131" t="s">
        <v>1469</v>
      </c>
      <c r="AO143" s="141">
        <v>1.0000000000000001E-5</v>
      </c>
      <c r="AP143" s="128" t="b">
        <v>1</v>
      </c>
      <c r="AQ143" s="141">
        <v>1.0000000000000001E-5</v>
      </c>
      <c r="AR143" s="126">
        <v>5</v>
      </c>
      <c r="AS143" s="126">
        <v>8</v>
      </c>
      <c r="AT143" s="126">
        <v>5</v>
      </c>
      <c r="AU143" s="128" t="b">
        <v>1</v>
      </c>
      <c r="AV143" s="124">
        <v>3</v>
      </c>
      <c r="AW143" s="146">
        <v>5</v>
      </c>
      <c r="AX143" s="124">
        <v>1</v>
      </c>
      <c r="AY143" s="128" t="b">
        <v>1</v>
      </c>
      <c r="AZ143" s="122" t="s">
        <v>1586</v>
      </c>
      <c r="BA143" s="122">
        <v>4</v>
      </c>
      <c r="BB143" s="126">
        <v>0.05</v>
      </c>
      <c r="BC143" s="126">
        <v>0.5</v>
      </c>
      <c r="BD143" s="129" t="b">
        <v>0</v>
      </c>
      <c r="BE143" s="122" t="s">
        <v>1873</v>
      </c>
      <c r="BF143" s="128" t="b">
        <v>1</v>
      </c>
      <c r="BG143" s="122" t="s">
        <v>1578</v>
      </c>
      <c r="BH143" s="133">
        <v>0.02</v>
      </c>
      <c r="BI143" s="156" t="s">
        <v>403</v>
      </c>
      <c r="BJ143" s="128" t="b">
        <v>1</v>
      </c>
      <c r="BK143" s="161">
        <v>1.5</v>
      </c>
      <c r="BL143" s="129" t="b">
        <v>0</v>
      </c>
      <c r="BM143" s="156" t="s">
        <v>412</v>
      </c>
      <c r="BN143" s="128" t="b">
        <v>1</v>
      </c>
      <c r="BO143" s="156" t="s">
        <v>1382</v>
      </c>
      <c r="BP143" s="157">
        <v>1</v>
      </c>
      <c r="BQ143" s="157">
        <v>0.5</v>
      </c>
      <c r="BR143" s="166" t="str">
        <f t="shared" si="160"/>
        <v>5/ 13/ 34/ 89</v>
      </c>
      <c r="BS143" s="166" t="str">
        <f>AR143&amp;" / "&amp;AS143&amp;" / "&amp;AT143</f>
        <v>5 / 8 / 5</v>
      </c>
      <c r="BT143" s="166" t="str">
        <f>BB143&amp;" / "&amp;BC143</f>
        <v>0.05 / 0.5</v>
      </c>
      <c r="BU143" s="66">
        <v>291</v>
      </c>
      <c r="BV143" s="66">
        <v>181</v>
      </c>
      <c r="BW143" s="66">
        <v>164</v>
      </c>
      <c r="BX143" s="99">
        <f>BV143-BW143</f>
        <v>17</v>
      </c>
      <c r="BY143" s="66">
        <v>17</v>
      </c>
      <c r="BZ143" s="92">
        <f>BU143-SUM(BW143:BY143)</f>
        <v>93</v>
      </c>
      <c r="CA143" s="204">
        <f t="shared" si="179"/>
        <v>0.62199312714776633</v>
      </c>
      <c r="CB143" s="205">
        <f t="shared" si="180"/>
        <v>5.8419243986254296E-2</v>
      </c>
      <c r="CC143" s="87">
        <v>6</v>
      </c>
      <c r="CD143" s="87">
        <v>14.04</v>
      </c>
      <c r="CE143" s="87">
        <v>0.48</v>
      </c>
      <c r="CF143" s="170">
        <f>BK143</f>
        <v>1.5</v>
      </c>
      <c r="CG143" s="87">
        <v>0.54</v>
      </c>
      <c r="CH143" s="87">
        <v>0.45</v>
      </c>
      <c r="CI143" s="93">
        <v>923.9</v>
      </c>
      <c r="CJ143" s="87">
        <v>5.0999999999999996</v>
      </c>
      <c r="CK143" s="87">
        <v>4.12</v>
      </c>
      <c r="CL143" s="87">
        <v>-5.43</v>
      </c>
      <c r="CM143" s="165">
        <v>1000</v>
      </c>
      <c r="CN143" s="93">
        <v>4086.3</v>
      </c>
      <c r="CO143" s="108">
        <f>CM143+CN143</f>
        <v>5086.3</v>
      </c>
      <c r="CP143" s="108">
        <f>CN143/10</f>
        <v>408.63</v>
      </c>
      <c r="CS143" s="80">
        <f t="shared" si="181"/>
        <v>923.9</v>
      </c>
      <c r="CT143" s="80">
        <f t="shared" si="182"/>
        <v>4086.3</v>
      </c>
      <c r="CU143" s="80">
        <f t="shared" si="183"/>
        <v>408.63</v>
      </c>
      <c r="CV143" s="82">
        <f>CV$4</f>
        <v>12</v>
      </c>
      <c r="CW143" s="80">
        <f>CI143*CV143</f>
        <v>11086.8</v>
      </c>
      <c r="CX143" s="80">
        <f>CN143*CV143</f>
        <v>49035.600000000006</v>
      </c>
      <c r="CY143" s="80">
        <f t="shared" si="184"/>
        <v>4903.5600000000004</v>
      </c>
    </row>
    <row r="144" spans="1:103" outlineLevel="1" collapsed="1" x14ac:dyDescent="0.2">
      <c r="G144" s="113"/>
      <c r="AE144" s="124"/>
      <c r="AO144" s="127"/>
      <c r="AQ144" s="138"/>
    </row>
    <row r="145" spans="1:103" x14ac:dyDescent="0.2">
      <c r="A145" s="120"/>
      <c r="B145" s="72" t="s">
        <v>1906</v>
      </c>
      <c r="C145" s="57" t="s">
        <v>1387</v>
      </c>
      <c r="D145" s="57" t="s">
        <v>1886</v>
      </c>
      <c r="E145" s="65" t="s">
        <v>1389</v>
      </c>
      <c r="F145" s="57" t="s">
        <v>1454</v>
      </c>
      <c r="G145" s="62" t="s">
        <v>1556</v>
      </c>
      <c r="H145" s="129" t="b">
        <v>0</v>
      </c>
      <c r="J145" s="123" t="s">
        <v>1866</v>
      </c>
      <c r="K145" s="123" t="s">
        <v>1866</v>
      </c>
      <c r="L145" s="123" t="s">
        <v>1866</v>
      </c>
      <c r="M145" s="137" t="b">
        <v>0</v>
      </c>
      <c r="Q145" s="128" t="b">
        <v>1</v>
      </c>
      <c r="R145" s="127" t="s">
        <v>1559</v>
      </c>
      <c r="S145" s="135" t="b">
        <v>1</v>
      </c>
      <c r="T145" s="126">
        <v>13</v>
      </c>
      <c r="U145" s="124">
        <v>1.4999999999999999E-2</v>
      </c>
      <c r="V145" s="126">
        <v>75</v>
      </c>
      <c r="W145" s="126">
        <v>-75</v>
      </c>
      <c r="X145" s="124">
        <v>50</v>
      </c>
      <c r="Y145" s="124">
        <v>5</v>
      </c>
      <c r="Z145" s="128" t="b">
        <v>1</v>
      </c>
      <c r="AA145" s="127" t="s">
        <v>1867</v>
      </c>
      <c r="AB145" s="133">
        <v>2</v>
      </c>
      <c r="AC145" s="137" t="b">
        <v>0</v>
      </c>
      <c r="AE145" s="137" t="b">
        <v>0</v>
      </c>
      <c r="AG145" s="135" t="b">
        <v>1</v>
      </c>
      <c r="AH145" s="125">
        <v>5</v>
      </c>
      <c r="AI145" s="125">
        <v>13</v>
      </c>
      <c r="AJ145" s="125">
        <v>34</v>
      </c>
      <c r="AK145" s="125">
        <v>89</v>
      </c>
      <c r="AL145" s="129" t="b">
        <v>0</v>
      </c>
      <c r="AM145" s="128" t="b">
        <v>1</v>
      </c>
      <c r="AN145" s="131" t="s">
        <v>1469</v>
      </c>
      <c r="AO145" s="141">
        <v>1.0000000000000001E-5</v>
      </c>
      <c r="AP145" s="128" t="b">
        <v>1</v>
      </c>
      <c r="AQ145" s="141">
        <v>1.0000000000000001E-5</v>
      </c>
      <c r="AR145" s="126">
        <v>5</v>
      </c>
      <c r="AS145" s="126">
        <v>8</v>
      </c>
      <c r="AT145" s="126">
        <v>5</v>
      </c>
      <c r="AU145" s="128" t="b">
        <v>1</v>
      </c>
      <c r="AV145" s="124">
        <v>3</v>
      </c>
      <c r="AW145" s="146">
        <v>5</v>
      </c>
      <c r="AX145" s="124">
        <v>1</v>
      </c>
      <c r="AY145" s="128" t="b">
        <v>1</v>
      </c>
      <c r="AZ145" s="122" t="s">
        <v>1586</v>
      </c>
      <c r="BA145" s="122">
        <v>4</v>
      </c>
      <c r="BB145" s="126">
        <v>0.05</v>
      </c>
      <c r="BC145" s="126">
        <v>0.5</v>
      </c>
      <c r="BD145" s="129" t="b">
        <v>0</v>
      </c>
      <c r="BE145" s="122" t="s">
        <v>1873</v>
      </c>
      <c r="BF145" s="128" t="b">
        <v>1</v>
      </c>
      <c r="BG145" s="122" t="s">
        <v>1578</v>
      </c>
      <c r="BH145" s="133">
        <v>0.02</v>
      </c>
      <c r="BI145" s="156" t="s">
        <v>403</v>
      </c>
      <c r="BJ145" s="128" t="b">
        <v>1</v>
      </c>
      <c r="BK145" s="161">
        <v>1.5</v>
      </c>
      <c r="BL145" s="129" t="b">
        <v>0</v>
      </c>
      <c r="BM145" s="156" t="s">
        <v>412</v>
      </c>
      <c r="BN145" s="128" t="b">
        <v>1</v>
      </c>
      <c r="BO145" s="156" t="s">
        <v>1382</v>
      </c>
      <c r="BP145" s="157">
        <v>1</v>
      </c>
      <c r="BQ145" s="157">
        <v>0.5</v>
      </c>
      <c r="BR145" s="166" t="str">
        <f t="shared" ref="BR145:BR149" si="185">AH145&amp;"/ "&amp;AI145&amp;"/ "&amp;AJ145&amp;"/ "&amp;AK145</f>
        <v>5/ 13/ 34/ 89</v>
      </c>
      <c r="BS145" s="166" t="str">
        <f>AR145&amp;" / "&amp;AS145&amp;" / "&amp;AT145</f>
        <v>5 / 8 / 5</v>
      </c>
      <c r="BT145" s="166" t="str">
        <f>BB145&amp;" / "&amp;BC145</f>
        <v>0.05 / 0.5</v>
      </c>
      <c r="BU145" s="66">
        <v>4573</v>
      </c>
      <c r="BV145" s="66">
        <v>2628</v>
      </c>
      <c r="BW145" s="66">
        <v>2253</v>
      </c>
      <c r="BX145" s="99">
        <f>BV145-BW145</f>
        <v>375</v>
      </c>
      <c r="BY145" s="66">
        <v>455</v>
      </c>
      <c r="BZ145" s="92">
        <f>BU145-SUM(BW145:BY145)</f>
        <v>1490</v>
      </c>
      <c r="CA145" s="204">
        <f>IF(BU145=0,0,BV145/BU145)</f>
        <v>0.57467745462497266</v>
      </c>
      <c r="CB145" s="205">
        <f>IF(BU145=0,0,BY145/BU145)</f>
        <v>9.9497047889787887E-2</v>
      </c>
      <c r="CC145" s="87">
        <v>4.53</v>
      </c>
      <c r="CD145" s="87">
        <v>40.97</v>
      </c>
      <c r="CE145" s="87">
        <v>0.46</v>
      </c>
      <c r="CF145" s="170">
        <f>BK145</f>
        <v>1.5</v>
      </c>
      <c r="CG145" s="87">
        <v>0.64</v>
      </c>
      <c r="CH145" s="87">
        <v>0.5</v>
      </c>
      <c r="CI145" s="93">
        <v>22317.1</v>
      </c>
      <c r="CJ145" s="87">
        <v>8.49</v>
      </c>
      <c r="CK145" s="87">
        <v>10.14</v>
      </c>
      <c r="CL145" s="87">
        <v>-3.96</v>
      </c>
      <c r="CM145" s="165">
        <v>1000</v>
      </c>
      <c r="CN145" s="93">
        <v>187330.67</v>
      </c>
      <c r="CO145" s="108">
        <f>CM145+CN145</f>
        <v>188330.67</v>
      </c>
      <c r="CP145" s="108">
        <f>CN145/10</f>
        <v>18733.067000000003</v>
      </c>
      <c r="CR145" s="82">
        <f>CR$4</f>
        <v>12</v>
      </c>
      <c r="CS145" s="80">
        <f>CI145/CR145</f>
        <v>1859.7583333333332</v>
      </c>
      <c r="CT145" s="80">
        <f>CN145/CR145</f>
        <v>15610.889166666668</v>
      </c>
      <c r="CU145" s="80">
        <f>CT145/10</f>
        <v>1561.0889166666668</v>
      </c>
      <c r="CW145" s="80">
        <f>CI145</f>
        <v>22317.1</v>
      </c>
      <c r="CX145" s="80">
        <f>CN145</f>
        <v>187330.67</v>
      </c>
      <c r="CY145" s="80">
        <f>CP145</f>
        <v>18733.067000000003</v>
      </c>
    </row>
    <row r="146" spans="1:103" outlineLevel="1" x14ac:dyDescent="0.2">
      <c r="A146" s="120"/>
      <c r="B146" s="72"/>
      <c r="C146" s="57" t="s">
        <v>1627</v>
      </c>
      <c r="D146" s="57" t="s">
        <v>1886</v>
      </c>
      <c r="E146" s="65" t="s">
        <v>1389</v>
      </c>
      <c r="F146" s="57" t="s">
        <v>1454</v>
      </c>
      <c r="G146" s="62" t="s">
        <v>1556</v>
      </c>
      <c r="H146" s="129" t="b">
        <v>0</v>
      </c>
      <c r="J146" s="123" t="s">
        <v>1866</v>
      </c>
      <c r="K146" s="123" t="s">
        <v>1866</v>
      </c>
      <c r="L146" s="123" t="s">
        <v>1866</v>
      </c>
      <c r="M146" s="137" t="b">
        <v>0</v>
      </c>
      <c r="Q146" s="128" t="b">
        <v>1</v>
      </c>
      <c r="R146" s="127" t="s">
        <v>1559</v>
      </c>
      <c r="S146" s="135" t="b">
        <v>1</v>
      </c>
      <c r="T146" s="126">
        <v>13</v>
      </c>
      <c r="U146" s="124">
        <v>1.4999999999999999E-2</v>
      </c>
      <c r="V146" s="126">
        <v>75</v>
      </c>
      <c r="W146" s="126">
        <v>-75</v>
      </c>
      <c r="X146" s="124">
        <v>50</v>
      </c>
      <c r="Y146" s="124">
        <v>5</v>
      </c>
      <c r="Z146" s="128" t="b">
        <v>1</v>
      </c>
      <c r="AA146" s="127" t="s">
        <v>1867</v>
      </c>
      <c r="AB146" s="133">
        <v>2</v>
      </c>
      <c r="AC146" s="137" t="b">
        <v>0</v>
      </c>
      <c r="AE146" s="137" t="b">
        <v>0</v>
      </c>
      <c r="AG146" s="135" t="b">
        <v>1</v>
      </c>
      <c r="AH146" s="125">
        <v>5</v>
      </c>
      <c r="AI146" s="125">
        <v>13</v>
      </c>
      <c r="AJ146" s="125">
        <v>34</v>
      </c>
      <c r="AK146" s="125">
        <v>89</v>
      </c>
      <c r="AL146" s="129" t="b">
        <v>0</v>
      </c>
      <c r="AM146" s="128" t="b">
        <v>1</v>
      </c>
      <c r="AN146" s="131" t="s">
        <v>1469</v>
      </c>
      <c r="AO146" s="141">
        <v>1.0000000000000001E-5</v>
      </c>
      <c r="AP146" s="128" t="b">
        <v>1</v>
      </c>
      <c r="AQ146" s="141">
        <v>1.0000000000000001E-5</v>
      </c>
      <c r="AR146" s="126">
        <v>5</v>
      </c>
      <c r="AS146" s="126">
        <v>8</v>
      </c>
      <c r="AT146" s="126">
        <v>5</v>
      </c>
      <c r="AU146" s="128" t="b">
        <v>1</v>
      </c>
      <c r="AV146" s="124">
        <v>3</v>
      </c>
      <c r="AW146" s="146">
        <v>5</v>
      </c>
      <c r="AX146" s="124">
        <v>1</v>
      </c>
      <c r="AY146" s="128" t="b">
        <v>1</v>
      </c>
      <c r="AZ146" s="122" t="s">
        <v>1586</v>
      </c>
      <c r="BA146" s="122">
        <v>4</v>
      </c>
      <c r="BB146" s="126">
        <v>0.05</v>
      </c>
      <c r="BC146" s="126">
        <v>0.5</v>
      </c>
      <c r="BD146" s="129" t="b">
        <v>0</v>
      </c>
      <c r="BE146" s="122" t="s">
        <v>1873</v>
      </c>
      <c r="BF146" s="128" t="b">
        <v>1</v>
      </c>
      <c r="BG146" s="122" t="s">
        <v>1578</v>
      </c>
      <c r="BH146" s="133">
        <v>0.02</v>
      </c>
      <c r="BI146" s="156" t="s">
        <v>403</v>
      </c>
      <c r="BJ146" s="128" t="b">
        <v>1</v>
      </c>
      <c r="BK146" s="161">
        <v>1.5</v>
      </c>
      <c r="BL146" s="129" t="b">
        <v>0</v>
      </c>
      <c r="BM146" s="156" t="s">
        <v>412</v>
      </c>
      <c r="BN146" s="128" t="b">
        <v>1</v>
      </c>
      <c r="BO146" s="156" t="s">
        <v>1382</v>
      </c>
      <c r="BP146" s="157">
        <v>1</v>
      </c>
      <c r="BQ146" s="157">
        <v>0.5</v>
      </c>
      <c r="BR146" s="166" t="str">
        <f t="shared" si="185"/>
        <v>5/ 13/ 34/ 89</v>
      </c>
      <c r="BS146" s="166" t="str">
        <f>AR146&amp;" / "&amp;AS146&amp;" / "&amp;AT146</f>
        <v>5 / 8 / 5</v>
      </c>
      <c r="BT146" s="166" t="str">
        <f>BB146&amp;" / "&amp;BC146</f>
        <v>0.05 / 0.5</v>
      </c>
      <c r="BU146" s="66">
        <v>4890</v>
      </c>
      <c r="BV146" s="66">
        <v>2877</v>
      </c>
      <c r="BW146" s="66">
        <v>2426</v>
      </c>
      <c r="BX146" s="99">
        <f>BV146-BW146</f>
        <v>451</v>
      </c>
      <c r="BY146" s="66">
        <v>496</v>
      </c>
      <c r="BZ146" s="92">
        <f>BU146-SUM(BW146:BY146)</f>
        <v>1517</v>
      </c>
      <c r="CA146" s="204">
        <f t="shared" ref="CA146:CA149" si="186">IF(BU146=0,0,BV146/BU146)</f>
        <v>0.58834355828220863</v>
      </c>
      <c r="CB146" s="205">
        <f t="shared" ref="CB146:CB149" si="187">IF(BU146=0,0,BY146/BU146)</f>
        <v>0.10143149284253579</v>
      </c>
      <c r="CC146" s="87">
        <v>4.42</v>
      </c>
      <c r="CD146" s="87">
        <v>41.83</v>
      </c>
      <c r="CE146" s="87">
        <v>0.46</v>
      </c>
      <c r="CF146" s="170">
        <f>BK146</f>
        <v>1.5</v>
      </c>
      <c r="CG146" s="87">
        <v>0.64</v>
      </c>
      <c r="CH146" s="87">
        <v>0.49</v>
      </c>
      <c r="CI146" s="93">
        <v>24944.9</v>
      </c>
      <c r="CJ146" s="87">
        <v>8.67</v>
      </c>
      <c r="CK146" s="87">
        <v>10.55</v>
      </c>
      <c r="CL146" s="87">
        <v>-4.22</v>
      </c>
      <c r="CM146" s="165">
        <v>1000</v>
      </c>
      <c r="CN146" s="93">
        <v>204527.27</v>
      </c>
      <c r="CO146" s="108">
        <f>CM146+CN146</f>
        <v>205527.27</v>
      </c>
      <c r="CP146" s="108">
        <f>CN146/10</f>
        <v>20452.726999999999</v>
      </c>
      <c r="CR146" s="82">
        <f>CR$4</f>
        <v>12</v>
      </c>
      <c r="CS146" s="80">
        <f t="shared" ref="CS146:CS149" si="188">CI146/CR146</f>
        <v>2078.7416666666668</v>
      </c>
      <c r="CT146" s="80">
        <f t="shared" ref="CT146:CT149" si="189">CN146/CR146</f>
        <v>17043.939166666667</v>
      </c>
      <c r="CU146" s="80">
        <f t="shared" ref="CU146:CU149" si="190">CT146/10</f>
        <v>1704.3939166666667</v>
      </c>
      <c r="CW146" s="80">
        <f t="shared" ref="CW146:CW149" si="191">CI146</f>
        <v>24944.9</v>
      </c>
      <c r="CX146" s="80">
        <f t="shared" ref="CX146:CX149" si="192">CN146</f>
        <v>204527.27</v>
      </c>
      <c r="CY146" s="80">
        <f t="shared" ref="CY146:CY149" si="193">CP146</f>
        <v>20452.726999999999</v>
      </c>
    </row>
    <row r="147" spans="1:103" outlineLevel="1" x14ac:dyDescent="0.2">
      <c r="A147" s="120"/>
      <c r="B147" s="72"/>
      <c r="C147" s="57" t="s">
        <v>1635</v>
      </c>
      <c r="D147" s="57" t="s">
        <v>1886</v>
      </c>
      <c r="E147" s="65" t="s">
        <v>1389</v>
      </c>
      <c r="F147" s="57" t="s">
        <v>1454</v>
      </c>
      <c r="G147" s="62" t="s">
        <v>1556</v>
      </c>
      <c r="H147" s="129" t="b">
        <v>0</v>
      </c>
      <c r="J147" s="123" t="s">
        <v>1866</v>
      </c>
      <c r="K147" s="123" t="s">
        <v>1866</v>
      </c>
      <c r="L147" s="123" t="s">
        <v>1866</v>
      </c>
      <c r="M147" s="137" t="b">
        <v>0</v>
      </c>
      <c r="Q147" s="128" t="b">
        <v>1</v>
      </c>
      <c r="R147" s="127" t="s">
        <v>1559</v>
      </c>
      <c r="S147" s="135" t="b">
        <v>1</v>
      </c>
      <c r="T147" s="126">
        <v>13</v>
      </c>
      <c r="U147" s="124">
        <v>1.4999999999999999E-2</v>
      </c>
      <c r="V147" s="126">
        <v>75</v>
      </c>
      <c r="W147" s="126">
        <v>-75</v>
      </c>
      <c r="X147" s="124">
        <v>50</v>
      </c>
      <c r="Y147" s="124">
        <v>5</v>
      </c>
      <c r="Z147" s="128" t="b">
        <v>1</v>
      </c>
      <c r="AA147" s="127" t="s">
        <v>1867</v>
      </c>
      <c r="AB147" s="133">
        <v>2</v>
      </c>
      <c r="AC147" s="137" t="b">
        <v>0</v>
      </c>
      <c r="AE147" s="137" t="b">
        <v>0</v>
      </c>
      <c r="AG147" s="135" t="b">
        <v>1</v>
      </c>
      <c r="AH147" s="125">
        <v>5</v>
      </c>
      <c r="AI147" s="125">
        <v>13</v>
      </c>
      <c r="AJ147" s="125">
        <v>34</v>
      </c>
      <c r="AK147" s="125">
        <v>89</v>
      </c>
      <c r="AL147" s="129" t="b">
        <v>0</v>
      </c>
      <c r="AM147" s="128" t="b">
        <v>1</v>
      </c>
      <c r="AN147" s="131" t="s">
        <v>1469</v>
      </c>
      <c r="AO147" s="141">
        <v>1.0000000000000001E-5</v>
      </c>
      <c r="AP147" s="128" t="b">
        <v>1</v>
      </c>
      <c r="AQ147" s="141">
        <v>1.0000000000000001E-5</v>
      </c>
      <c r="AR147" s="126">
        <v>5</v>
      </c>
      <c r="AS147" s="126">
        <v>8</v>
      </c>
      <c r="AT147" s="126">
        <v>5</v>
      </c>
      <c r="AU147" s="128" t="b">
        <v>1</v>
      </c>
      <c r="AV147" s="124">
        <v>3</v>
      </c>
      <c r="AW147" s="146">
        <v>5</v>
      </c>
      <c r="AX147" s="124">
        <v>1</v>
      </c>
      <c r="AY147" s="128" t="b">
        <v>1</v>
      </c>
      <c r="AZ147" s="122" t="s">
        <v>1586</v>
      </c>
      <c r="BA147" s="122">
        <v>4</v>
      </c>
      <c r="BB147" s="126">
        <v>0.05</v>
      </c>
      <c r="BC147" s="126">
        <v>0.5</v>
      </c>
      <c r="BD147" s="129" t="b">
        <v>0</v>
      </c>
      <c r="BE147" s="122" t="s">
        <v>1873</v>
      </c>
      <c r="BF147" s="128" t="b">
        <v>1</v>
      </c>
      <c r="BG147" s="122" t="s">
        <v>1578</v>
      </c>
      <c r="BH147" s="133">
        <v>0.02</v>
      </c>
      <c r="BI147" s="156" t="s">
        <v>403</v>
      </c>
      <c r="BJ147" s="128" t="b">
        <v>1</v>
      </c>
      <c r="BK147" s="161">
        <v>1.5</v>
      </c>
      <c r="BL147" s="129" t="b">
        <v>0</v>
      </c>
      <c r="BM147" s="156" t="s">
        <v>412</v>
      </c>
      <c r="BN147" s="128" t="b">
        <v>1</v>
      </c>
      <c r="BO147" s="156" t="s">
        <v>1382</v>
      </c>
      <c r="BP147" s="157">
        <v>1</v>
      </c>
      <c r="BQ147" s="157">
        <v>0.5</v>
      </c>
      <c r="BR147" s="166" t="str">
        <f t="shared" si="185"/>
        <v>5/ 13/ 34/ 89</v>
      </c>
      <c r="BS147" s="166" t="str">
        <f>AR147&amp;" / "&amp;AS147&amp;" / "&amp;AT147</f>
        <v>5 / 8 / 5</v>
      </c>
      <c r="BT147" s="166" t="str">
        <f>BB147&amp;" / "&amp;BC147</f>
        <v>0.05 / 0.5</v>
      </c>
      <c r="BU147" s="66">
        <v>2123</v>
      </c>
      <c r="BV147" s="66">
        <v>1275</v>
      </c>
      <c r="BW147" s="66">
        <v>1173</v>
      </c>
      <c r="BX147" s="99">
        <f>BV147-BW147</f>
        <v>102</v>
      </c>
      <c r="BY147" s="66">
        <v>76</v>
      </c>
      <c r="BZ147" s="92">
        <f>BU147-SUM(BW147:BY147)</f>
        <v>772</v>
      </c>
      <c r="CA147" s="204">
        <f t="shared" si="186"/>
        <v>0.60056523787093741</v>
      </c>
      <c r="CB147" s="205">
        <f t="shared" si="187"/>
        <v>3.5798398492699009E-2</v>
      </c>
      <c r="CC147" s="87">
        <v>11.78</v>
      </c>
      <c r="CD147" s="87">
        <v>41.51</v>
      </c>
      <c r="CE147" s="87">
        <v>0.6</v>
      </c>
      <c r="CF147" s="170">
        <f>BK147</f>
        <v>1.5</v>
      </c>
      <c r="CG147" s="87">
        <v>0.56000000000000005</v>
      </c>
      <c r="CH147" s="87">
        <v>0.45</v>
      </c>
      <c r="CI147" s="93">
        <v>5518</v>
      </c>
      <c r="CJ147" s="87">
        <v>4.33</v>
      </c>
      <c r="CK147" s="87">
        <v>3.8</v>
      </c>
      <c r="CL147" s="87">
        <v>-4</v>
      </c>
      <c r="CM147" s="165">
        <v>1000</v>
      </c>
      <c r="CN147" s="93">
        <v>88118.87</v>
      </c>
      <c r="CO147" s="108">
        <f>CM147+CN147</f>
        <v>89118.87</v>
      </c>
      <c r="CP147" s="108">
        <f>CN147/10</f>
        <v>8811.8869999999988</v>
      </c>
      <c r="CR147" s="82">
        <f>CR$4</f>
        <v>12</v>
      </c>
      <c r="CS147" s="80">
        <f t="shared" si="188"/>
        <v>459.83333333333331</v>
      </c>
      <c r="CT147" s="80">
        <f t="shared" si="189"/>
        <v>7343.2391666666663</v>
      </c>
      <c r="CU147" s="80">
        <f t="shared" si="190"/>
        <v>734.32391666666661</v>
      </c>
      <c r="CW147" s="80">
        <f t="shared" si="191"/>
        <v>5518</v>
      </c>
      <c r="CX147" s="80">
        <f t="shared" si="192"/>
        <v>88118.87</v>
      </c>
      <c r="CY147" s="80">
        <f t="shared" si="193"/>
        <v>8811.8869999999988</v>
      </c>
    </row>
    <row r="148" spans="1:103" outlineLevel="1" x14ac:dyDescent="0.2">
      <c r="A148" s="120"/>
      <c r="B148" s="72"/>
      <c r="C148" s="57" t="s">
        <v>1629</v>
      </c>
      <c r="D148" s="57" t="s">
        <v>1886</v>
      </c>
      <c r="E148" s="65" t="s">
        <v>1389</v>
      </c>
      <c r="F148" s="57" t="s">
        <v>1454</v>
      </c>
      <c r="G148" s="62" t="s">
        <v>1556</v>
      </c>
      <c r="H148" s="129" t="b">
        <v>0</v>
      </c>
      <c r="J148" s="123" t="s">
        <v>1866</v>
      </c>
      <c r="K148" s="123" t="s">
        <v>1866</v>
      </c>
      <c r="L148" s="123" t="s">
        <v>1866</v>
      </c>
      <c r="M148" s="137" t="b">
        <v>0</v>
      </c>
      <c r="Q148" s="128" t="b">
        <v>1</v>
      </c>
      <c r="R148" s="127" t="s">
        <v>1559</v>
      </c>
      <c r="S148" s="135" t="b">
        <v>1</v>
      </c>
      <c r="T148" s="126">
        <v>13</v>
      </c>
      <c r="U148" s="124">
        <v>1.4999999999999999E-2</v>
      </c>
      <c r="V148" s="126">
        <v>75</v>
      </c>
      <c r="W148" s="126">
        <v>-75</v>
      </c>
      <c r="X148" s="124">
        <v>50</v>
      </c>
      <c r="Y148" s="124">
        <v>5</v>
      </c>
      <c r="Z148" s="128" t="b">
        <v>1</v>
      </c>
      <c r="AA148" s="127" t="s">
        <v>1867</v>
      </c>
      <c r="AB148" s="133">
        <v>2</v>
      </c>
      <c r="AC148" s="137" t="b">
        <v>0</v>
      </c>
      <c r="AE148" s="137" t="b">
        <v>0</v>
      </c>
      <c r="AG148" s="135" t="b">
        <v>1</v>
      </c>
      <c r="AH148" s="125">
        <v>5</v>
      </c>
      <c r="AI148" s="125">
        <v>13</v>
      </c>
      <c r="AJ148" s="125">
        <v>34</v>
      </c>
      <c r="AK148" s="125">
        <v>89</v>
      </c>
      <c r="AL148" s="129" t="b">
        <v>0</v>
      </c>
      <c r="AM148" s="128" t="b">
        <v>1</v>
      </c>
      <c r="AN148" s="131" t="s">
        <v>1469</v>
      </c>
      <c r="AO148" s="141">
        <v>1.0000000000000001E-5</v>
      </c>
      <c r="AP148" s="128" t="b">
        <v>1</v>
      </c>
      <c r="AQ148" s="141">
        <v>1.0000000000000001E-5</v>
      </c>
      <c r="AR148" s="126">
        <v>5</v>
      </c>
      <c r="AS148" s="126">
        <v>8</v>
      </c>
      <c r="AT148" s="126">
        <v>5</v>
      </c>
      <c r="AU148" s="128" t="b">
        <v>1</v>
      </c>
      <c r="AV148" s="124">
        <v>3</v>
      </c>
      <c r="AW148" s="146">
        <v>5</v>
      </c>
      <c r="AX148" s="124">
        <v>1</v>
      </c>
      <c r="AY148" s="128" t="b">
        <v>1</v>
      </c>
      <c r="AZ148" s="122" t="s">
        <v>1586</v>
      </c>
      <c r="BA148" s="122">
        <v>4</v>
      </c>
      <c r="BB148" s="126">
        <v>0.05</v>
      </c>
      <c r="BC148" s="126">
        <v>0.5</v>
      </c>
      <c r="BD148" s="129" t="b">
        <v>0</v>
      </c>
      <c r="BE148" s="122" t="s">
        <v>1873</v>
      </c>
      <c r="BF148" s="128" t="b">
        <v>1</v>
      </c>
      <c r="BG148" s="122" t="s">
        <v>1578</v>
      </c>
      <c r="BH148" s="133">
        <v>0.02</v>
      </c>
      <c r="BI148" s="156" t="s">
        <v>403</v>
      </c>
      <c r="BJ148" s="128" t="b">
        <v>1</v>
      </c>
      <c r="BK148" s="161">
        <v>1.5</v>
      </c>
      <c r="BL148" s="129" t="b">
        <v>0</v>
      </c>
      <c r="BM148" s="156" t="s">
        <v>412</v>
      </c>
      <c r="BN148" s="128" t="b">
        <v>1</v>
      </c>
      <c r="BO148" s="156" t="s">
        <v>1382</v>
      </c>
      <c r="BP148" s="157">
        <v>1</v>
      </c>
      <c r="BQ148" s="157">
        <v>0.5</v>
      </c>
      <c r="BR148" s="166" t="str">
        <f t="shared" si="185"/>
        <v>5/ 13/ 34/ 89</v>
      </c>
      <c r="BS148" s="166" t="str">
        <f>AR148&amp;" / "&amp;AS148&amp;" / "&amp;AT148</f>
        <v>5 / 8 / 5</v>
      </c>
      <c r="BT148" s="166" t="str">
        <f>BB148&amp;" / "&amp;BC148</f>
        <v>0.05 / 0.5</v>
      </c>
      <c r="BU148" s="66">
        <v>2207</v>
      </c>
      <c r="BV148" s="66">
        <v>1305</v>
      </c>
      <c r="BW148" s="66">
        <v>1142</v>
      </c>
      <c r="BX148" s="99">
        <f>BV148-BW148</f>
        <v>163</v>
      </c>
      <c r="BY148" s="66">
        <v>125</v>
      </c>
      <c r="BZ148" s="92">
        <f>BU148-SUM(BW148:BY148)</f>
        <v>777</v>
      </c>
      <c r="CA148" s="204">
        <f t="shared" si="186"/>
        <v>0.59130040779338466</v>
      </c>
      <c r="CB148" s="205">
        <f t="shared" si="187"/>
        <v>5.6637970095151792E-2</v>
      </c>
      <c r="CC148" s="87">
        <v>6.96</v>
      </c>
      <c r="CD148" s="87">
        <v>39.92</v>
      </c>
      <c r="CE148" s="87">
        <v>0.52</v>
      </c>
      <c r="CF148" s="170">
        <f>BK148</f>
        <v>1.5</v>
      </c>
      <c r="CG148" s="87">
        <v>0.57999999999999996</v>
      </c>
      <c r="CH148" s="87">
        <v>0.44</v>
      </c>
      <c r="CI148" s="93">
        <v>6484.4</v>
      </c>
      <c r="CJ148" s="87">
        <v>4.97</v>
      </c>
      <c r="CK148" s="87">
        <v>4.99</v>
      </c>
      <c r="CL148" s="87">
        <v>-5.81</v>
      </c>
      <c r="CM148" s="165">
        <v>1000</v>
      </c>
      <c r="CN148" s="93">
        <v>88094.3</v>
      </c>
      <c r="CO148" s="108">
        <f>CM148+CN148</f>
        <v>89094.3</v>
      </c>
      <c r="CP148" s="108">
        <f>CN148/10</f>
        <v>8809.43</v>
      </c>
      <c r="CR148" s="82">
        <f>CR$4</f>
        <v>12</v>
      </c>
      <c r="CS148" s="80">
        <f t="shared" si="188"/>
        <v>540.36666666666667</v>
      </c>
      <c r="CT148" s="80">
        <f t="shared" si="189"/>
        <v>7341.1916666666666</v>
      </c>
      <c r="CU148" s="80">
        <f t="shared" si="190"/>
        <v>734.11916666666662</v>
      </c>
      <c r="CW148" s="80">
        <f t="shared" si="191"/>
        <v>6484.4</v>
      </c>
      <c r="CX148" s="80">
        <f t="shared" si="192"/>
        <v>88094.3</v>
      </c>
      <c r="CY148" s="80">
        <f t="shared" si="193"/>
        <v>8809.43</v>
      </c>
    </row>
    <row r="149" spans="1:103" outlineLevel="1" x14ac:dyDescent="0.2">
      <c r="A149" s="120"/>
      <c r="B149" s="72"/>
      <c r="C149" s="57" t="s">
        <v>1633</v>
      </c>
      <c r="D149" s="57" t="s">
        <v>1886</v>
      </c>
      <c r="E149" s="65" t="s">
        <v>1389</v>
      </c>
      <c r="F149" s="57" t="s">
        <v>1454</v>
      </c>
      <c r="G149" s="62" t="s">
        <v>1556</v>
      </c>
      <c r="H149" s="129" t="b">
        <v>0</v>
      </c>
      <c r="J149" s="123" t="s">
        <v>1866</v>
      </c>
      <c r="K149" s="123" t="s">
        <v>1866</v>
      </c>
      <c r="L149" s="123" t="s">
        <v>1866</v>
      </c>
      <c r="M149" s="137" t="b">
        <v>0</v>
      </c>
      <c r="Q149" s="128" t="b">
        <v>1</v>
      </c>
      <c r="R149" s="127" t="s">
        <v>1559</v>
      </c>
      <c r="S149" s="135" t="b">
        <v>1</v>
      </c>
      <c r="T149" s="126">
        <v>13</v>
      </c>
      <c r="U149" s="124">
        <v>1.4999999999999999E-2</v>
      </c>
      <c r="V149" s="126">
        <v>75</v>
      </c>
      <c r="W149" s="126">
        <v>-75</v>
      </c>
      <c r="X149" s="124">
        <v>50</v>
      </c>
      <c r="Y149" s="124">
        <v>5</v>
      </c>
      <c r="Z149" s="128" t="b">
        <v>1</v>
      </c>
      <c r="AA149" s="127" t="s">
        <v>1867</v>
      </c>
      <c r="AB149" s="133">
        <v>2</v>
      </c>
      <c r="AC149" s="137" t="b">
        <v>0</v>
      </c>
      <c r="AE149" s="137" t="b">
        <v>0</v>
      </c>
      <c r="AG149" s="135" t="b">
        <v>1</v>
      </c>
      <c r="AH149" s="125">
        <v>5</v>
      </c>
      <c r="AI149" s="125">
        <v>13</v>
      </c>
      <c r="AJ149" s="125">
        <v>34</v>
      </c>
      <c r="AK149" s="125">
        <v>89</v>
      </c>
      <c r="AL149" s="129" t="b">
        <v>0</v>
      </c>
      <c r="AM149" s="128" t="b">
        <v>1</v>
      </c>
      <c r="AN149" s="131" t="s">
        <v>1469</v>
      </c>
      <c r="AO149" s="141">
        <v>1.0000000000000001E-5</v>
      </c>
      <c r="AP149" s="128" t="b">
        <v>1</v>
      </c>
      <c r="AQ149" s="141">
        <v>1.0000000000000001E-5</v>
      </c>
      <c r="AR149" s="126">
        <v>5</v>
      </c>
      <c r="AS149" s="126">
        <v>8</v>
      </c>
      <c r="AT149" s="126">
        <v>5</v>
      </c>
      <c r="AU149" s="128" t="b">
        <v>1</v>
      </c>
      <c r="AV149" s="124">
        <v>3</v>
      </c>
      <c r="AW149" s="146">
        <v>5</v>
      </c>
      <c r="AX149" s="124">
        <v>1</v>
      </c>
      <c r="AY149" s="128" t="b">
        <v>1</v>
      </c>
      <c r="AZ149" s="122" t="s">
        <v>1586</v>
      </c>
      <c r="BA149" s="122">
        <v>4</v>
      </c>
      <c r="BB149" s="126">
        <v>0.05</v>
      </c>
      <c r="BC149" s="126">
        <v>0.5</v>
      </c>
      <c r="BD149" s="129" t="b">
        <v>0</v>
      </c>
      <c r="BE149" s="122" t="s">
        <v>1873</v>
      </c>
      <c r="BF149" s="128" t="b">
        <v>1</v>
      </c>
      <c r="BG149" s="122" t="s">
        <v>1578</v>
      </c>
      <c r="BH149" s="133">
        <v>0.02</v>
      </c>
      <c r="BI149" s="156" t="s">
        <v>403</v>
      </c>
      <c r="BJ149" s="128" t="b">
        <v>1</v>
      </c>
      <c r="BK149" s="161">
        <v>1.5</v>
      </c>
      <c r="BL149" s="129" t="b">
        <v>0</v>
      </c>
      <c r="BM149" s="156" t="s">
        <v>412</v>
      </c>
      <c r="BN149" s="128" t="b">
        <v>1</v>
      </c>
      <c r="BO149" s="156" t="s">
        <v>1382</v>
      </c>
      <c r="BP149" s="157">
        <v>1</v>
      </c>
      <c r="BQ149" s="157">
        <v>0.5</v>
      </c>
      <c r="BR149" s="166" t="str">
        <f t="shared" si="185"/>
        <v>5/ 13/ 34/ 89</v>
      </c>
      <c r="BS149" s="166" t="str">
        <f>AR149&amp;" / "&amp;AS149&amp;" / "&amp;AT149</f>
        <v>5 / 8 / 5</v>
      </c>
      <c r="BT149" s="166" t="str">
        <f>BB149&amp;" / "&amp;BC149</f>
        <v>0.05 / 0.5</v>
      </c>
      <c r="BU149" s="66">
        <v>3171</v>
      </c>
      <c r="BV149" s="66">
        <v>1884</v>
      </c>
      <c r="BW149" s="66">
        <v>1660</v>
      </c>
      <c r="BX149" s="99">
        <f>BV149-BW149</f>
        <v>224</v>
      </c>
      <c r="BY149" s="66">
        <v>213</v>
      </c>
      <c r="BZ149" s="92">
        <f>BU149-SUM(BW149:BY149)</f>
        <v>1074</v>
      </c>
      <c r="CA149" s="204">
        <f t="shared" si="186"/>
        <v>0.59413434247871333</v>
      </c>
      <c r="CB149" s="205">
        <f t="shared" si="187"/>
        <v>6.7171239356669826E-2</v>
      </c>
      <c r="CC149" s="87">
        <v>6.55</v>
      </c>
      <c r="CD149" s="87">
        <v>43.14</v>
      </c>
      <c r="CE149" s="87">
        <v>0.53</v>
      </c>
      <c r="CF149" s="170">
        <f>BK149</f>
        <v>1.5</v>
      </c>
      <c r="CG149" s="87">
        <v>0.61</v>
      </c>
      <c r="CH149" s="87">
        <v>0.48</v>
      </c>
      <c r="CI149" s="93">
        <v>10721.7</v>
      </c>
      <c r="CJ149" s="87">
        <v>5.69</v>
      </c>
      <c r="CK149" s="87">
        <v>5.08</v>
      </c>
      <c r="CL149" s="87">
        <v>-5.43</v>
      </c>
      <c r="CM149" s="165">
        <v>1000</v>
      </c>
      <c r="CN149" s="93">
        <v>136800.62</v>
      </c>
      <c r="CO149" s="108">
        <f>CM149+CN149</f>
        <v>137800.62</v>
      </c>
      <c r="CP149" s="108">
        <f>CN149/10</f>
        <v>13680.062</v>
      </c>
      <c r="CR149" s="82">
        <f>CR$4</f>
        <v>12</v>
      </c>
      <c r="CS149" s="80">
        <f t="shared" si="188"/>
        <v>893.47500000000002</v>
      </c>
      <c r="CT149" s="80">
        <f t="shared" si="189"/>
        <v>11400.051666666666</v>
      </c>
      <c r="CU149" s="80">
        <f t="shared" si="190"/>
        <v>1140.0051666666666</v>
      </c>
      <c r="CW149" s="80">
        <f t="shared" si="191"/>
        <v>10721.7</v>
      </c>
      <c r="CX149" s="80">
        <f t="shared" si="192"/>
        <v>136800.62</v>
      </c>
      <c r="CY149" s="80">
        <f t="shared" si="193"/>
        <v>13680.062</v>
      </c>
    </row>
    <row r="150" spans="1:103" outlineLevel="1" x14ac:dyDescent="0.2">
      <c r="G150" s="113"/>
      <c r="AE150" s="124"/>
      <c r="AO150" s="127"/>
      <c r="AQ150" s="138"/>
    </row>
    <row r="151" spans="1:103" x14ac:dyDescent="0.2">
      <c r="A151" s="120"/>
      <c r="B151" s="72" t="s">
        <v>1887</v>
      </c>
      <c r="C151" s="57" t="s">
        <v>1387</v>
      </c>
      <c r="D151" s="57" t="s">
        <v>1440</v>
      </c>
      <c r="E151" s="65" t="s">
        <v>1389</v>
      </c>
      <c r="F151" s="57" t="s">
        <v>1454</v>
      </c>
      <c r="G151" s="62" t="s">
        <v>1556</v>
      </c>
      <c r="H151" s="129" t="b">
        <v>0</v>
      </c>
      <c r="J151" s="123" t="s">
        <v>1866</v>
      </c>
      <c r="K151" s="123" t="s">
        <v>1866</v>
      </c>
      <c r="L151" s="123" t="s">
        <v>1866</v>
      </c>
      <c r="M151" s="137" t="b">
        <v>0</v>
      </c>
      <c r="Q151" s="128" t="b">
        <v>1</v>
      </c>
      <c r="R151" s="127" t="s">
        <v>1559</v>
      </c>
      <c r="S151" s="135" t="b">
        <v>1</v>
      </c>
      <c r="T151" s="126">
        <v>13</v>
      </c>
      <c r="U151" s="124">
        <v>1.4999999999999999E-2</v>
      </c>
      <c r="V151" s="126">
        <v>75</v>
      </c>
      <c r="W151" s="126">
        <v>-75</v>
      </c>
      <c r="X151" s="124">
        <v>50</v>
      </c>
      <c r="Y151" s="124">
        <v>5</v>
      </c>
      <c r="Z151" s="128" t="b">
        <v>1</v>
      </c>
      <c r="AA151" s="127" t="s">
        <v>1867</v>
      </c>
      <c r="AB151" s="133">
        <v>2</v>
      </c>
      <c r="AC151" s="137" t="b">
        <v>0</v>
      </c>
      <c r="AE151" s="137" t="b">
        <v>0</v>
      </c>
      <c r="AG151" s="135" t="b">
        <v>1</v>
      </c>
      <c r="AH151" s="125">
        <v>5</v>
      </c>
      <c r="AI151" s="125">
        <v>13</v>
      </c>
      <c r="AJ151" s="125">
        <v>34</v>
      </c>
      <c r="AK151" s="125">
        <v>89</v>
      </c>
      <c r="AL151" s="129" t="b">
        <v>0</v>
      </c>
      <c r="AM151" s="128" t="b">
        <v>1</v>
      </c>
      <c r="AN151" s="131" t="s">
        <v>1469</v>
      </c>
      <c r="AO151" s="141">
        <v>1.0000000000000001E-5</v>
      </c>
      <c r="AP151" s="128" t="b">
        <v>1</v>
      </c>
      <c r="AQ151" s="141">
        <v>1.0000000000000001E-5</v>
      </c>
      <c r="AR151" s="126">
        <v>5</v>
      </c>
      <c r="AS151" s="126">
        <v>8</v>
      </c>
      <c r="AT151" s="126">
        <v>5</v>
      </c>
      <c r="AU151" s="128" t="b">
        <v>1</v>
      </c>
      <c r="AV151" s="124">
        <v>3</v>
      </c>
      <c r="AW151" s="146">
        <v>5</v>
      </c>
      <c r="AX151" s="124">
        <v>1</v>
      </c>
      <c r="AY151" s="128" t="b">
        <v>1</v>
      </c>
      <c r="AZ151" s="122" t="s">
        <v>1586</v>
      </c>
      <c r="BA151" s="122">
        <v>4</v>
      </c>
      <c r="BB151" s="126">
        <v>0.05</v>
      </c>
      <c r="BC151" s="126">
        <v>0.5</v>
      </c>
      <c r="BD151" s="129" t="b">
        <v>0</v>
      </c>
      <c r="BE151" s="122" t="s">
        <v>1873</v>
      </c>
      <c r="BF151" s="128" t="b">
        <v>1</v>
      </c>
      <c r="BG151" s="122" t="s">
        <v>1578</v>
      </c>
      <c r="BH151" s="133">
        <v>0.02</v>
      </c>
      <c r="BI151" s="156" t="s">
        <v>403</v>
      </c>
      <c r="BJ151" s="128" t="b">
        <v>1</v>
      </c>
      <c r="BK151" s="161">
        <v>1.5</v>
      </c>
      <c r="BL151" s="129" t="b">
        <v>0</v>
      </c>
      <c r="BM151" s="156" t="s">
        <v>412</v>
      </c>
      <c r="BN151" s="128" t="b">
        <v>1</v>
      </c>
      <c r="BO151" s="156" t="s">
        <v>1382</v>
      </c>
      <c r="BP151" s="157">
        <v>1</v>
      </c>
      <c r="BQ151" s="157">
        <v>0.5</v>
      </c>
      <c r="BR151" s="166" t="str">
        <f t="shared" ref="BR151:BR155" si="194">AH151&amp;"/ "&amp;AI151&amp;"/ "&amp;AJ151&amp;"/ "&amp;AK151</f>
        <v>5/ 13/ 34/ 89</v>
      </c>
      <c r="BS151" s="166" t="str">
        <f>AR151&amp;" / "&amp;AS151&amp;" / "&amp;AT151</f>
        <v>5 / 8 / 5</v>
      </c>
      <c r="BT151" s="166" t="str">
        <f>BB151&amp;" / "&amp;BC151</f>
        <v>0.05 / 0.5</v>
      </c>
      <c r="BU151" s="66">
        <v>1654</v>
      </c>
      <c r="BV151" s="66">
        <v>1010</v>
      </c>
      <c r="BW151" s="66">
        <v>834</v>
      </c>
      <c r="BX151" s="99">
        <f>BV151-BW151</f>
        <v>176</v>
      </c>
      <c r="BY151" s="66">
        <v>160</v>
      </c>
      <c r="BZ151" s="92">
        <f>BU151-SUM(BW151:BY151)</f>
        <v>484</v>
      </c>
      <c r="CA151" s="204">
        <f>IF(BU151=0,0,BV151/BU151)</f>
        <v>0.61064087061668681</v>
      </c>
      <c r="CB151" s="205">
        <f>IF(BU151=0,0,BY151/BU151)</f>
        <v>9.6735187424425634E-2</v>
      </c>
      <c r="CC151" s="87">
        <v>5.54</v>
      </c>
      <c r="CD151" s="87">
        <v>44.26</v>
      </c>
      <c r="CE151" s="87">
        <v>0.5</v>
      </c>
      <c r="CF151" s="170">
        <f>BK151</f>
        <v>1.5</v>
      </c>
      <c r="CG151" s="87">
        <v>0.66</v>
      </c>
      <c r="CH151" s="87">
        <v>0.52</v>
      </c>
      <c r="CI151" s="93">
        <v>14285.8</v>
      </c>
      <c r="CJ151" s="87">
        <v>14.14</v>
      </c>
      <c r="CK151" s="87">
        <v>13.92</v>
      </c>
      <c r="CL151" s="87">
        <v>-5.47</v>
      </c>
      <c r="CM151" s="165">
        <v>1000</v>
      </c>
      <c r="CN151" s="103">
        <v>73205.37</v>
      </c>
      <c r="CO151" s="112">
        <f>CM151+CN151</f>
        <v>74205.37</v>
      </c>
      <c r="CP151" s="112">
        <f>CN151/10</f>
        <v>7320.5369999999994</v>
      </c>
      <c r="CR151" s="82">
        <f>CR$4</f>
        <v>12</v>
      </c>
      <c r="CS151" s="80">
        <f>CI151/CR151</f>
        <v>1190.4833333333333</v>
      </c>
      <c r="CT151" s="80">
        <f>CN151/CR151</f>
        <v>6100.4474999999993</v>
      </c>
      <c r="CU151" s="80">
        <f>CT151/10</f>
        <v>610.04474999999991</v>
      </c>
      <c r="CW151" s="80">
        <f>CI151</f>
        <v>14285.8</v>
      </c>
      <c r="CX151" s="80">
        <f>CN151</f>
        <v>73205.37</v>
      </c>
      <c r="CY151" s="80">
        <f>CP151</f>
        <v>7320.5369999999994</v>
      </c>
    </row>
    <row r="152" spans="1:103" outlineLevel="1" x14ac:dyDescent="0.2">
      <c r="A152" s="120"/>
      <c r="B152" s="72"/>
      <c r="C152" s="57" t="s">
        <v>1627</v>
      </c>
      <c r="D152" s="57" t="s">
        <v>1440</v>
      </c>
      <c r="E152" s="65" t="s">
        <v>1389</v>
      </c>
      <c r="F152" s="57" t="s">
        <v>1454</v>
      </c>
      <c r="G152" s="62" t="s">
        <v>1556</v>
      </c>
      <c r="H152" s="129" t="b">
        <v>0</v>
      </c>
      <c r="J152" s="123" t="s">
        <v>1866</v>
      </c>
      <c r="K152" s="123" t="s">
        <v>1866</v>
      </c>
      <c r="L152" s="123" t="s">
        <v>1866</v>
      </c>
      <c r="M152" s="137" t="b">
        <v>0</v>
      </c>
      <c r="Q152" s="128" t="b">
        <v>1</v>
      </c>
      <c r="R152" s="127" t="s">
        <v>1559</v>
      </c>
      <c r="S152" s="135" t="b">
        <v>1</v>
      </c>
      <c r="T152" s="126">
        <v>13</v>
      </c>
      <c r="U152" s="124">
        <v>1.4999999999999999E-2</v>
      </c>
      <c r="V152" s="126">
        <v>75</v>
      </c>
      <c r="W152" s="126">
        <v>-75</v>
      </c>
      <c r="X152" s="124">
        <v>50</v>
      </c>
      <c r="Y152" s="124">
        <v>5</v>
      </c>
      <c r="Z152" s="128" t="b">
        <v>1</v>
      </c>
      <c r="AA152" s="127" t="s">
        <v>1867</v>
      </c>
      <c r="AB152" s="133">
        <v>2</v>
      </c>
      <c r="AC152" s="137" t="b">
        <v>0</v>
      </c>
      <c r="AE152" s="137" t="b">
        <v>0</v>
      </c>
      <c r="AG152" s="135" t="b">
        <v>1</v>
      </c>
      <c r="AH152" s="125">
        <v>5</v>
      </c>
      <c r="AI152" s="125">
        <v>13</v>
      </c>
      <c r="AJ152" s="125">
        <v>34</v>
      </c>
      <c r="AK152" s="125">
        <v>89</v>
      </c>
      <c r="AL152" s="129" t="b">
        <v>0</v>
      </c>
      <c r="AM152" s="128" t="b">
        <v>1</v>
      </c>
      <c r="AN152" s="131" t="s">
        <v>1469</v>
      </c>
      <c r="AO152" s="141">
        <v>1.0000000000000001E-5</v>
      </c>
      <c r="AP152" s="128" t="b">
        <v>1</v>
      </c>
      <c r="AQ152" s="141">
        <v>1.0000000000000001E-5</v>
      </c>
      <c r="AR152" s="126">
        <v>5</v>
      </c>
      <c r="AS152" s="126">
        <v>8</v>
      </c>
      <c r="AT152" s="126">
        <v>5</v>
      </c>
      <c r="AU152" s="128" t="b">
        <v>1</v>
      </c>
      <c r="AV152" s="124">
        <v>3</v>
      </c>
      <c r="AW152" s="146">
        <v>5</v>
      </c>
      <c r="AX152" s="124">
        <v>1</v>
      </c>
      <c r="AY152" s="128" t="b">
        <v>1</v>
      </c>
      <c r="AZ152" s="122" t="s">
        <v>1586</v>
      </c>
      <c r="BA152" s="122">
        <v>4</v>
      </c>
      <c r="BB152" s="126">
        <v>0.05</v>
      </c>
      <c r="BC152" s="126">
        <v>0.5</v>
      </c>
      <c r="BD152" s="129" t="b">
        <v>0</v>
      </c>
      <c r="BE152" s="122" t="s">
        <v>1873</v>
      </c>
      <c r="BF152" s="128" t="b">
        <v>1</v>
      </c>
      <c r="BG152" s="122" t="s">
        <v>1578</v>
      </c>
      <c r="BH152" s="133">
        <v>0.02</v>
      </c>
      <c r="BI152" s="156" t="s">
        <v>403</v>
      </c>
      <c r="BJ152" s="128" t="b">
        <v>1</v>
      </c>
      <c r="BK152" s="161">
        <v>1.5</v>
      </c>
      <c r="BL152" s="129" t="b">
        <v>0</v>
      </c>
      <c r="BM152" s="156" t="s">
        <v>412</v>
      </c>
      <c r="BN152" s="128" t="b">
        <v>1</v>
      </c>
      <c r="BO152" s="156" t="s">
        <v>1382</v>
      </c>
      <c r="BP152" s="157">
        <v>1</v>
      </c>
      <c r="BQ152" s="157">
        <v>0.5</v>
      </c>
      <c r="BR152" s="166" t="str">
        <f t="shared" si="194"/>
        <v>5/ 13/ 34/ 89</v>
      </c>
      <c r="BS152" s="166" t="str">
        <f>AR152&amp;" / "&amp;AS152&amp;" / "&amp;AT152</f>
        <v>5 / 8 / 5</v>
      </c>
      <c r="BT152" s="166" t="str">
        <f>BB152&amp;" / "&amp;BC152</f>
        <v>0.05 / 0.5</v>
      </c>
      <c r="BU152" s="66">
        <v>1719</v>
      </c>
      <c r="BV152" s="66">
        <v>983</v>
      </c>
      <c r="BW152" s="66">
        <v>814</v>
      </c>
      <c r="BX152" s="99">
        <f>BV152-BW152</f>
        <v>169</v>
      </c>
      <c r="BY152" s="66">
        <v>182</v>
      </c>
      <c r="BZ152" s="92">
        <f>BU152-SUM(BW152:BY152)</f>
        <v>554</v>
      </c>
      <c r="CA152" s="204">
        <f t="shared" ref="CA152:CA155" si="195">IF(BU152=0,0,BV152/BU152)</f>
        <v>0.57184409540430481</v>
      </c>
      <c r="CB152" s="205">
        <f t="shared" ref="CB152:CB155" si="196">IF(BU152=0,0,BY152/BU152)</f>
        <v>0.10587550901687028</v>
      </c>
      <c r="CC152" s="87">
        <v>4.05</v>
      </c>
      <c r="CD152" s="87">
        <v>36.090000000000003</v>
      </c>
      <c r="CE152" s="87">
        <v>0.42</v>
      </c>
      <c r="CF152" s="170">
        <f>BK152</f>
        <v>1.5</v>
      </c>
      <c r="CG152" s="87">
        <v>0.63</v>
      </c>
      <c r="CH152" s="87">
        <v>0.49</v>
      </c>
      <c r="CI152" s="93">
        <v>14124</v>
      </c>
      <c r="CJ152" s="87">
        <v>14.37</v>
      </c>
      <c r="CK152" s="87">
        <v>15.68</v>
      </c>
      <c r="CL152" s="87">
        <v>-3.71</v>
      </c>
      <c r="CM152" s="165">
        <v>1000</v>
      </c>
      <c r="CN152" s="102">
        <v>62041.52</v>
      </c>
      <c r="CO152" s="110">
        <f>CM152+CN152</f>
        <v>63041.52</v>
      </c>
      <c r="CP152" s="110">
        <f>CN152/10</f>
        <v>6204.152</v>
      </c>
      <c r="CR152" s="82">
        <f>CR$4</f>
        <v>12</v>
      </c>
      <c r="CS152" s="80">
        <f t="shared" ref="CS152:CS155" si="197">CI152/CR152</f>
        <v>1177</v>
      </c>
      <c r="CT152" s="80">
        <f t="shared" ref="CT152:CT155" si="198">CN152/CR152</f>
        <v>5170.1266666666661</v>
      </c>
      <c r="CU152" s="80">
        <f t="shared" ref="CU152:CU155" si="199">CT152/10</f>
        <v>517.01266666666663</v>
      </c>
      <c r="CW152" s="80">
        <f t="shared" ref="CW152:CW155" si="200">CI152</f>
        <v>14124</v>
      </c>
      <c r="CX152" s="80">
        <f t="shared" ref="CX152:CX155" si="201">CN152</f>
        <v>62041.52</v>
      </c>
      <c r="CY152" s="80">
        <f t="shared" ref="CY152:CY155" si="202">CP152</f>
        <v>6204.152</v>
      </c>
    </row>
    <row r="153" spans="1:103" outlineLevel="1" x14ac:dyDescent="0.2">
      <c r="A153" s="120"/>
      <c r="B153" s="72"/>
      <c r="C153" s="57" t="s">
        <v>1635</v>
      </c>
      <c r="D153" s="57" t="s">
        <v>1440</v>
      </c>
      <c r="E153" s="65" t="s">
        <v>1389</v>
      </c>
      <c r="F153" s="57" t="s">
        <v>1454</v>
      </c>
      <c r="G153" s="62" t="s">
        <v>1556</v>
      </c>
      <c r="H153" s="129" t="b">
        <v>0</v>
      </c>
      <c r="J153" s="123" t="s">
        <v>1866</v>
      </c>
      <c r="K153" s="123" t="s">
        <v>1866</v>
      </c>
      <c r="L153" s="123" t="s">
        <v>1866</v>
      </c>
      <c r="M153" s="137" t="b">
        <v>0</v>
      </c>
      <c r="Q153" s="128" t="b">
        <v>1</v>
      </c>
      <c r="R153" s="127" t="s">
        <v>1559</v>
      </c>
      <c r="S153" s="135" t="b">
        <v>1</v>
      </c>
      <c r="T153" s="126">
        <v>13</v>
      </c>
      <c r="U153" s="124">
        <v>1.4999999999999999E-2</v>
      </c>
      <c r="V153" s="126">
        <v>75</v>
      </c>
      <c r="W153" s="126">
        <v>-75</v>
      </c>
      <c r="X153" s="124">
        <v>50</v>
      </c>
      <c r="Y153" s="124">
        <v>5</v>
      </c>
      <c r="Z153" s="128" t="b">
        <v>1</v>
      </c>
      <c r="AA153" s="127" t="s">
        <v>1867</v>
      </c>
      <c r="AB153" s="133">
        <v>2</v>
      </c>
      <c r="AC153" s="137" t="b">
        <v>0</v>
      </c>
      <c r="AE153" s="137" t="b">
        <v>0</v>
      </c>
      <c r="AG153" s="135" t="b">
        <v>1</v>
      </c>
      <c r="AH153" s="125">
        <v>5</v>
      </c>
      <c r="AI153" s="125">
        <v>13</v>
      </c>
      <c r="AJ153" s="125">
        <v>34</v>
      </c>
      <c r="AK153" s="125">
        <v>89</v>
      </c>
      <c r="AL153" s="129" t="b">
        <v>0</v>
      </c>
      <c r="AM153" s="128" t="b">
        <v>1</v>
      </c>
      <c r="AN153" s="131" t="s">
        <v>1469</v>
      </c>
      <c r="AO153" s="141">
        <v>1.0000000000000001E-5</v>
      </c>
      <c r="AP153" s="128" t="b">
        <v>1</v>
      </c>
      <c r="AQ153" s="141">
        <v>1.0000000000000001E-5</v>
      </c>
      <c r="AR153" s="126">
        <v>5</v>
      </c>
      <c r="AS153" s="126">
        <v>8</v>
      </c>
      <c r="AT153" s="126">
        <v>5</v>
      </c>
      <c r="AU153" s="128" t="b">
        <v>1</v>
      </c>
      <c r="AV153" s="124">
        <v>3</v>
      </c>
      <c r="AW153" s="146">
        <v>5</v>
      </c>
      <c r="AX153" s="124">
        <v>1</v>
      </c>
      <c r="AY153" s="128" t="b">
        <v>1</v>
      </c>
      <c r="AZ153" s="122" t="s">
        <v>1586</v>
      </c>
      <c r="BA153" s="122">
        <v>4</v>
      </c>
      <c r="BB153" s="126">
        <v>0.05</v>
      </c>
      <c r="BC153" s="126">
        <v>0.5</v>
      </c>
      <c r="BD153" s="129" t="b">
        <v>0</v>
      </c>
      <c r="BE153" s="122" t="s">
        <v>1873</v>
      </c>
      <c r="BF153" s="128" t="b">
        <v>1</v>
      </c>
      <c r="BG153" s="122" t="s">
        <v>1578</v>
      </c>
      <c r="BH153" s="133">
        <v>0.02</v>
      </c>
      <c r="BI153" s="156" t="s">
        <v>403</v>
      </c>
      <c r="BJ153" s="128" t="b">
        <v>1</v>
      </c>
      <c r="BK153" s="161">
        <v>1.5</v>
      </c>
      <c r="BL153" s="129" t="b">
        <v>0</v>
      </c>
      <c r="BM153" s="156" t="s">
        <v>412</v>
      </c>
      <c r="BN153" s="128" t="b">
        <v>1</v>
      </c>
      <c r="BO153" s="156" t="s">
        <v>1382</v>
      </c>
      <c r="BP153" s="157">
        <v>1</v>
      </c>
      <c r="BQ153" s="157">
        <v>0.5</v>
      </c>
      <c r="BR153" s="166" t="str">
        <f t="shared" si="194"/>
        <v>5/ 13/ 34/ 89</v>
      </c>
      <c r="BS153" s="166" t="str">
        <f>AR153&amp;" / "&amp;AS153&amp;" / "&amp;AT153</f>
        <v>5 / 8 / 5</v>
      </c>
      <c r="BT153" s="166" t="str">
        <f>BB153&amp;" / "&amp;BC153</f>
        <v>0.05 / 0.5</v>
      </c>
      <c r="BU153" s="66">
        <v>1048</v>
      </c>
      <c r="BV153" s="66">
        <v>608</v>
      </c>
      <c r="BW153" s="66">
        <v>552</v>
      </c>
      <c r="BX153" s="99">
        <f>BV153-BW153</f>
        <v>56</v>
      </c>
      <c r="BY153" s="66">
        <v>69</v>
      </c>
      <c r="BZ153" s="92">
        <f>BU153-SUM(BW153:BY153)</f>
        <v>371</v>
      </c>
      <c r="CA153" s="204">
        <f t="shared" si="195"/>
        <v>0.58015267175572516</v>
      </c>
      <c r="CB153" s="205">
        <f t="shared" si="196"/>
        <v>6.5839694656488548E-2</v>
      </c>
      <c r="CC153" s="87">
        <v>6.53</v>
      </c>
      <c r="CD153" s="87">
        <v>33.33</v>
      </c>
      <c r="CE153" s="87">
        <v>0.48</v>
      </c>
      <c r="CF153" s="170">
        <f>BK153</f>
        <v>1.5</v>
      </c>
      <c r="CG153" s="87">
        <v>0.56999999999999995</v>
      </c>
      <c r="CH153" s="87">
        <v>0.44</v>
      </c>
      <c r="CI153" s="93">
        <v>4002.2</v>
      </c>
      <c r="CJ153" s="87">
        <v>6.58</v>
      </c>
      <c r="CK153" s="87">
        <v>5.95</v>
      </c>
      <c r="CL153" s="87">
        <v>-3.89</v>
      </c>
      <c r="CM153" s="165">
        <v>1000</v>
      </c>
      <c r="CN153" s="93">
        <v>34929.43</v>
      </c>
      <c r="CO153" s="108">
        <f>CM153+CN153</f>
        <v>35929.43</v>
      </c>
      <c r="CP153" s="108">
        <f>CN153/10</f>
        <v>3492.9430000000002</v>
      </c>
      <c r="CR153" s="82">
        <f>CR$4</f>
        <v>12</v>
      </c>
      <c r="CS153" s="80">
        <f t="shared" si="197"/>
        <v>333.51666666666665</v>
      </c>
      <c r="CT153" s="80">
        <f t="shared" si="198"/>
        <v>2910.7858333333334</v>
      </c>
      <c r="CU153" s="80">
        <f t="shared" si="199"/>
        <v>291.07858333333331</v>
      </c>
      <c r="CW153" s="80">
        <f t="shared" si="200"/>
        <v>4002.2</v>
      </c>
      <c r="CX153" s="80">
        <f t="shared" si="201"/>
        <v>34929.43</v>
      </c>
      <c r="CY153" s="80">
        <f t="shared" si="202"/>
        <v>3492.9430000000002</v>
      </c>
    </row>
    <row r="154" spans="1:103" outlineLevel="1" x14ac:dyDescent="0.2">
      <c r="A154" s="120"/>
      <c r="B154" s="72"/>
      <c r="C154" s="57" t="s">
        <v>1629</v>
      </c>
      <c r="D154" s="57" t="s">
        <v>1440</v>
      </c>
      <c r="E154" s="65" t="s">
        <v>1389</v>
      </c>
      <c r="F154" s="57" t="s">
        <v>1454</v>
      </c>
      <c r="G154" s="62" t="s">
        <v>1556</v>
      </c>
      <c r="H154" s="129" t="b">
        <v>0</v>
      </c>
      <c r="J154" s="123" t="s">
        <v>1866</v>
      </c>
      <c r="K154" s="123" t="s">
        <v>1866</v>
      </c>
      <c r="L154" s="123" t="s">
        <v>1866</v>
      </c>
      <c r="M154" s="137" t="b">
        <v>0</v>
      </c>
      <c r="Q154" s="128" t="b">
        <v>1</v>
      </c>
      <c r="R154" s="127" t="s">
        <v>1559</v>
      </c>
      <c r="S154" s="135" t="b">
        <v>1</v>
      </c>
      <c r="T154" s="126">
        <v>13</v>
      </c>
      <c r="U154" s="124">
        <v>1.4999999999999999E-2</v>
      </c>
      <c r="V154" s="126">
        <v>75</v>
      </c>
      <c r="W154" s="126">
        <v>-75</v>
      </c>
      <c r="X154" s="124">
        <v>50</v>
      </c>
      <c r="Y154" s="124">
        <v>5</v>
      </c>
      <c r="Z154" s="128" t="b">
        <v>1</v>
      </c>
      <c r="AA154" s="127" t="s">
        <v>1867</v>
      </c>
      <c r="AB154" s="133">
        <v>2</v>
      </c>
      <c r="AC154" s="137" t="b">
        <v>0</v>
      </c>
      <c r="AE154" s="137" t="b">
        <v>0</v>
      </c>
      <c r="AG154" s="135" t="b">
        <v>1</v>
      </c>
      <c r="AH154" s="125">
        <v>5</v>
      </c>
      <c r="AI154" s="125">
        <v>13</v>
      </c>
      <c r="AJ154" s="125">
        <v>34</v>
      </c>
      <c r="AK154" s="125">
        <v>89</v>
      </c>
      <c r="AL154" s="129" t="b">
        <v>0</v>
      </c>
      <c r="AM154" s="128" t="b">
        <v>1</v>
      </c>
      <c r="AN154" s="131" t="s">
        <v>1469</v>
      </c>
      <c r="AO154" s="141">
        <v>1.0000000000000001E-5</v>
      </c>
      <c r="AP154" s="128" t="b">
        <v>1</v>
      </c>
      <c r="AQ154" s="141">
        <v>1.0000000000000001E-5</v>
      </c>
      <c r="AR154" s="126">
        <v>5</v>
      </c>
      <c r="AS154" s="126">
        <v>8</v>
      </c>
      <c r="AT154" s="126">
        <v>5</v>
      </c>
      <c r="AU154" s="128" t="b">
        <v>1</v>
      </c>
      <c r="AV154" s="124">
        <v>3</v>
      </c>
      <c r="AW154" s="146">
        <v>5</v>
      </c>
      <c r="AX154" s="124">
        <v>1</v>
      </c>
      <c r="AY154" s="128" t="b">
        <v>1</v>
      </c>
      <c r="AZ154" s="122" t="s">
        <v>1586</v>
      </c>
      <c r="BA154" s="122">
        <v>4</v>
      </c>
      <c r="BB154" s="126">
        <v>0.05</v>
      </c>
      <c r="BC154" s="126">
        <v>0.5</v>
      </c>
      <c r="BD154" s="129" t="b">
        <v>0</v>
      </c>
      <c r="BE154" s="122" t="s">
        <v>1873</v>
      </c>
      <c r="BF154" s="128" t="b">
        <v>1</v>
      </c>
      <c r="BG154" s="122" t="s">
        <v>1578</v>
      </c>
      <c r="BH154" s="133">
        <v>0.02</v>
      </c>
      <c r="BI154" s="156" t="s">
        <v>403</v>
      </c>
      <c r="BJ154" s="128" t="b">
        <v>1</v>
      </c>
      <c r="BK154" s="161">
        <v>1.5</v>
      </c>
      <c r="BL154" s="129" t="b">
        <v>0</v>
      </c>
      <c r="BM154" s="156" t="s">
        <v>412</v>
      </c>
      <c r="BN154" s="128" t="b">
        <v>1</v>
      </c>
      <c r="BO154" s="156" t="s">
        <v>1382</v>
      </c>
      <c r="BP154" s="157">
        <v>1</v>
      </c>
      <c r="BQ154" s="157">
        <v>0.5</v>
      </c>
      <c r="BR154" s="166" t="str">
        <f t="shared" si="194"/>
        <v>5/ 13/ 34/ 89</v>
      </c>
      <c r="BS154" s="166" t="str">
        <f>AR154&amp;" / "&amp;AS154&amp;" / "&amp;AT154</f>
        <v>5 / 8 / 5</v>
      </c>
      <c r="BT154" s="166" t="str">
        <f>BB154&amp;" / "&amp;BC154</f>
        <v>0.05 / 0.5</v>
      </c>
      <c r="BU154" s="66">
        <v>1073</v>
      </c>
      <c r="BV154" s="66">
        <v>642</v>
      </c>
      <c r="BW154" s="66">
        <v>561</v>
      </c>
      <c r="BX154" s="99">
        <f>BV154-BW154</f>
        <v>81</v>
      </c>
      <c r="BY154" s="66">
        <v>82</v>
      </c>
      <c r="BZ154" s="92">
        <f>BU154-SUM(BW154:BY154)</f>
        <v>349</v>
      </c>
      <c r="CA154" s="204">
        <f t="shared" si="195"/>
        <v>0.59832246039142589</v>
      </c>
      <c r="CB154" s="205">
        <f t="shared" si="196"/>
        <v>7.6421248835041936E-2</v>
      </c>
      <c r="CC154" s="87">
        <v>6.17</v>
      </c>
      <c r="CD154" s="87">
        <v>36.31</v>
      </c>
      <c r="CE154" s="87">
        <v>0.49</v>
      </c>
      <c r="CF154" s="170">
        <f>BK154</f>
        <v>1.5</v>
      </c>
      <c r="CG154" s="87">
        <v>0.6</v>
      </c>
      <c r="CH154" s="87">
        <v>0.46</v>
      </c>
      <c r="CI154" s="93">
        <v>4937.6000000000004</v>
      </c>
      <c r="CJ154" s="87">
        <v>7.69</v>
      </c>
      <c r="CK154" s="87">
        <v>7.18</v>
      </c>
      <c r="CL154" s="87">
        <v>-4.25</v>
      </c>
      <c r="CM154" s="165">
        <v>1000</v>
      </c>
      <c r="CN154" s="93">
        <v>38958.33</v>
      </c>
      <c r="CO154" s="108">
        <f>CM154+CN154</f>
        <v>39958.33</v>
      </c>
      <c r="CP154" s="108">
        <f>CN154/10</f>
        <v>3895.8330000000001</v>
      </c>
      <c r="CR154" s="82">
        <f>CR$4</f>
        <v>12</v>
      </c>
      <c r="CS154" s="80">
        <f t="shared" si="197"/>
        <v>411.4666666666667</v>
      </c>
      <c r="CT154" s="80">
        <f t="shared" si="198"/>
        <v>3246.5275000000001</v>
      </c>
      <c r="CU154" s="80">
        <f t="shared" si="199"/>
        <v>324.65275000000003</v>
      </c>
      <c r="CW154" s="80">
        <f t="shared" si="200"/>
        <v>4937.6000000000004</v>
      </c>
      <c r="CX154" s="80">
        <f t="shared" si="201"/>
        <v>38958.33</v>
      </c>
      <c r="CY154" s="80">
        <f t="shared" si="202"/>
        <v>3895.8330000000001</v>
      </c>
    </row>
    <row r="155" spans="1:103" outlineLevel="1" x14ac:dyDescent="0.2">
      <c r="A155" s="120"/>
      <c r="B155" s="72"/>
      <c r="C155" s="57" t="s">
        <v>1633</v>
      </c>
      <c r="D155" s="57" t="s">
        <v>1440</v>
      </c>
      <c r="E155" s="65" t="s">
        <v>1389</v>
      </c>
      <c r="F155" s="57" t="s">
        <v>1454</v>
      </c>
      <c r="G155" s="62" t="s">
        <v>1556</v>
      </c>
      <c r="H155" s="129" t="b">
        <v>0</v>
      </c>
      <c r="J155" s="123" t="s">
        <v>1866</v>
      </c>
      <c r="K155" s="123" t="s">
        <v>1866</v>
      </c>
      <c r="L155" s="123" t="s">
        <v>1866</v>
      </c>
      <c r="M155" s="137" t="b">
        <v>0</v>
      </c>
      <c r="Q155" s="128" t="b">
        <v>1</v>
      </c>
      <c r="R155" s="127" t="s">
        <v>1559</v>
      </c>
      <c r="S155" s="135" t="b">
        <v>1</v>
      </c>
      <c r="T155" s="126">
        <v>13</v>
      </c>
      <c r="U155" s="124">
        <v>1.4999999999999999E-2</v>
      </c>
      <c r="V155" s="126">
        <v>75</v>
      </c>
      <c r="W155" s="126">
        <v>-75</v>
      </c>
      <c r="X155" s="124">
        <v>50</v>
      </c>
      <c r="Y155" s="124">
        <v>5</v>
      </c>
      <c r="Z155" s="128" t="b">
        <v>1</v>
      </c>
      <c r="AA155" s="127" t="s">
        <v>1867</v>
      </c>
      <c r="AB155" s="133">
        <v>2</v>
      </c>
      <c r="AC155" s="137" t="b">
        <v>0</v>
      </c>
      <c r="AE155" s="137" t="b">
        <v>0</v>
      </c>
      <c r="AG155" s="135" t="b">
        <v>1</v>
      </c>
      <c r="AH155" s="125">
        <v>5</v>
      </c>
      <c r="AI155" s="125">
        <v>13</v>
      </c>
      <c r="AJ155" s="125">
        <v>34</v>
      </c>
      <c r="AK155" s="125">
        <v>89</v>
      </c>
      <c r="AL155" s="129" t="b">
        <v>0</v>
      </c>
      <c r="AM155" s="128" t="b">
        <v>1</v>
      </c>
      <c r="AN155" s="131" t="s">
        <v>1469</v>
      </c>
      <c r="AO155" s="141">
        <v>1.0000000000000001E-5</v>
      </c>
      <c r="AP155" s="128" t="b">
        <v>1</v>
      </c>
      <c r="AQ155" s="141">
        <v>1.0000000000000001E-5</v>
      </c>
      <c r="AR155" s="126">
        <v>5</v>
      </c>
      <c r="AS155" s="126">
        <v>8</v>
      </c>
      <c r="AT155" s="126">
        <v>5</v>
      </c>
      <c r="AU155" s="128" t="b">
        <v>1</v>
      </c>
      <c r="AV155" s="124">
        <v>3</v>
      </c>
      <c r="AW155" s="146">
        <v>5</v>
      </c>
      <c r="AX155" s="124">
        <v>1</v>
      </c>
      <c r="AY155" s="128" t="b">
        <v>1</v>
      </c>
      <c r="AZ155" s="122" t="s">
        <v>1586</v>
      </c>
      <c r="BA155" s="122">
        <v>4</v>
      </c>
      <c r="BB155" s="126">
        <v>0.05</v>
      </c>
      <c r="BC155" s="126">
        <v>0.5</v>
      </c>
      <c r="BD155" s="129" t="b">
        <v>0</v>
      </c>
      <c r="BE155" s="122" t="s">
        <v>1873</v>
      </c>
      <c r="BF155" s="128" t="b">
        <v>1</v>
      </c>
      <c r="BG155" s="122" t="s">
        <v>1578</v>
      </c>
      <c r="BH155" s="133">
        <v>0.02</v>
      </c>
      <c r="BI155" s="156" t="s">
        <v>403</v>
      </c>
      <c r="BJ155" s="128" t="b">
        <v>1</v>
      </c>
      <c r="BK155" s="161">
        <v>1.5</v>
      </c>
      <c r="BL155" s="129" t="b">
        <v>0</v>
      </c>
      <c r="BM155" s="156" t="s">
        <v>412</v>
      </c>
      <c r="BN155" s="128" t="b">
        <v>1</v>
      </c>
      <c r="BO155" s="156" t="s">
        <v>1382</v>
      </c>
      <c r="BP155" s="157">
        <v>1</v>
      </c>
      <c r="BQ155" s="157">
        <v>0.5</v>
      </c>
      <c r="BR155" s="166" t="str">
        <f t="shared" si="194"/>
        <v>5/ 13/ 34/ 89</v>
      </c>
      <c r="BS155" s="166" t="str">
        <f>AR155&amp;" / "&amp;AS155&amp;" / "&amp;AT155</f>
        <v>5 / 8 / 5</v>
      </c>
      <c r="BT155" s="166" t="str">
        <f>BB155&amp;" / "&amp;BC155</f>
        <v>0.05 / 0.5</v>
      </c>
      <c r="BU155" s="66">
        <v>1355</v>
      </c>
      <c r="BV155" s="66">
        <v>774</v>
      </c>
      <c r="BW155" s="66">
        <v>669</v>
      </c>
      <c r="BX155" s="99">
        <f>BV155-BW155</f>
        <v>105</v>
      </c>
      <c r="BY155" s="66">
        <v>120</v>
      </c>
      <c r="BZ155" s="92">
        <f>BU155-SUM(BW155:BY155)</f>
        <v>461</v>
      </c>
      <c r="CA155" s="204">
        <f t="shared" si="195"/>
        <v>0.57121771217712181</v>
      </c>
      <c r="CB155" s="205">
        <f t="shared" si="196"/>
        <v>8.8560885608856083E-2</v>
      </c>
      <c r="CC155" s="87">
        <v>4.79</v>
      </c>
      <c r="CD155" s="87">
        <v>34.49</v>
      </c>
      <c r="CE155" s="87">
        <v>0.45</v>
      </c>
      <c r="CF155" s="170">
        <f>BK155</f>
        <v>1.5</v>
      </c>
      <c r="CG155" s="87">
        <v>0.6</v>
      </c>
      <c r="CH155" s="87">
        <v>0.49</v>
      </c>
      <c r="CI155" s="93">
        <v>6909.7</v>
      </c>
      <c r="CJ155" s="87">
        <v>8.93</v>
      </c>
      <c r="CK155" s="87">
        <v>7.91</v>
      </c>
      <c r="CL155" s="87">
        <v>-6.29</v>
      </c>
      <c r="CM155" s="165">
        <v>1000</v>
      </c>
      <c r="CN155" s="93">
        <v>46735.12</v>
      </c>
      <c r="CO155" s="108">
        <f>CM155+CN155</f>
        <v>47735.12</v>
      </c>
      <c r="CP155" s="108">
        <f>CN155/10</f>
        <v>4673.5120000000006</v>
      </c>
      <c r="CR155" s="82">
        <f>CR$4</f>
        <v>12</v>
      </c>
      <c r="CS155" s="80">
        <f t="shared" si="197"/>
        <v>575.80833333333328</v>
      </c>
      <c r="CT155" s="80">
        <f t="shared" si="198"/>
        <v>3894.5933333333337</v>
      </c>
      <c r="CU155" s="80">
        <f t="shared" si="199"/>
        <v>389.45933333333335</v>
      </c>
      <c r="CW155" s="80">
        <f t="shared" si="200"/>
        <v>6909.7</v>
      </c>
      <c r="CX155" s="80">
        <f t="shared" si="201"/>
        <v>46735.12</v>
      </c>
      <c r="CY155" s="80">
        <f t="shared" si="202"/>
        <v>4673.5120000000006</v>
      </c>
    </row>
    <row r="156" spans="1:103" outlineLevel="1" x14ac:dyDescent="0.2">
      <c r="AE156" s="124"/>
    </row>
    <row r="157" spans="1:103" x14ac:dyDescent="0.2">
      <c r="A157" s="120"/>
      <c r="B157" s="72" t="s">
        <v>1892</v>
      </c>
      <c r="C157" s="57" t="s">
        <v>1387</v>
      </c>
      <c r="D157" s="57" t="s">
        <v>1888</v>
      </c>
      <c r="E157" s="65" t="s">
        <v>1389</v>
      </c>
      <c r="F157" s="57" t="s">
        <v>1454</v>
      </c>
      <c r="G157" s="62" t="s">
        <v>1556</v>
      </c>
      <c r="H157" s="129" t="b">
        <v>0</v>
      </c>
      <c r="J157" s="123" t="s">
        <v>1866</v>
      </c>
      <c r="K157" s="123" t="s">
        <v>1866</v>
      </c>
      <c r="L157" s="123" t="s">
        <v>1866</v>
      </c>
      <c r="M157" s="137" t="b">
        <v>0</v>
      </c>
      <c r="Q157" s="128" t="b">
        <v>1</v>
      </c>
      <c r="R157" s="127" t="s">
        <v>1559</v>
      </c>
      <c r="S157" s="135" t="b">
        <v>1</v>
      </c>
      <c r="T157" s="126">
        <v>13</v>
      </c>
      <c r="U157" s="124">
        <v>1.4999999999999999E-2</v>
      </c>
      <c r="V157" s="126">
        <v>75</v>
      </c>
      <c r="W157" s="126">
        <v>-75</v>
      </c>
      <c r="X157" s="124">
        <v>50</v>
      </c>
      <c r="Y157" s="124">
        <v>5</v>
      </c>
      <c r="Z157" s="128" t="b">
        <v>1</v>
      </c>
      <c r="AA157" s="127" t="s">
        <v>1867</v>
      </c>
      <c r="AB157" s="133">
        <v>2</v>
      </c>
      <c r="AC157" s="137" t="b">
        <v>0</v>
      </c>
      <c r="AE157" s="137" t="b">
        <v>0</v>
      </c>
      <c r="AG157" s="135" t="b">
        <v>1</v>
      </c>
      <c r="AH157" s="125">
        <v>5</v>
      </c>
      <c r="AI157" s="125">
        <v>13</v>
      </c>
      <c r="AJ157" s="125">
        <v>34</v>
      </c>
      <c r="AK157" s="125">
        <v>89</v>
      </c>
      <c r="AL157" s="129" t="b">
        <v>0</v>
      </c>
      <c r="AM157" s="128" t="b">
        <v>1</v>
      </c>
      <c r="AN157" s="131" t="s">
        <v>1469</v>
      </c>
      <c r="AO157" s="141">
        <v>1.0000000000000001E-5</v>
      </c>
      <c r="AP157" s="128" t="b">
        <v>1</v>
      </c>
      <c r="AQ157" s="141">
        <v>1.0000000000000001E-5</v>
      </c>
      <c r="AR157" s="126">
        <v>5</v>
      </c>
      <c r="AS157" s="126">
        <v>8</v>
      </c>
      <c r="AT157" s="126">
        <v>5</v>
      </c>
      <c r="AU157" s="128" t="b">
        <v>1</v>
      </c>
      <c r="AV157" s="124">
        <v>3</v>
      </c>
      <c r="AW157" s="146">
        <v>5</v>
      </c>
      <c r="AX157" s="124">
        <v>1</v>
      </c>
      <c r="AY157" s="128" t="b">
        <v>1</v>
      </c>
      <c r="AZ157" s="122" t="s">
        <v>1586</v>
      </c>
      <c r="BA157" s="122">
        <v>4</v>
      </c>
      <c r="BB157" s="126">
        <v>0.05</v>
      </c>
      <c r="BC157" s="126">
        <v>0.5</v>
      </c>
      <c r="BD157" s="129" t="b">
        <v>0</v>
      </c>
      <c r="BE157" s="122" t="s">
        <v>1873</v>
      </c>
      <c r="BF157" s="128" t="b">
        <v>1</v>
      </c>
      <c r="BG157" s="122" t="s">
        <v>1578</v>
      </c>
      <c r="BH157" s="133">
        <v>0.02</v>
      </c>
      <c r="BI157" s="156" t="s">
        <v>403</v>
      </c>
      <c r="BJ157" s="128" t="b">
        <v>1</v>
      </c>
      <c r="BK157" s="161">
        <v>1.5</v>
      </c>
      <c r="BL157" s="129" t="b">
        <v>0</v>
      </c>
      <c r="BM157" s="156" t="s">
        <v>412</v>
      </c>
      <c r="BN157" s="128" t="b">
        <v>1</v>
      </c>
      <c r="BO157" s="156" t="s">
        <v>1382</v>
      </c>
      <c r="BP157" s="157">
        <v>1</v>
      </c>
      <c r="BQ157" s="157">
        <v>0.5</v>
      </c>
      <c r="BR157" s="166" t="str">
        <f t="shared" ref="BR157:BR161" si="203">AH157&amp;"/ "&amp;AI157&amp;"/ "&amp;AJ157&amp;"/ "&amp;AK157</f>
        <v>5/ 13/ 34/ 89</v>
      </c>
      <c r="BS157" s="166" t="str">
        <f>AR157&amp;" / "&amp;AS157&amp;" / "&amp;AT157</f>
        <v>5 / 8 / 5</v>
      </c>
      <c r="BT157" s="166" t="str">
        <f>BB157&amp;" / "&amp;BC157</f>
        <v>0.05 / 0.5</v>
      </c>
      <c r="BU157" s="66">
        <v>418</v>
      </c>
      <c r="BV157" s="66">
        <v>254</v>
      </c>
      <c r="BW157" s="66">
        <v>201</v>
      </c>
      <c r="BX157" s="99">
        <f>BV157-BW157</f>
        <v>53</v>
      </c>
      <c r="BY157" s="66">
        <v>42</v>
      </c>
      <c r="BZ157" s="92">
        <f>BU157-SUM(BW157:BY157)</f>
        <v>122</v>
      </c>
      <c r="CA157" s="204">
        <f>IF(BU157=0,0,BV157/BU157)</f>
        <v>0.60765550239234445</v>
      </c>
      <c r="CB157" s="205">
        <f>IF(BU157=0,0,BY157/BU157)</f>
        <v>0.10047846889952153</v>
      </c>
      <c r="CC157" s="87">
        <v>7.16</v>
      </c>
      <c r="CD157" s="87">
        <v>29.64</v>
      </c>
      <c r="CE157" s="87">
        <v>0.46</v>
      </c>
      <c r="CF157" s="170">
        <f>BK157</f>
        <v>1.5</v>
      </c>
      <c r="CG157" s="87">
        <v>0.69</v>
      </c>
      <c r="CH157" s="87">
        <v>0.51</v>
      </c>
      <c r="CI157" s="93">
        <v>7556.7</v>
      </c>
      <c r="CJ157" s="87">
        <v>29.75</v>
      </c>
      <c r="CK157" s="87">
        <v>27.72</v>
      </c>
      <c r="CL157" s="87">
        <v>-5.59</v>
      </c>
      <c r="CM157" s="165">
        <v>1000</v>
      </c>
      <c r="CN157" s="103">
        <v>12388.64</v>
      </c>
      <c r="CO157" s="112">
        <f>CM157+CN157</f>
        <v>13388.64</v>
      </c>
      <c r="CP157" s="112">
        <f>CN157/10</f>
        <v>1238.864</v>
      </c>
      <c r="CR157" s="82">
        <f>CR$4</f>
        <v>12</v>
      </c>
      <c r="CS157" s="80">
        <f>CI157/CR157</f>
        <v>629.72500000000002</v>
      </c>
      <c r="CT157" s="80">
        <f>CN157/CR157</f>
        <v>1032.3866666666665</v>
      </c>
      <c r="CU157" s="80">
        <f>CT157/10</f>
        <v>103.23866666666666</v>
      </c>
      <c r="CW157" s="80">
        <f>CI157</f>
        <v>7556.7</v>
      </c>
      <c r="CX157" s="80">
        <f>CN157</f>
        <v>12388.64</v>
      </c>
      <c r="CY157" s="80">
        <f>CP157</f>
        <v>1238.864</v>
      </c>
    </row>
    <row r="158" spans="1:103" outlineLevel="1" x14ac:dyDescent="0.2">
      <c r="A158" s="120"/>
      <c r="B158" s="72"/>
      <c r="C158" s="57" t="s">
        <v>1627</v>
      </c>
      <c r="D158" s="57" t="s">
        <v>1888</v>
      </c>
      <c r="E158" s="65" t="s">
        <v>1389</v>
      </c>
      <c r="F158" s="57" t="s">
        <v>1454</v>
      </c>
      <c r="G158" s="62" t="s">
        <v>1556</v>
      </c>
      <c r="H158" s="129" t="b">
        <v>0</v>
      </c>
      <c r="J158" s="123" t="s">
        <v>1866</v>
      </c>
      <c r="K158" s="123" t="s">
        <v>1866</v>
      </c>
      <c r="L158" s="123" t="s">
        <v>1866</v>
      </c>
      <c r="M158" s="137" t="b">
        <v>0</v>
      </c>
      <c r="Q158" s="128" t="b">
        <v>1</v>
      </c>
      <c r="R158" s="127" t="s">
        <v>1559</v>
      </c>
      <c r="S158" s="135" t="b">
        <v>1</v>
      </c>
      <c r="T158" s="126">
        <v>13</v>
      </c>
      <c r="U158" s="124">
        <v>1.4999999999999999E-2</v>
      </c>
      <c r="V158" s="126">
        <v>75</v>
      </c>
      <c r="W158" s="126">
        <v>-75</v>
      </c>
      <c r="X158" s="124">
        <v>50</v>
      </c>
      <c r="Y158" s="124">
        <v>5</v>
      </c>
      <c r="Z158" s="128" t="b">
        <v>1</v>
      </c>
      <c r="AA158" s="127" t="s">
        <v>1867</v>
      </c>
      <c r="AB158" s="133">
        <v>2</v>
      </c>
      <c r="AC158" s="137" t="b">
        <v>0</v>
      </c>
      <c r="AE158" s="137" t="b">
        <v>0</v>
      </c>
      <c r="AG158" s="135" t="b">
        <v>1</v>
      </c>
      <c r="AH158" s="125">
        <v>5</v>
      </c>
      <c r="AI158" s="125">
        <v>13</v>
      </c>
      <c r="AJ158" s="125">
        <v>34</v>
      </c>
      <c r="AK158" s="125">
        <v>89</v>
      </c>
      <c r="AL158" s="129" t="b">
        <v>0</v>
      </c>
      <c r="AM158" s="128" t="b">
        <v>1</v>
      </c>
      <c r="AN158" s="131" t="s">
        <v>1469</v>
      </c>
      <c r="AO158" s="141">
        <v>1.0000000000000001E-5</v>
      </c>
      <c r="AP158" s="128" t="b">
        <v>1</v>
      </c>
      <c r="AQ158" s="141">
        <v>1.0000000000000001E-5</v>
      </c>
      <c r="AR158" s="126">
        <v>5</v>
      </c>
      <c r="AS158" s="126">
        <v>8</v>
      </c>
      <c r="AT158" s="126">
        <v>5</v>
      </c>
      <c r="AU158" s="128" t="b">
        <v>1</v>
      </c>
      <c r="AV158" s="124">
        <v>3</v>
      </c>
      <c r="AW158" s="146">
        <v>5</v>
      </c>
      <c r="AX158" s="124">
        <v>1</v>
      </c>
      <c r="AY158" s="128" t="b">
        <v>1</v>
      </c>
      <c r="AZ158" s="122" t="s">
        <v>1586</v>
      </c>
      <c r="BA158" s="122">
        <v>4</v>
      </c>
      <c r="BB158" s="126">
        <v>0.05</v>
      </c>
      <c r="BC158" s="126">
        <v>0.5</v>
      </c>
      <c r="BD158" s="129" t="b">
        <v>0</v>
      </c>
      <c r="BE158" s="122" t="s">
        <v>1873</v>
      </c>
      <c r="BF158" s="128" t="b">
        <v>1</v>
      </c>
      <c r="BG158" s="122" t="s">
        <v>1578</v>
      </c>
      <c r="BH158" s="133">
        <v>0.02</v>
      </c>
      <c r="BI158" s="156" t="s">
        <v>403</v>
      </c>
      <c r="BJ158" s="128" t="b">
        <v>1</v>
      </c>
      <c r="BK158" s="161">
        <v>1.5</v>
      </c>
      <c r="BL158" s="129" t="b">
        <v>0</v>
      </c>
      <c r="BM158" s="156" t="s">
        <v>412</v>
      </c>
      <c r="BN158" s="128" t="b">
        <v>1</v>
      </c>
      <c r="BO158" s="156" t="s">
        <v>1382</v>
      </c>
      <c r="BP158" s="157">
        <v>1</v>
      </c>
      <c r="BQ158" s="157">
        <v>0.5</v>
      </c>
      <c r="BR158" s="166" t="str">
        <f t="shared" si="203"/>
        <v>5/ 13/ 34/ 89</v>
      </c>
      <c r="BS158" s="166" t="str">
        <f>AR158&amp;" / "&amp;AS158&amp;" / "&amp;AT158</f>
        <v>5 / 8 / 5</v>
      </c>
      <c r="BT158" s="166" t="str">
        <f>BB158&amp;" / "&amp;BC158</f>
        <v>0.05 / 0.5</v>
      </c>
      <c r="BU158" s="66">
        <v>446</v>
      </c>
      <c r="BV158" s="66">
        <v>253</v>
      </c>
      <c r="BW158" s="66">
        <v>212</v>
      </c>
      <c r="BX158" s="99">
        <f>BV158-BW158</f>
        <v>41</v>
      </c>
      <c r="BY158" s="66">
        <v>50</v>
      </c>
      <c r="BZ158" s="92">
        <f>BU158-SUM(BW158:BY158)</f>
        <v>143</v>
      </c>
      <c r="CA158" s="204">
        <f t="shared" ref="CA158:CA161" si="204">IF(BU158=0,0,BV158/BU158)</f>
        <v>0.56726457399103136</v>
      </c>
      <c r="CB158" s="205">
        <f t="shared" ref="CB158:CB161" si="205">IF(BU158=0,0,BY158/BU158)</f>
        <v>0.11210762331838565</v>
      </c>
      <c r="CC158" s="87">
        <v>3.67</v>
      </c>
      <c r="CD158" s="87">
        <v>19.86</v>
      </c>
      <c r="CE158" s="87">
        <v>0.35</v>
      </c>
      <c r="CF158" s="170">
        <f>BK158</f>
        <v>1.5</v>
      </c>
      <c r="CG158" s="87">
        <v>0.61</v>
      </c>
      <c r="CH158" s="87">
        <v>0.46</v>
      </c>
      <c r="CI158" s="93">
        <v>7123.2</v>
      </c>
      <c r="CJ158" s="87">
        <v>28.15</v>
      </c>
      <c r="CK158" s="87">
        <v>27.18</v>
      </c>
      <c r="CL158" s="87">
        <v>-4.9000000000000004</v>
      </c>
      <c r="CM158" s="165">
        <v>1000</v>
      </c>
      <c r="CN158" s="102">
        <v>8056.95</v>
      </c>
      <c r="CO158" s="110">
        <f>CM158+CN158</f>
        <v>9056.9500000000007</v>
      </c>
      <c r="CP158" s="110">
        <f>CN158/10</f>
        <v>805.69499999999994</v>
      </c>
      <c r="CR158" s="82">
        <f>CR$4</f>
        <v>12</v>
      </c>
      <c r="CS158" s="80">
        <f t="shared" ref="CS158:CS161" si="206">CI158/CR158</f>
        <v>593.6</v>
      </c>
      <c r="CT158" s="80">
        <f t="shared" ref="CT158:CT161" si="207">CN158/CR158</f>
        <v>671.41250000000002</v>
      </c>
      <c r="CU158" s="80">
        <f t="shared" ref="CU158:CU161" si="208">CT158/10</f>
        <v>67.141249999999999</v>
      </c>
      <c r="CW158" s="80">
        <f t="shared" ref="CW158:CW161" si="209">CI158</f>
        <v>7123.2</v>
      </c>
      <c r="CX158" s="80">
        <f t="shared" ref="CX158:CX161" si="210">CN158</f>
        <v>8056.95</v>
      </c>
      <c r="CY158" s="80">
        <f t="shared" ref="CY158:CY161" si="211">CP158</f>
        <v>805.69499999999994</v>
      </c>
    </row>
    <row r="159" spans="1:103" outlineLevel="1" x14ac:dyDescent="0.2">
      <c r="A159" s="120"/>
      <c r="B159" s="72"/>
      <c r="C159" s="57" t="s">
        <v>1635</v>
      </c>
      <c r="D159" s="57" t="s">
        <v>1888</v>
      </c>
      <c r="E159" s="65" t="s">
        <v>1389</v>
      </c>
      <c r="F159" s="57" t="s">
        <v>1454</v>
      </c>
      <c r="G159" s="62" t="s">
        <v>1556</v>
      </c>
      <c r="H159" s="129" t="b">
        <v>0</v>
      </c>
      <c r="J159" s="123" t="s">
        <v>1866</v>
      </c>
      <c r="K159" s="123" t="s">
        <v>1866</v>
      </c>
      <c r="L159" s="123" t="s">
        <v>1866</v>
      </c>
      <c r="M159" s="137" t="b">
        <v>0</v>
      </c>
      <c r="Q159" s="128" t="b">
        <v>1</v>
      </c>
      <c r="R159" s="127" t="s">
        <v>1559</v>
      </c>
      <c r="S159" s="135" t="b">
        <v>1</v>
      </c>
      <c r="T159" s="126">
        <v>13</v>
      </c>
      <c r="U159" s="124">
        <v>1.4999999999999999E-2</v>
      </c>
      <c r="V159" s="126">
        <v>75</v>
      </c>
      <c r="W159" s="126">
        <v>-75</v>
      </c>
      <c r="X159" s="124">
        <v>50</v>
      </c>
      <c r="Y159" s="124">
        <v>5</v>
      </c>
      <c r="Z159" s="128" t="b">
        <v>1</v>
      </c>
      <c r="AA159" s="127" t="s">
        <v>1867</v>
      </c>
      <c r="AB159" s="133">
        <v>2</v>
      </c>
      <c r="AC159" s="137" t="b">
        <v>0</v>
      </c>
      <c r="AE159" s="137" t="b">
        <v>0</v>
      </c>
      <c r="AG159" s="135" t="b">
        <v>1</v>
      </c>
      <c r="AH159" s="125">
        <v>5</v>
      </c>
      <c r="AI159" s="125">
        <v>13</v>
      </c>
      <c r="AJ159" s="125">
        <v>34</v>
      </c>
      <c r="AK159" s="125">
        <v>89</v>
      </c>
      <c r="AL159" s="129" t="b">
        <v>0</v>
      </c>
      <c r="AM159" s="128" t="b">
        <v>1</v>
      </c>
      <c r="AN159" s="131" t="s">
        <v>1469</v>
      </c>
      <c r="AO159" s="141">
        <v>1.0000000000000001E-5</v>
      </c>
      <c r="AP159" s="128" t="b">
        <v>1</v>
      </c>
      <c r="AQ159" s="141">
        <v>1.0000000000000001E-5</v>
      </c>
      <c r="AR159" s="126">
        <v>5</v>
      </c>
      <c r="AS159" s="126">
        <v>8</v>
      </c>
      <c r="AT159" s="126">
        <v>5</v>
      </c>
      <c r="AU159" s="128" t="b">
        <v>1</v>
      </c>
      <c r="AV159" s="124">
        <v>3</v>
      </c>
      <c r="AW159" s="146">
        <v>5</v>
      </c>
      <c r="AX159" s="124">
        <v>1</v>
      </c>
      <c r="AY159" s="128" t="b">
        <v>1</v>
      </c>
      <c r="AZ159" s="122" t="s">
        <v>1586</v>
      </c>
      <c r="BA159" s="122">
        <v>4</v>
      </c>
      <c r="BB159" s="126">
        <v>0.05</v>
      </c>
      <c r="BC159" s="126">
        <v>0.5</v>
      </c>
      <c r="BD159" s="129" t="b">
        <v>0</v>
      </c>
      <c r="BE159" s="122" t="s">
        <v>1873</v>
      </c>
      <c r="BF159" s="128" t="b">
        <v>1</v>
      </c>
      <c r="BG159" s="122" t="s">
        <v>1578</v>
      </c>
      <c r="BH159" s="133">
        <v>0.02</v>
      </c>
      <c r="BI159" s="156" t="s">
        <v>403</v>
      </c>
      <c r="BJ159" s="128" t="b">
        <v>1</v>
      </c>
      <c r="BK159" s="161">
        <v>1.5</v>
      </c>
      <c r="BL159" s="129" t="b">
        <v>0</v>
      </c>
      <c r="BM159" s="156" t="s">
        <v>412</v>
      </c>
      <c r="BN159" s="128" t="b">
        <v>1</v>
      </c>
      <c r="BO159" s="156" t="s">
        <v>1382</v>
      </c>
      <c r="BP159" s="157">
        <v>1</v>
      </c>
      <c r="BQ159" s="157">
        <v>0.5</v>
      </c>
      <c r="BR159" s="166" t="str">
        <f t="shared" si="203"/>
        <v>5/ 13/ 34/ 89</v>
      </c>
      <c r="BS159" s="166" t="str">
        <f>AR159&amp;" / "&amp;AS159&amp;" / "&amp;AT159</f>
        <v>5 / 8 / 5</v>
      </c>
      <c r="BT159" s="166" t="str">
        <f>BB159&amp;" / "&amp;BC159</f>
        <v>0.05 / 0.5</v>
      </c>
      <c r="BU159" s="66">
        <v>358</v>
      </c>
      <c r="BV159" s="66">
        <v>223</v>
      </c>
      <c r="BW159" s="66">
        <v>198</v>
      </c>
      <c r="BX159" s="99">
        <f>BV159-BW159</f>
        <v>25</v>
      </c>
      <c r="BY159" s="66">
        <v>24</v>
      </c>
      <c r="BZ159" s="92">
        <f>BU159-SUM(BW159:BY159)</f>
        <v>111</v>
      </c>
      <c r="CA159" s="204">
        <f t="shared" si="204"/>
        <v>0.62290502793296088</v>
      </c>
      <c r="CB159" s="205">
        <f t="shared" si="205"/>
        <v>6.7039106145251395E-2</v>
      </c>
      <c r="CC159" s="87">
        <v>6.22</v>
      </c>
      <c r="CD159" s="87">
        <v>19.93</v>
      </c>
      <c r="CE159" s="87">
        <v>0.44</v>
      </c>
      <c r="CF159" s="170">
        <f>BK159</f>
        <v>1.5</v>
      </c>
      <c r="CG159" s="87">
        <v>0.56000000000000005</v>
      </c>
      <c r="CH159" s="87">
        <v>0.41</v>
      </c>
      <c r="CI159" s="93">
        <v>2489.5</v>
      </c>
      <c r="CJ159" s="87">
        <v>11.16</v>
      </c>
      <c r="CK159" s="87">
        <v>9.06</v>
      </c>
      <c r="CL159" s="87">
        <v>-3.46</v>
      </c>
      <c r="CM159" s="165">
        <v>1000</v>
      </c>
      <c r="CN159" s="93">
        <v>7135.78</v>
      </c>
      <c r="CO159" s="108">
        <f>CM159+CN159</f>
        <v>8135.78</v>
      </c>
      <c r="CP159" s="108">
        <f>CN159/10</f>
        <v>713.57799999999997</v>
      </c>
      <c r="CR159" s="82">
        <f>CR$4</f>
        <v>12</v>
      </c>
      <c r="CS159" s="80">
        <f t="shared" si="206"/>
        <v>207.45833333333334</v>
      </c>
      <c r="CT159" s="80">
        <f t="shared" si="207"/>
        <v>594.64833333333331</v>
      </c>
      <c r="CU159" s="80">
        <f t="shared" si="208"/>
        <v>59.464833333333331</v>
      </c>
      <c r="CW159" s="80">
        <f t="shared" si="209"/>
        <v>2489.5</v>
      </c>
      <c r="CX159" s="80">
        <f t="shared" si="210"/>
        <v>7135.78</v>
      </c>
      <c r="CY159" s="80">
        <f t="shared" si="211"/>
        <v>713.57799999999997</v>
      </c>
    </row>
    <row r="160" spans="1:103" outlineLevel="1" x14ac:dyDescent="0.2">
      <c r="A160" s="120"/>
      <c r="B160" s="72"/>
      <c r="C160" s="57" t="s">
        <v>1629</v>
      </c>
      <c r="D160" s="57" t="s">
        <v>1888</v>
      </c>
      <c r="E160" s="65" t="s">
        <v>1389</v>
      </c>
      <c r="F160" s="57" t="s">
        <v>1454</v>
      </c>
      <c r="G160" s="62" t="s">
        <v>1556</v>
      </c>
      <c r="H160" s="129" t="b">
        <v>0</v>
      </c>
      <c r="J160" s="123" t="s">
        <v>1866</v>
      </c>
      <c r="K160" s="123" t="s">
        <v>1866</v>
      </c>
      <c r="L160" s="123" t="s">
        <v>1866</v>
      </c>
      <c r="M160" s="137" t="b">
        <v>0</v>
      </c>
      <c r="Q160" s="128" t="b">
        <v>1</v>
      </c>
      <c r="R160" s="127" t="s">
        <v>1559</v>
      </c>
      <c r="S160" s="135" t="b">
        <v>1</v>
      </c>
      <c r="T160" s="126">
        <v>13</v>
      </c>
      <c r="U160" s="124">
        <v>1.4999999999999999E-2</v>
      </c>
      <c r="V160" s="126">
        <v>75</v>
      </c>
      <c r="W160" s="126">
        <v>-75</v>
      </c>
      <c r="X160" s="124">
        <v>50</v>
      </c>
      <c r="Y160" s="124">
        <v>5</v>
      </c>
      <c r="Z160" s="128" t="b">
        <v>1</v>
      </c>
      <c r="AA160" s="127" t="s">
        <v>1867</v>
      </c>
      <c r="AB160" s="133">
        <v>2</v>
      </c>
      <c r="AC160" s="137" t="b">
        <v>0</v>
      </c>
      <c r="AE160" s="137" t="b">
        <v>0</v>
      </c>
      <c r="AG160" s="135" t="b">
        <v>1</v>
      </c>
      <c r="AH160" s="125">
        <v>5</v>
      </c>
      <c r="AI160" s="125">
        <v>13</v>
      </c>
      <c r="AJ160" s="125">
        <v>34</v>
      </c>
      <c r="AK160" s="125">
        <v>89</v>
      </c>
      <c r="AL160" s="129" t="b">
        <v>0</v>
      </c>
      <c r="AM160" s="128" t="b">
        <v>1</v>
      </c>
      <c r="AN160" s="131" t="s">
        <v>1469</v>
      </c>
      <c r="AO160" s="141">
        <v>1.0000000000000001E-5</v>
      </c>
      <c r="AP160" s="128" t="b">
        <v>1</v>
      </c>
      <c r="AQ160" s="141">
        <v>1.0000000000000001E-5</v>
      </c>
      <c r="AR160" s="126">
        <v>5</v>
      </c>
      <c r="AS160" s="126">
        <v>8</v>
      </c>
      <c r="AT160" s="126">
        <v>5</v>
      </c>
      <c r="AU160" s="128" t="b">
        <v>1</v>
      </c>
      <c r="AV160" s="124">
        <v>3</v>
      </c>
      <c r="AW160" s="146">
        <v>5</v>
      </c>
      <c r="AX160" s="124">
        <v>1</v>
      </c>
      <c r="AY160" s="128" t="b">
        <v>1</v>
      </c>
      <c r="AZ160" s="122" t="s">
        <v>1586</v>
      </c>
      <c r="BA160" s="122">
        <v>4</v>
      </c>
      <c r="BB160" s="126">
        <v>0.05</v>
      </c>
      <c r="BC160" s="126">
        <v>0.5</v>
      </c>
      <c r="BD160" s="129" t="b">
        <v>0</v>
      </c>
      <c r="BE160" s="122" t="s">
        <v>1873</v>
      </c>
      <c r="BF160" s="128" t="b">
        <v>1</v>
      </c>
      <c r="BG160" s="122" t="s">
        <v>1578</v>
      </c>
      <c r="BH160" s="133">
        <v>0.02</v>
      </c>
      <c r="BI160" s="156" t="s">
        <v>403</v>
      </c>
      <c r="BJ160" s="128" t="b">
        <v>1</v>
      </c>
      <c r="BK160" s="161">
        <v>1.5</v>
      </c>
      <c r="BL160" s="129" t="b">
        <v>0</v>
      </c>
      <c r="BM160" s="156" t="s">
        <v>412</v>
      </c>
      <c r="BN160" s="128" t="b">
        <v>1</v>
      </c>
      <c r="BO160" s="156" t="s">
        <v>1382</v>
      </c>
      <c r="BP160" s="157">
        <v>1</v>
      </c>
      <c r="BQ160" s="157">
        <v>0.5</v>
      </c>
      <c r="BR160" s="166" t="str">
        <f t="shared" si="203"/>
        <v>5/ 13/ 34/ 89</v>
      </c>
      <c r="BS160" s="166" t="str">
        <f>AR160&amp;" / "&amp;AS160&amp;" / "&amp;AT160</f>
        <v>5 / 8 / 5</v>
      </c>
      <c r="BT160" s="166" t="str">
        <f>BB160&amp;" / "&amp;BC160</f>
        <v>0.05 / 0.5</v>
      </c>
      <c r="BU160" s="66">
        <v>374</v>
      </c>
      <c r="BV160" s="66">
        <v>203</v>
      </c>
      <c r="BW160" s="66">
        <v>176</v>
      </c>
      <c r="BX160" s="99">
        <f>BV160-BW160</f>
        <v>27</v>
      </c>
      <c r="BY160" s="66">
        <v>41</v>
      </c>
      <c r="BZ160" s="92">
        <f>BU160-SUM(BW160:BY160)</f>
        <v>130</v>
      </c>
      <c r="CA160" s="204">
        <f t="shared" si="204"/>
        <v>0.54278074866310155</v>
      </c>
      <c r="CB160" s="205">
        <f t="shared" si="205"/>
        <v>0.10962566844919786</v>
      </c>
      <c r="CC160" s="87">
        <v>3.55</v>
      </c>
      <c r="CD160" s="87">
        <v>12.69</v>
      </c>
      <c r="CE160" s="87">
        <v>0.34</v>
      </c>
      <c r="CF160" s="170">
        <f>BK160</f>
        <v>1.5</v>
      </c>
      <c r="CG160" s="87">
        <v>0.6</v>
      </c>
      <c r="CH160" s="87">
        <v>0.46</v>
      </c>
      <c r="CI160" s="93">
        <v>2649</v>
      </c>
      <c r="CJ160" s="87">
        <v>13.05</v>
      </c>
      <c r="CK160" s="87">
        <v>10.72</v>
      </c>
      <c r="CL160" s="87">
        <v>-6.09</v>
      </c>
      <c r="CM160" s="165">
        <v>1000</v>
      </c>
      <c r="CN160" s="93">
        <v>4746.2299999999996</v>
      </c>
      <c r="CO160" s="108">
        <f>CM160+CN160</f>
        <v>5746.23</v>
      </c>
      <c r="CP160" s="108">
        <f>CN160/10</f>
        <v>474.62299999999993</v>
      </c>
      <c r="CR160" s="82">
        <f>CR$4</f>
        <v>12</v>
      </c>
      <c r="CS160" s="80">
        <f t="shared" si="206"/>
        <v>220.75</v>
      </c>
      <c r="CT160" s="80">
        <f t="shared" si="207"/>
        <v>395.51916666666665</v>
      </c>
      <c r="CU160" s="80">
        <f t="shared" si="208"/>
        <v>39.551916666666664</v>
      </c>
      <c r="CW160" s="80">
        <f t="shared" si="209"/>
        <v>2649</v>
      </c>
      <c r="CX160" s="80">
        <f t="shared" si="210"/>
        <v>4746.2299999999996</v>
      </c>
      <c r="CY160" s="80">
        <f t="shared" si="211"/>
        <v>474.62299999999993</v>
      </c>
    </row>
    <row r="161" spans="1:103" outlineLevel="1" x14ac:dyDescent="0.2">
      <c r="A161" s="120"/>
      <c r="B161" s="72"/>
      <c r="C161" s="57" t="s">
        <v>1633</v>
      </c>
      <c r="D161" s="57" t="s">
        <v>1888</v>
      </c>
      <c r="E161" s="65" t="s">
        <v>1389</v>
      </c>
      <c r="F161" s="57" t="s">
        <v>1454</v>
      </c>
      <c r="G161" s="62" t="s">
        <v>1556</v>
      </c>
      <c r="H161" s="129" t="b">
        <v>0</v>
      </c>
      <c r="J161" s="123" t="s">
        <v>1866</v>
      </c>
      <c r="K161" s="123" t="s">
        <v>1866</v>
      </c>
      <c r="L161" s="123" t="s">
        <v>1866</v>
      </c>
      <c r="M161" s="137" t="b">
        <v>0</v>
      </c>
      <c r="Q161" s="128" t="b">
        <v>1</v>
      </c>
      <c r="R161" s="127" t="s">
        <v>1559</v>
      </c>
      <c r="S161" s="135" t="b">
        <v>1</v>
      </c>
      <c r="T161" s="126">
        <v>13</v>
      </c>
      <c r="U161" s="124">
        <v>1.4999999999999999E-2</v>
      </c>
      <c r="V161" s="126">
        <v>75</v>
      </c>
      <c r="W161" s="126">
        <v>-75</v>
      </c>
      <c r="X161" s="124">
        <v>50</v>
      </c>
      <c r="Y161" s="124">
        <v>5</v>
      </c>
      <c r="Z161" s="128" t="b">
        <v>1</v>
      </c>
      <c r="AA161" s="127" t="s">
        <v>1867</v>
      </c>
      <c r="AB161" s="133">
        <v>2</v>
      </c>
      <c r="AC161" s="137" t="b">
        <v>0</v>
      </c>
      <c r="AE161" s="137" t="b">
        <v>0</v>
      </c>
      <c r="AG161" s="135" t="b">
        <v>1</v>
      </c>
      <c r="AH161" s="125">
        <v>5</v>
      </c>
      <c r="AI161" s="125">
        <v>13</v>
      </c>
      <c r="AJ161" s="125">
        <v>34</v>
      </c>
      <c r="AK161" s="125">
        <v>89</v>
      </c>
      <c r="AL161" s="129" t="b">
        <v>0</v>
      </c>
      <c r="AM161" s="128" t="b">
        <v>1</v>
      </c>
      <c r="AN161" s="131" t="s">
        <v>1469</v>
      </c>
      <c r="AO161" s="141">
        <v>1.0000000000000001E-5</v>
      </c>
      <c r="AP161" s="128" t="b">
        <v>1</v>
      </c>
      <c r="AQ161" s="141">
        <v>1.0000000000000001E-5</v>
      </c>
      <c r="AR161" s="126">
        <v>5</v>
      </c>
      <c r="AS161" s="126">
        <v>8</v>
      </c>
      <c r="AT161" s="126">
        <v>5</v>
      </c>
      <c r="AU161" s="128" t="b">
        <v>1</v>
      </c>
      <c r="AV161" s="124">
        <v>3</v>
      </c>
      <c r="AW161" s="146">
        <v>5</v>
      </c>
      <c r="AX161" s="124">
        <v>1</v>
      </c>
      <c r="AY161" s="128" t="b">
        <v>1</v>
      </c>
      <c r="AZ161" s="122" t="s">
        <v>1586</v>
      </c>
      <c r="BA161" s="122">
        <v>4</v>
      </c>
      <c r="BB161" s="126">
        <v>0.05</v>
      </c>
      <c r="BC161" s="126">
        <v>0.5</v>
      </c>
      <c r="BD161" s="129" t="b">
        <v>0</v>
      </c>
      <c r="BE161" s="122" t="s">
        <v>1873</v>
      </c>
      <c r="BF161" s="128" t="b">
        <v>1</v>
      </c>
      <c r="BG161" s="122" t="s">
        <v>1578</v>
      </c>
      <c r="BH161" s="133">
        <v>0.02</v>
      </c>
      <c r="BI161" s="156" t="s">
        <v>403</v>
      </c>
      <c r="BJ161" s="128" t="b">
        <v>1</v>
      </c>
      <c r="BK161" s="161">
        <v>1.5</v>
      </c>
      <c r="BL161" s="129" t="b">
        <v>0</v>
      </c>
      <c r="BM161" s="156" t="s">
        <v>412</v>
      </c>
      <c r="BN161" s="128" t="b">
        <v>1</v>
      </c>
      <c r="BO161" s="156" t="s">
        <v>1382</v>
      </c>
      <c r="BP161" s="157">
        <v>1</v>
      </c>
      <c r="BQ161" s="157">
        <v>0.5</v>
      </c>
      <c r="BR161" s="166" t="str">
        <f t="shared" si="203"/>
        <v>5/ 13/ 34/ 89</v>
      </c>
      <c r="BS161" s="166" t="str">
        <f>AR161&amp;" / "&amp;AS161&amp;" / "&amp;AT161</f>
        <v>5 / 8 / 5</v>
      </c>
      <c r="BT161" s="166" t="str">
        <f>BB161&amp;" / "&amp;BC161</f>
        <v>0.05 / 0.5</v>
      </c>
      <c r="BU161" s="66">
        <v>408</v>
      </c>
      <c r="BV161" s="66">
        <v>228</v>
      </c>
      <c r="BW161" s="66">
        <v>184</v>
      </c>
      <c r="BX161" s="99">
        <f>BV161-BW161</f>
        <v>44</v>
      </c>
      <c r="BY161" s="66">
        <v>49</v>
      </c>
      <c r="BZ161" s="92">
        <f>BU161-SUM(BW161:BY161)</f>
        <v>131</v>
      </c>
      <c r="CA161" s="204">
        <f t="shared" si="204"/>
        <v>0.55882352941176472</v>
      </c>
      <c r="CB161" s="205">
        <f t="shared" si="205"/>
        <v>0.12009803921568628</v>
      </c>
      <c r="CC161" s="87">
        <v>4.09</v>
      </c>
      <c r="CD161" s="87">
        <v>16.93</v>
      </c>
      <c r="CE161" s="87">
        <v>0.36</v>
      </c>
      <c r="CF161" s="170">
        <f>BK161</f>
        <v>1.5</v>
      </c>
      <c r="CG161" s="87">
        <v>0.64</v>
      </c>
      <c r="CH161" s="87">
        <v>0.44</v>
      </c>
      <c r="CI161" s="93">
        <v>3679.2</v>
      </c>
      <c r="CJ161" s="87">
        <v>16.14</v>
      </c>
      <c r="CK161" s="87">
        <v>13.28</v>
      </c>
      <c r="CL161" s="87">
        <v>-4.2</v>
      </c>
      <c r="CM161" s="165">
        <v>1000</v>
      </c>
      <c r="CN161" s="93">
        <v>6906.1</v>
      </c>
      <c r="CO161" s="108">
        <f>CM161+CN161</f>
        <v>7906.1</v>
      </c>
      <c r="CP161" s="108">
        <f>CN161/10</f>
        <v>690.61</v>
      </c>
      <c r="CR161" s="82">
        <f>CR$4</f>
        <v>12</v>
      </c>
      <c r="CS161" s="80">
        <f t="shared" si="206"/>
        <v>306.59999999999997</v>
      </c>
      <c r="CT161" s="80">
        <f t="shared" si="207"/>
        <v>575.50833333333333</v>
      </c>
      <c r="CU161" s="80">
        <f t="shared" si="208"/>
        <v>57.55083333333333</v>
      </c>
      <c r="CW161" s="80">
        <f t="shared" si="209"/>
        <v>3679.2</v>
      </c>
      <c r="CX161" s="80">
        <f t="shared" si="210"/>
        <v>6906.1</v>
      </c>
      <c r="CY161" s="80">
        <f t="shared" si="211"/>
        <v>690.61</v>
      </c>
    </row>
    <row r="162" spans="1:103" s="111" customFormat="1" x14ac:dyDescent="0.2">
      <c r="G162" s="189"/>
      <c r="H162" s="190"/>
      <c r="I162" s="190"/>
      <c r="J162" s="191"/>
      <c r="K162" s="191"/>
      <c r="L162" s="191"/>
      <c r="M162" s="147"/>
      <c r="N162" s="147"/>
      <c r="O162" s="147"/>
      <c r="P162" s="147"/>
      <c r="Q162" s="190"/>
      <c r="R162" s="190"/>
      <c r="S162" s="147"/>
      <c r="T162" s="147"/>
      <c r="U162" s="147"/>
      <c r="V162" s="147"/>
      <c r="W162" s="147"/>
      <c r="X162" s="147"/>
      <c r="Y162" s="147"/>
      <c r="Z162" s="190"/>
      <c r="AA162" s="190"/>
      <c r="AB162" s="190"/>
      <c r="AC162" s="192"/>
      <c r="AD162" s="192"/>
      <c r="AE162" s="147"/>
      <c r="AF162" s="147"/>
      <c r="AG162" s="147"/>
      <c r="AH162" s="147"/>
      <c r="AI162" s="147"/>
      <c r="AJ162" s="147"/>
      <c r="AK162" s="147"/>
      <c r="AL162" s="190"/>
      <c r="AM162" s="190"/>
      <c r="AN162" s="190"/>
      <c r="AO162" s="141"/>
      <c r="AP162" s="190"/>
      <c r="AQ162" s="193"/>
      <c r="AR162" s="190"/>
      <c r="AS162" s="194"/>
      <c r="AT162" s="195"/>
      <c r="AU162" s="190"/>
      <c r="AV162" s="147"/>
      <c r="AW162" s="147"/>
      <c r="AX162" s="147"/>
      <c r="AY162" s="190"/>
      <c r="AZ162" s="190"/>
      <c r="BA162" s="190"/>
      <c r="BB162" s="195"/>
      <c r="BC162" s="196"/>
      <c r="BD162" s="190"/>
      <c r="BE162" s="190"/>
      <c r="BF162" s="190"/>
      <c r="BG162" s="190"/>
      <c r="BH162" s="190"/>
      <c r="BI162" s="196"/>
      <c r="BJ162" s="190"/>
      <c r="BK162" s="197"/>
      <c r="BL162" s="190"/>
      <c r="BM162" s="196"/>
      <c r="BN162" s="190"/>
      <c r="BO162" s="196"/>
      <c r="BP162" s="198"/>
      <c r="BQ162" s="198"/>
      <c r="BR162" s="198"/>
      <c r="BS162" s="199"/>
      <c r="BT162" s="199"/>
      <c r="BU162" s="200"/>
      <c r="CB162" s="203"/>
      <c r="CF162" s="201"/>
    </row>
    <row r="163" spans="1:103" x14ac:dyDescent="0.2">
      <c r="A163" s="120">
        <v>250707</v>
      </c>
      <c r="B163" s="72" t="s">
        <v>1896</v>
      </c>
      <c r="C163" s="57" t="s">
        <v>1387</v>
      </c>
      <c r="D163" s="57" t="s">
        <v>1888</v>
      </c>
      <c r="E163" s="65" t="s">
        <v>1389</v>
      </c>
      <c r="F163" s="57" t="s">
        <v>1454</v>
      </c>
      <c r="G163" s="62" t="s">
        <v>1556</v>
      </c>
      <c r="H163" s="129" t="b">
        <v>0</v>
      </c>
      <c r="J163" s="123" t="s">
        <v>1866</v>
      </c>
      <c r="K163" s="123" t="s">
        <v>1866</v>
      </c>
      <c r="L163" s="123" t="s">
        <v>1866</v>
      </c>
      <c r="M163" s="137" t="b">
        <v>0</v>
      </c>
      <c r="Q163" s="128" t="b">
        <v>1</v>
      </c>
      <c r="R163" s="127" t="s">
        <v>1559</v>
      </c>
      <c r="S163" s="135" t="b">
        <v>1</v>
      </c>
      <c r="T163" s="126">
        <v>13</v>
      </c>
      <c r="U163" s="124">
        <v>1.4999999999999999E-2</v>
      </c>
      <c r="V163" s="126">
        <v>75</v>
      </c>
      <c r="W163" s="126">
        <v>-75</v>
      </c>
      <c r="X163" s="124">
        <v>50</v>
      </c>
      <c r="Y163" s="124">
        <v>5</v>
      </c>
      <c r="Z163" s="128" t="b">
        <v>1</v>
      </c>
      <c r="AA163" s="127" t="s">
        <v>1867</v>
      </c>
      <c r="AB163" s="133">
        <v>2</v>
      </c>
      <c r="AC163" s="137" t="b">
        <v>0</v>
      </c>
      <c r="AE163" s="137" t="b">
        <v>0</v>
      </c>
      <c r="AG163" s="135" t="b">
        <v>1</v>
      </c>
      <c r="AH163" s="125">
        <v>5</v>
      </c>
      <c r="AI163" s="125">
        <v>8</v>
      </c>
      <c r="AJ163" s="125">
        <v>11</v>
      </c>
      <c r="AK163" s="125">
        <v>13</v>
      </c>
      <c r="AL163" s="129" t="b">
        <v>0</v>
      </c>
      <c r="AM163" s="128" t="b">
        <v>1</v>
      </c>
      <c r="AN163" s="131" t="s">
        <v>1469</v>
      </c>
      <c r="AO163" s="141">
        <v>1.0000000000000001E-5</v>
      </c>
      <c r="AP163" s="128" t="b">
        <v>1</v>
      </c>
      <c r="AQ163" s="141">
        <v>1.0000000000000001E-5</v>
      </c>
      <c r="AR163" s="126">
        <v>5</v>
      </c>
      <c r="AS163" s="126">
        <v>8</v>
      </c>
      <c r="AT163" s="126">
        <v>5</v>
      </c>
      <c r="AU163" s="128" t="b">
        <v>1</v>
      </c>
      <c r="AV163" s="124">
        <v>3</v>
      </c>
      <c r="AW163" s="146">
        <v>5</v>
      </c>
      <c r="AX163" s="124">
        <v>1</v>
      </c>
      <c r="AY163" s="128" t="b">
        <v>1</v>
      </c>
      <c r="AZ163" s="122" t="s">
        <v>1586</v>
      </c>
      <c r="BA163" s="122">
        <v>4</v>
      </c>
      <c r="BB163" s="126">
        <v>0.05</v>
      </c>
      <c r="BC163" s="126">
        <v>0.5</v>
      </c>
      <c r="BD163" s="129" t="b">
        <v>0</v>
      </c>
      <c r="BE163" s="122" t="s">
        <v>1873</v>
      </c>
      <c r="BF163" s="128" t="b">
        <v>1</v>
      </c>
      <c r="BG163" s="122" t="s">
        <v>1578</v>
      </c>
      <c r="BH163" s="133">
        <v>0.02</v>
      </c>
      <c r="BI163" s="156" t="s">
        <v>403</v>
      </c>
      <c r="BJ163" s="128" t="b">
        <v>1</v>
      </c>
      <c r="BK163" s="161">
        <v>1.5</v>
      </c>
      <c r="BL163" s="129" t="b">
        <v>0</v>
      </c>
      <c r="BM163" s="156" t="s">
        <v>412</v>
      </c>
      <c r="BN163" s="128" t="b">
        <v>1</v>
      </c>
      <c r="BO163" s="156" t="s">
        <v>1382</v>
      </c>
      <c r="BP163" s="157">
        <v>1</v>
      </c>
      <c r="BQ163" s="157">
        <v>0.5</v>
      </c>
      <c r="BR163" s="166" t="str">
        <f t="shared" ref="BR163" si="212">AH163&amp;"/ "&amp;AI163&amp;"/ "&amp;AJ163&amp;"/ "&amp;AK163</f>
        <v>5/ 8/ 11/ 13</v>
      </c>
      <c r="BS163" s="166" t="str">
        <f t="shared" ref="BS163:BS170" si="213">AR163&amp;" / "&amp;AS163&amp;" / "&amp;AT163</f>
        <v>5 / 8 / 5</v>
      </c>
      <c r="BT163" s="166" t="str">
        <f t="shared" ref="BT163:BT170" si="214">BB163&amp;" / "&amp;BC163</f>
        <v>0.05 / 0.5</v>
      </c>
      <c r="BU163" s="66">
        <v>631</v>
      </c>
      <c r="BV163" s="66">
        <v>372</v>
      </c>
      <c r="BW163" s="66">
        <v>298</v>
      </c>
      <c r="BX163" s="99">
        <f t="shared" ref="BX163:BX170" si="215">BV163-BW163</f>
        <v>74</v>
      </c>
      <c r="BY163" s="66">
        <v>68</v>
      </c>
      <c r="BZ163" s="92">
        <f t="shared" ref="BZ163:BZ170" si="216">BU163-SUM(BW163:BY163)</f>
        <v>191</v>
      </c>
      <c r="CA163" s="204">
        <f>IF(BU163=0,0,BV163/BU163)</f>
        <v>0.58954041204437402</v>
      </c>
      <c r="CB163" s="205">
        <f>IF(BU163=0,0,BY163/BU163)</f>
        <v>0.10776545166402536</v>
      </c>
      <c r="CC163" s="87">
        <v>5.01</v>
      </c>
      <c r="CD163" s="87">
        <v>31.52</v>
      </c>
      <c r="CE163" s="87">
        <v>0.42</v>
      </c>
      <c r="CF163" s="170">
        <f t="shared" ref="CF163:CF170" si="217">BK163</f>
        <v>1.5</v>
      </c>
      <c r="CG163" s="87">
        <v>0.67</v>
      </c>
      <c r="CH163" s="87">
        <v>0.48</v>
      </c>
      <c r="CI163" s="93">
        <v>10224.6</v>
      </c>
      <c r="CJ163" s="87">
        <v>27.49</v>
      </c>
      <c r="CK163" s="87">
        <v>26.45</v>
      </c>
      <c r="CL163" s="87">
        <v>-3.96</v>
      </c>
      <c r="CM163" s="165">
        <v>1000</v>
      </c>
      <c r="CN163" s="93">
        <v>19888.18</v>
      </c>
      <c r="CO163" s="108">
        <f t="shared" ref="CO163:CO170" si="218">CM163+CN163</f>
        <v>20888.18</v>
      </c>
      <c r="CP163" s="108">
        <f t="shared" ref="CP163:CP170" si="219">CN163/10</f>
        <v>1988.818</v>
      </c>
      <c r="CR163" s="82">
        <f t="shared" ref="CR163:CR170" si="220">CR$4</f>
        <v>12</v>
      </c>
      <c r="CS163" s="80">
        <f t="shared" ref="CS163:CS170" si="221">CI163/CR163</f>
        <v>852.05000000000007</v>
      </c>
      <c r="CT163" s="80">
        <f t="shared" ref="CT163:CT170" si="222">CN163/CR163</f>
        <v>1657.3483333333334</v>
      </c>
      <c r="CU163" s="80">
        <f t="shared" ref="CU163:CU170" si="223">CT163/10</f>
        <v>165.73483333333334</v>
      </c>
      <c r="CW163" s="80">
        <f t="shared" ref="CW163:CW170" si="224">CI163</f>
        <v>10224.6</v>
      </c>
      <c r="CX163" s="80">
        <f t="shared" ref="CX163:CX170" si="225">CN163</f>
        <v>19888.18</v>
      </c>
      <c r="CY163" s="80">
        <f t="shared" ref="CY163:CY170" si="226">CP163</f>
        <v>1988.818</v>
      </c>
    </row>
    <row r="164" spans="1:103" hidden="1" outlineLevel="1" x14ac:dyDescent="0.2">
      <c r="A164" s="120"/>
      <c r="B164" s="72"/>
      <c r="C164" s="57" t="s">
        <v>1387</v>
      </c>
      <c r="D164" s="57" t="s">
        <v>1888</v>
      </c>
      <c r="E164" s="65" t="s">
        <v>1389</v>
      </c>
      <c r="F164" s="57" t="s">
        <v>1454</v>
      </c>
      <c r="G164" s="62" t="s">
        <v>1556</v>
      </c>
      <c r="H164" s="129" t="b">
        <v>0</v>
      </c>
      <c r="J164" s="123" t="s">
        <v>1866</v>
      </c>
      <c r="K164" s="123" t="s">
        <v>1866</v>
      </c>
      <c r="L164" s="123" t="s">
        <v>1866</v>
      </c>
      <c r="M164" s="137" t="b">
        <v>0</v>
      </c>
      <c r="Q164" s="128" t="b">
        <v>1</v>
      </c>
      <c r="R164" s="127" t="s">
        <v>1559</v>
      </c>
      <c r="S164" s="135" t="b">
        <v>1</v>
      </c>
      <c r="T164" s="126">
        <v>13</v>
      </c>
      <c r="U164" s="124">
        <v>1.4999999999999999E-2</v>
      </c>
      <c r="V164" s="126">
        <v>75</v>
      </c>
      <c r="W164" s="126">
        <v>-75</v>
      </c>
      <c r="X164" s="124">
        <v>50</v>
      </c>
      <c r="Y164" s="124">
        <v>5</v>
      </c>
      <c r="Z164" s="128" t="b">
        <v>1</v>
      </c>
      <c r="AA164" s="127" t="s">
        <v>1867</v>
      </c>
      <c r="AB164" s="133">
        <v>2</v>
      </c>
      <c r="AC164" s="137" t="b">
        <v>0</v>
      </c>
      <c r="AE164" s="137" t="b">
        <v>0</v>
      </c>
      <c r="AG164" s="135" t="b">
        <v>1</v>
      </c>
      <c r="AH164" s="125">
        <v>5</v>
      </c>
      <c r="AI164" s="125">
        <v>8</v>
      </c>
      <c r="AJ164" s="125">
        <v>11</v>
      </c>
      <c r="AK164" s="125">
        <v>13</v>
      </c>
      <c r="AL164" s="129" t="b">
        <v>0</v>
      </c>
      <c r="AM164" s="128" t="b">
        <v>1</v>
      </c>
      <c r="AN164" s="131" t="s">
        <v>1469</v>
      </c>
      <c r="AO164" s="141">
        <v>1.0000000000000001E-5</v>
      </c>
      <c r="AP164" s="128" t="b">
        <v>1</v>
      </c>
      <c r="AQ164" s="141">
        <v>1.0000000000000001E-5</v>
      </c>
      <c r="AR164" s="137">
        <v>5</v>
      </c>
      <c r="AS164" s="137">
        <v>13</v>
      </c>
      <c r="AT164" s="137">
        <v>5</v>
      </c>
      <c r="AU164" s="128" t="b">
        <v>1</v>
      </c>
      <c r="AV164" s="124">
        <v>3</v>
      </c>
      <c r="AW164" s="146">
        <v>5</v>
      </c>
      <c r="AX164" s="124">
        <v>1</v>
      </c>
      <c r="AY164" s="128" t="b">
        <v>1</v>
      </c>
      <c r="AZ164" s="122" t="s">
        <v>1586</v>
      </c>
      <c r="BA164" s="122">
        <v>4</v>
      </c>
      <c r="BB164" s="126">
        <v>0.05</v>
      </c>
      <c r="BC164" s="126">
        <v>0.5</v>
      </c>
      <c r="BD164" s="129" t="b">
        <v>0</v>
      </c>
      <c r="BE164" s="122" t="s">
        <v>1873</v>
      </c>
      <c r="BF164" s="128" t="b">
        <v>1</v>
      </c>
      <c r="BG164" s="122" t="s">
        <v>1578</v>
      </c>
      <c r="BH164" s="133">
        <v>0.02</v>
      </c>
      <c r="BI164" s="156" t="s">
        <v>403</v>
      </c>
      <c r="BJ164" s="128" t="b">
        <v>1</v>
      </c>
      <c r="BK164" s="161">
        <v>1.5</v>
      </c>
      <c r="BL164" s="129" t="b">
        <v>0</v>
      </c>
      <c r="BM164" s="156" t="s">
        <v>412</v>
      </c>
      <c r="BN164" s="128" t="b">
        <v>1</v>
      </c>
      <c r="BO164" s="156" t="s">
        <v>1382</v>
      </c>
      <c r="BP164" s="157">
        <v>1</v>
      </c>
      <c r="BQ164" s="157">
        <v>0.5</v>
      </c>
      <c r="BR164" s="166" t="str">
        <f>AH164&amp;"/ "&amp;AI164&amp;"/ "&amp;AJ164&amp;"/ "&amp;AK164</f>
        <v>5/ 8/ 11/ 13</v>
      </c>
      <c r="BS164" s="166" t="str">
        <f t="shared" si="213"/>
        <v>5 / 13 / 5</v>
      </c>
      <c r="BT164" s="166" t="str">
        <f t="shared" si="214"/>
        <v>0.05 / 0.5</v>
      </c>
      <c r="BU164" s="66">
        <v>618</v>
      </c>
      <c r="BV164" s="66">
        <v>364</v>
      </c>
      <c r="BW164" s="66">
        <v>292</v>
      </c>
      <c r="BX164" s="99">
        <f t="shared" si="215"/>
        <v>72</v>
      </c>
      <c r="BY164" s="66">
        <v>65</v>
      </c>
      <c r="BZ164" s="92">
        <f t="shared" si="216"/>
        <v>189</v>
      </c>
      <c r="CA164" s="204">
        <f t="shared" ref="CA164:CA170" si="227">IF(BU164=0,0,BV164/BU164)</f>
        <v>0.5889967637540453</v>
      </c>
      <c r="CB164" s="205">
        <f>IF(BU164=0,0,BY164/BU164)</f>
        <v>0.10517799352750809</v>
      </c>
      <c r="CC164" s="87">
        <v>5.31</v>
      </c>
      <c r="CD164" s="87">
        <v>31.75</v>
      </c>
      <c r="CE164" s="87">
        <v>0.43</v>
      </c>
      <c r="CF164" s="170">
        <f t="shared" si="217"/>
        <v>1.5</v>
      </c>
      <c r="CG164" s="87">
        <v>0.67</v>
      </c>
      <c r="CH164" s="87">
        <v>0.48</v>
      </c>
      <c r="CI164" s="93">
        <v>9896.1</v>
      </c>
      <c r="CJ164" s="87">
        <v>27.19</v>
      </c>
      <c r="CK164" s="87">
        <v>25.84</v>
      </c>
      <c r="CL164" s="87">
        <v>-3.96</v>
      </c>
      <c r="CM164" s="165">
        <v>1000</v>
      </c>
      <c r="CN164" s="93">
        <v>19622.09</v>
      </c>
      <c r="CO164" s="108">
        <f t="shared" si="218"/>
        <v>20622.09</v>
      </c>
      <c r="CP164" s="108">
        <f t="shared" si="219"/>
        <v>1962.2090000000001</v>
      </c>
      <c r="CR164" s="82">
        <f t="shared" si="220"/>
        <v>12</v>
      </c>
      <c r="CS164" s="80">
        <f t="shared" si="221"/>
        <v>824.67500000000007</v>
      </c>
      <c r="CT164" s="80">
        <f t="shared" si="222"/>
        <v>1635.1741666666667</v>
      </c>
      <c r="CU164" s="80">
        <f t="shared" si="223"/>
        <v>163.51741666666666</v>
      </c>
      <c r="CW164" s="80">
        <f t="shared" si="224"/>
        <v>9896.1</v>
      </c>
      <c r="CX164" s="80">
        <f t="shared" si="225"/>
        <v>19622.09</v>
      </c>
      <c r="CY164" s="80">
        <f t="shared" si="226"/>
        <v>1962.2090000000001</v>
      </c>
    </row>
    <row r="165" spans="1:103" hidden="1" outlineLevel="1" x14ac:dyDescent="0.2">
      <c r="A165" s="120"/>
      <c r="B165" s="72"/>
      <c r="C165" s="57" t="s">
        <v>1387</v>
      </c>
      <c r="D165" s="57" t="s">
        <v>1888</v>
      </c>
      <c r="E165" s="65" t="s">
        <v>1389</v>
      </c>
      <c r="F165" s="57" t="s">
        <v>1454</v>
      </c>
      <c r="G165" s="62" t="s">
        <v>1556</v>
      </c>
      <c r="H165" s="129" t="b">
        <v>0</v>
      </c>
      <c r="J165" s="123" t="s">
        <v>1866</v>
      </c>
      <c r="K165" s="123" t="s">
        <v>1866</v>
      </c>
      <c r="L165" s="123" t="s">
        <v>1866</v>
      </c>
      <c r="M165" s="137" t="b">
        <v>0</v>
      </c>
      <c r="Q165" s="128" t="b">
        <v>1</v>
      </c>
      <c r="R165" s="127" t="s">
        <v>1559</v>
      </c>
      <c r="S165" s="135" t="b">
        <v>1</v>
      </c>
      <c r="T165" s="126">
        <v>13</v>
      </c>
      <c r="U165" s="124">
        <v>1.4999999999999999E-2</v>
      </c>
      <c r="V165" s="126">
        <v>75</v>
      </c>
      <c r="W165" s="126">
        <v>-75</v>
      </c>
      <c r="X165" s="124">
        <v>50</v>
      </c>
      <c r="Y165" s="124">
        <v>5</v>
      </c>
      <c r="Z165" s="128" t="b">
        <v>1</v>
      </c>
      <c r="AA165" s="127" t="s">
        <v>1867</v>
      </c>
      <c r="AB165" s="133">
        <v>2</v>
      </c>
      <c r="AC165" s="137" t="b">
        <v>0</v>
      </c>
      <c r="AE165" s="137" t="b">
        <v>0</v>
      </c>
      <c r="AG165" s="135" t="b">
        <v>1</v>
      </c>
      <c r="AH165" s="125">
        <v>5</v>
      </c>
      <c r="AI165" s="125">
        <v>8</v>
      </c>
      <c r="AJ165" s="125">
        <v>11</v>
      </c>
      <c r="AK165" s="125">
        <v>13</v>
      </c>
      <c r="AL165" s="129" t="b">
        <v>0</v>
      </c>
      <c r="AM165" s="128" t="b">
        <v>1</v>
      </c>
      <c r="AN165" s="131" t="s">
        <v>1469</v>
      </c>
      <c r="AO165" s="141">
        <v>1.0000000000000001E-5</v>
      </c>
      <c r="AP165" s="128" t="b">
        <v>1</v>
      </c>
      <c r="AQ165" s="141">
        <v>1.0000000000000001E-5</v>
      </c>
      <c r="AR165" s="137">
        <v>5</v>
      </c>
      <c r="AS165" s="137">
        <v>13</v>
      </c>
      <c r="AT165" s="137">
        <v>8</v>
      </c>
      <c r="AU165" s="128" t="b">
        <v>1</v>
      </c>
      <c r="AV165" s="124">
        <v>3</v>
      </c>
      <c r="AW165" s="146">
        <v>5</v>
      </c>
      <c r="AX165" s="124">
        <v>1</v>
      </c>
      <c r="AY165" s="128" t="b">
        <v>1</v>
      </c>
      <c r="AZ165" s="122" t="s">
        <v>1586</v>
      </c>
      <c r="BA165" s="122">
        <v>4</v>
      </c>
      <c r="BB165" s="126">
        <v>0.05</v>
      </c>
      <c r="BC165" s="126">
        <v>0.5</v>
      </c>
      <c r="BD165" s="129" t="b">
        <v>0</v>
      </c>
      <c r="BE165" s="122" t="s">
        <v>1873</v>
      </c>
      <c r="BF165" s="128" t="b">
        <v>1</v>
      </c>
      <c r="BG165" s="122" t="s">
        <v>1578</v>
      </c>
      <c r="BH165" s="133">
        <v>0.02</v>
      </c>
      <c r="BI165" s="156" t="s">
        <v>403</v>
      </c>
      <c r="BJ165" s="128" t="b">
        <v>1</v>
      </c>
      <c r="BK165" s="161">
        <v>1.5</v>
      </c>
      <c r="BL165" s="129" t="b">
        <v>0</v>
      </c>
      <c r="BM165" s="156" t="s">
        <v>412</v>
      </c>
      <c r="BN165" s="128" t="b">
        <v>1</v>
      </c>
      <c r="BO165" s="156" t="s">
        <v>1382</v>
      </c>
      <c r="BP165" s="157">
        <v>1</v>
      </c>
      <c r="BQ165" s="157">
        <v>0.5</v>
      </c>
      <c r="BR165" s="166" t="str">
        <f>AH165&amp;"/ "&amp;AI165&amp;"/ "&amp;AJ165&amp;"/ "&amp;AK165</f>
        <v>5/ 8/ 11/ 13</v>
      </c>
      <c r="BS165" s="166" t="str">
        <f t="shared" si="213"/>
        <v>5 / 13 / 8</v>
      </c>
      <c r="BT165" s="166" t="str">
        <f t="shared" si="214"/>
        <v>0.05 / 0.5</v>
      </c>
      <c r="BU165" s="66">
        <v>651</v>
      </c>
      <c r="BV165" s="66">
        <v>379</v>
      </c>
      <c r="BW165" s="66">
        <v>303</v>
      </c>
      <c r="BX165" s="99">
        <f t="shared" si="215"/>
        <v>76</v>
      </c>
      <c r="BY165" s="66">
        <v>82</v>
      </c>
      <c r="BZ165" s="92">
        <f t="shared" si="216"/>
        <v>190</v>
      </c>
      <c r="CA165" s="204">
        <f t="shared" si="227"/>
        <v>0.5821812596006144</v>
      </c>
      <c r="CB165" s="205">
        <f>IF(BU165=0,0,BY165/BU165)</f>
        <v>0.1259600614439324</v>
      </c>
      <c r="CC165" s="87">
        <v>4.09</v>
      </c>
      <c r="CD165" s="87">
        <v>29.68</v>
      </c>
      <c r="CE165" s="87">
        <v>0.39</v>
      </c>
      <c r="CF165" s="170">
        <f t="shared" si="217"/>
        <v>1.5</v>
      </c>
      <c r="CG165" s="87">
        <v>0.67</v>
      </c>
      <c r="CH165" s="87">
        <v>0.49</v>
      </c>
      <c r="CI165" s="93">
        <v>10532.8</v>
      </c>
      <c r="CJ165" s="87">
        <v>27.79</v>
      </c>
      <c r="CK165" s="87">
        <v>26.86</v>
      </c>
      <c r="CL165" s="87">
        <v>-4.96</v>
      </c>
      <c r="CM165" s="165">
        <v>1000</v>
      </c>
      <c r="CN165" s="93">
        <v>19320.77</v>
      </c>
      <c r="CO165" s="108">
        <f t="shared" si="218"/>
        <v>20320.77</v>
      </c>
      <c r="CP165" s="108">
        <f t="shared" si="219"/>
        <v>1932.077</v>
      </c>
      <c r="CR165" s="82">
        <f t="shared" si="220"/>
        <v>12</v>
      </c>
      <c r="CS165" s="80">
        <f t="shared" si="221"/>
        <v>877.73333333333323</v>
      </c>
      <c r="CT165" s="80">
        <f t="shared" si="222"/>
        <v>1610.0641666666668</v>
      </c>
      <c r="CU165" s="80">
        <f t="shared" si="223"/>
        <v>161.00641666666667</v>
      </c>
      <c r="CW165" s="80">
        <f t="shared" si="224"/>
        <v>10532.8</v>
      </c>
      <c r="CX165" s="80">
        <f t="shared" si="225"/>
        <v>19320.77</v>
      </c>
      <c r="CY165" s="80">
        <f t="shared" si="226"/>
        <v>1932.077</v>
      </c>
    </row>
    <row r="166" spans="1:103" hidden="1" outlineLevel="1" x14ac:dyDescent="0.2">
      <c r="A166" s="120"/>
      <c r="B166" s="72"/>
      <c r="C166" s="57" t="s">
        <v>1387</v>
      </c>
      <c r="D166" s="57" t="s">
        <v>1888</v>
      </c>
      <c r="E166" s="65" t="s">
        <v>1389</v>
      </c>
      <c r="F166" s="57" t="s">
        <v>1454</v>
      </c>
      <c r="G166" s="62" t="s">
        <v>1556</v>
      </c>
      <c r="H166" s="129" t="b">
        <v>0</v>
      </c>
      <c r="J166" s="123" t="s">
        <v>1866</v>
      </c>
      <c r="K166" s="123" t="s">
        <v>1866</v>
      </c>
      <c r="L166" s="123" t="s">
        <v>1866</v>
      </c>
      <c r="M166" s="137" t="b">
        <v>0</v>
      </c>
      <c r="Q166" s="128" t="b">
        <v>1</v>
      </c>
      <c r="R166" s="127" t="s">
        <v>1559</v>
      </c>
      <c r="S166" s="135" t="b">
        <v>1</v>
      </c>
      <c r="T166" s="126">
        <v>13</v>
      </c>
      <c r="U166" s="124">
        <v>1.4999999999999999E-2</v>
      </c>
      <c r="V166" s="126">
        <v>75</v>
      </c>
      <c r="W166" s="126">
        <v>-75</v>
      </c>
      <c r="X166" s="124">
        <v>50</v>
      </c>
      <c r="Y166" s="124">
        <v>5</v>
      </c>
      <c r="Z166" s="128" t="b">
        <v>1</v>
      </c>
      <c r="AA166" s="127" t="s">
        <v>1867</v>
      </c>
      <c r="AB166" s="133">
        <v>2</v>
      </c>
      <c r="AC166" s="137" t="b">
        <v>0</v>
      </c>
      <c r="AE166" s="137" t="b">
        <v>0</v>
      </c>
      <c r="AG166" s="135" t="b">
        <v>1</v>
      </c>
      <c r="AH166" s="125">
        <v>5</v>
      </c>
      <c r="AI166" s="125">
        <v>8</v>
      </c>
      <c r="AJ166" s="125">
        <v>11</v>
      </c>
      <c r="AK166" s="125">
        <v>13</v>
      </c>
      <c r="AL166" s="129" t="b">
        <v>0</v>
      </c>
      <c r="AM166" s="128" t="b">
        <v>1</v>
      </c>
      <c r="AN166" s="131" t="s">
        <v>1469</v>
      </c>
      <c r="AO166" s="141">
        <v>1.0000000000000001E-5</v>
      </c>
      <c r="AP166" s="128" t="b">
        <v>1</v>
      </c>
      <c r="AQ166" s="141">
        <v>1.0000000000000001E-5</v>
      </c>
      <c r="AR166" s="149">
        <v>8</v>
      </c>
      <c r="AS166" s="149">
        <v>13</v>
      </c>
      <c r="AT166" s="149">
        <v>8</v>
      </c>
      <c r="AU166" s="128" t="b">
        <v>1</v>
      </c>
      <c r="AV166" s="124">
        <v>3</v>
      </c>
      <c r="AW166" s="146">
        <v>5</v>
      </c>
      <c r="AX166" s="124">
        <v>1</v>
      </c>
      <c r="AY166" s="128" t="b">
        <v>1</v>
      </c>
      <c r="AZ166" s="122" t="s">
        <v>1586</v>
      </c>
      <c r="BA166" s="122">
        <v>4</v>
      </c>
      <c r="BB166" s="126">
        <v>0.05</v>
      </c>
      <c r="BC166" s="126">
        <v>0.5</v>
      </c>
      <c r="BD166" s="129" t="b">
        <v>0</v>
      </c>
      <c r="BE166" s="122" t="s">
        <v>1873</v>
      </c>
      <c r="BF166" s="128" t="b">
        <v>1</v>
      </c>
      <c r="BG166" s="122" t="s">
        <v>1578</v>
      </c>
      <c r="BH166" s="133">
        <v>0.02</v>
      </c>
      <c r="BI166" s="156" t="s">
        <v>403</v>
      </c>
      <c r="BJ166" s="128" t="b">
        <v>1</v>
      </c>
      <c r="BK166" s="161">
        <v>1.5</v>
      </c>
      <c r="BL166" s="129" t="b">
        <v>0</v>
      </c>
      <c r="BM166" s="156" t="s">
        <v>412</v>
      </c>
      <c r="BN166" s="128" t="b">
        <v>1</v>
      </c>
      <c r="BO166" s="156" t="s">
        <v>1382</v>
      </c>
      <c r="BP166" s="157">
        <v>1</v>
      </c>
      <c r="BQ166" s="157">
        <v>0.5</v>
      </c>
      <c r="BR166" s="166" t="str">
        <f t="shared" ref="BR166:BR170" si="228">AH166&amp;"/ "&amp;AI166&amp;"/ "&amp;AJ166&amp;"/ "&amp;AK166</f>
        <v>5/ 8/ 11/ 13</v>
      </c>
      <c r="BS166" s="166" t="str">
        <f t="shared" si="213"/>
        <v>8 / 13 / 8</v>
      </c>
      <c r="BT166" s="166" t="str">
        <f t="shared" si="214"/>
        <v>0.05 / 0.5</v>
      </c>
      <c r="BU166" s="66">
        <v>642</v>
      </c>
      <c r="BV166" s="66">
        <v>375</v>
      </c>
      <c r="BW166" s="66">
        <v>300</v>
      </c>
      <c r="BX166" s="99">
        <f t="shared" si="215"/>
        <v>75</v>
      </c>
      <c r="BY166" s="66">
        <v>80</v>
      </c>
      <c r="BZ166" s="92">
        <f t="shared" si="216"/>
        <v>187</v>
      </c>
      <c r="CA166" s="204">
        <f t="shared" si="227"/>
        <v>0.58411214953271029</v>
      </c>
      <c r="CB166" s="205">
        <f t="shared" ref="CB166:CB170" si="229">IF(BU166=0,0,BY166/BU166)</f>
        <v>0.12461059190031153</v>
      </c>
      <c r="CC166" s="87">
        <v>4.18</v>
      </c>
      <c r="CD166" s="87">
        <v>30.25</v>
      </c>
      <c r="CE166" s="87">
        <v>0.39</v>
      </c>
      <c r="CF166" s="170">
        <f t="shared" si="217"/>
        <v>1.5</v>
      </c>
      <c r="CG166" s="87">
        <v>0.68</v>
      </c>
      <c r="CH166" s="87">
        <v>0.5</v>
      </c>
      <c r="CI166" s="93">
        <v>10438.1</v>
      </c>
      <c r="CJ166" s="87">
        <v>27.83</v>
      </c>
      <c r="CK166" s="87">
        <v>26.58</v>
      </c>
      <c r="CL166" s="87">
        <v>-4.96</v>
      </c>
      <c r="CM166" s="165">
        <v>1000</v>
      </c>
      <c r="CN166" s="93">
        <v>19417.2</v>
      </c>
      <c r="CO166" s="108">
        <f t="shared" si="218"/>
        <v>20417.2</v>
      </c>
      <c r="CP166" s="108">
        <f t="shared" si="219"/>
        <v>1941.72</v>
      </c>
      <c r="CR166" s="82">
        <f t="shared" si="220"/>
        <v>12</v>
      </c>
      <c r="CS166" s="80">
        <f t="shared" si="221"/>
        <v>869.8416666666667</v>
      </c>
      <c r="CT166" s="80">
        <f t="shared" si="222"/>
        <v>1618.1000000000001</v>
      </c>
      <c r="CU166" s="80">
        <f t="shared" si="223"/>
        <v>161.81</v>
      </c>
      <c r="CW166" s="80">
        <f t="shared" si="224"/>
        <v>10438.1</v>
      </c>
      <c r="CX166" s="80">
        <f t="shared" si="225"/>
        <v>19417.2</v>
      </c>
      <c r="CY166" s="80">
        <f t="shared" si="226"/>
        <v>1941.72</v>
      </c>
    </row>
    <row r="167" spans="1:103" hidden="1" outlineLevel="1" x14ac:dyDescent="0.2">
      <c r="A167" s="120"/>
      <c r="B167" s="72"/>
      <c r="C167" s="57" t="s">
        <v>1387</v>
      </c>
      <c r="D167" s="57" t="s">
        <v>1888</v>
      </c>
      <c r="E167" s="65" t="s">
        <v>1389</v>
      </c>
      <c r="F167" s="57" t="s">
        <v>1454</v>
      </c>
      <c r="G167" s="62" t="s">
        <v>1556</v>
      </c>
      <c r="H167" s="129" t="b">
        <v>0</v>
      </c>
      <c r="J167" s="123" t="s">
        <v>1866</v>
      </c>
      <c r="K167" s="123" t="s">
        <v>1866</v>
      </c>
      <c r="L167" s="123" t="s">
        <v>1866</v>
      </c>
      <c r="M167" s="137" t="b">
        <v>0</v>
      </c>
      <c r="Q167" s="128" t="b">
        <v>1</v>
      </c>
      <c r="R167" s="127" t="s">
        <v>1559</v>
      </c>
      <c r="S167" s="135" t="b">
        <v>1</v>
      </c>
      <c r="T167" s="126">
        <v>13</v>
      </c>
      <c r="U167" s="124">
        <v>1.4999999999999999E-2</v>
      </c>
      <c r="V167" s="126">
        <v>75</v>
      </c>
      <c r="W167" s="126">
        <v>-75</v>
      </c>
      <c r="X167" s="124">
        <v>50</v>
      </c>
      <c r="Y167" s="124">
        <v>5</v>
      </c>
      <c r="Z167" s="128" t="b">
        <v>1</v>
      </c>
      <c r="AA167" s="127" t="s">
        <v>1867</v>
      </c>
      <c r="AB167" s="133">
        <v>2</v>
      </c>
      <c r="AC167" s="137" t="b">
        <v>0</v>
      </c>
      <c r="AE167" s="137" t="b">
        <v>0</v>
      </c>
      <c r="AG167" s="135" t="b">
        <v>1</v>
      </c>
      <c r="AH167" s="125">
        <v>5</v>
      </c>
      <c r="AI167" s="125">
        <v>8</v>
      </c>
      <c r="AJ167" s="125">
        <v>11</v>
      </c>
      <c r="AK167" s="125">
        <v>13</v>
      </c>
      <c r="AL167" s="129" t="b">
        <v>0</v>
      </c>
      <c r="AM167" s="128" t="b">
        <v>1</v>
      </c>
      <c r="AN167" s="131" t="s">
        <v>1469</v>
      </c>
      <c r="AO167" s="141">
        <v>1.0000000000000001E-5</v>
      </c>
      <c r="AP167" s="128" t="b">
        <v>1</v>
      </c>
      <c r="AQ167" s="141">
        <v>1.0000000000000001E-5</v>
      </c>
      <c r="AR167" s="149">
        <v>8</v>
      </c>
      <c r="AS167" s="149">
        <v>13</v>
      </c>
      <c r="AT167" s="149">
        <v>11</v>
      </c>
      <c r="AU167" s="128" t="b">
        <v>1</v>
      </c>
      <c r="AV167" s="124">
        <v>3</v>
      </c>
      <c r="AW167" s="146">
        <v>5</v>
      </c>
      <c r="AX167" s="124">
        <v>1</v>
      </c>
      <c r="AY167" s="128" t="b">
        <v>1</v>
      </c>
      <c r="AZ167" s="122" t="s">
        <v>1586</v>
      </c>
      <c r="BA167" s="122">
        <v>4</v>
      </c>
      <c r="BB167" s="126">
        <v>0.05</v>
      </c>
      <c r="BC167" s="126">
        <v>0.5</v>
      </c>
      <c r="BD167" s="129" t="b">
        <v>0</v>
      </c>
      <c r="BE167" s="122" t="s">
        <v>1873</v>
      </c>
      <c r="BF167" s="128" t="b">
        <v>1</v>
      </c>
      <c r="BG167" s="122" t="s">
        <v>1578</v>
      </c>
      <c r="BH167" s="133">
        <v>0.02</v>
      </c>
      <c r="BI167" s="156" t="s">
        <v>403</v>
      </c>
      <c r="BJ167" s="128" t="b">
        <v>1</v>
      </c>
      <c r="BK167" s="161">
        <v>1.5</v>
      </c>
      <c r="BL167" s="129" t="b">
        <v>0</v>
      </c>
      <c r="BM167" s="156" t="s">
        <v>412</v>
      </c>
      <c r="BN167" s="128" t="b">
        <v>1</v>
      </c>
      <c r="BO167" s="156" t="s">
        <v>1382</v>
      </c>
      <c r="BP167" s="157">
        <v>1</v>
      </c>
      <c r="BQ167" s="157">
        <v>0.5</v>
      </c>
      <c r="BR167" s="166" t="str">
        <f t="shared" si="228"/>
        <v>5/ 8/ 11/ 13</v>
      </c>
      <c r="BS167" s="166" t="str">
        <f t="shared" si="213"/>
        <v>8 / 13 / 11</v>
      </c>
      <c r="BT167" s="166" t="str">
        <f t="shared" si="214"/>
        <v>0.05 / 0.5</v>
      </c>
      <c r="BU167" s="66">
        <v>639</v>
      </c>
      <c r="BV167" s="66">
        <v>374</v>
      </c>
      <c r="BW167" s="66">
        <v>300</v>
      </c>
      <c r="BX167" s="99">
        <f t="shared" si="215"/>
        <v>74</v>
      </c>
      <c r="BY167" s="66">
        <v>80</v>
      </c>
      <c r="BZ167" s="92">
        <f t="shared" si="216"/>
        <v>185</v>
      </c>
      <c r="CA167" s="204">
        <f t="shared" si="227"/>
        <v>0.58528951486697967</v>
      </c>
      <c r="CB167" s="205">
        <f t="shared" si="229"/>
        <v>0.12519561815336464</v>
      </c>
      <c r="CC167" s="87">
        <v>4.17</v>
      </c>
      <c r="CD167" s="87">
        <v>30.49</v>
      </c>
      <c r="CE167" s="87">
        <v>0.4</v>
      </c>
      <c r="CF167" s="170">
        <f t="shared" si="217"/>
        <v>1.5</v>
      </c>
      <c r="CG167" s="87">
        <v>0.68</v>
      </c>
      <c r="CH167" s="87">
        <v>0.5</v>
      </c>
      <c r="CI167" s="93">
        <v>10399.799999999999</v>
      </c>
      <c r="CJ167" s="87">
        <v>27.81</v>
      </c>
      <c r="CK167" s="87">
        <v>26.61</v>
      </c>
      <c r="CL167" s="87">
        <v>-4.96</v>
      </c>
      <c r="CM167" s="165">
        <v>1000</v>
      </c>
      <c r="CN167" s="93">
        <v>19484.25</v>
      </c>
      <c r="CO167" s="108">
        <f t="shared" si="218"/>
        <v>20484.25</v>
      </c>
      <c r="CP167" s="108">
        <f t="shared" si="219"/>
        <v>1948.425</v>
      </c>
      <c r="CR167" s="82">
        <f t="shared" si="220"/>
        <v>12</v>
      </c>
      <c r="CS167" s="80">
        <f t="shared" si="221"/>
        <v>866.65</v>
      </c>
      <c r="CT167" s="80">
        <f t="shared" si="222"/>
        <v>1623.6875</v>
      </c>
      <c r="CU167" s="80">
        <f t="shared" si="223"/>
        <v>162.36875000000001</v>
      </c>
      <c r="CW167" s="80">
        <f t="shared" si="224"/>
        <v>10399.799999999999</v>
      </c>
      <c r="CX167" s="80">
        <f t="shared" si="225"/>
        <v>19484.25</v>
      </c>
      <c r="CY167" s="80">
        <f t="shared" si="226"/>
        <v>1948.425</v>
      </c>
    </row>
    <row r="168" spans="1:103" hidden="1" outlineLevel="1" x14ac:dyDescent="0.2">
      <c r="A168" s="120"/>
      <c r="B168" s="72"/>
      <c r="C168" s="57" t="s">
        <v>1387</v>
      </c>
      <c r="D168" s="57" t="s">
        <v>1888</v>
      </c>
      <c r="E168" s="65" t="s">
        <v>1389</v>
      </c>
      <c r="F168" s="57" t="s">
        <v>1454</v>
      </c>
      <c r="G168" s="62" t="s">
        <v>1556</v>
      </c>
      <c r="H168" s="129" t="b">
        <v>0</v>
      </c>
      <c r="J168" s="123" t="s">
        <v>1866</v>
      </c>
      <c r="K168" s="123" t="s">
        <v>1866</v>
      </c>
      <c r="L168" s="123" t="s">
        <v>1866</v>
      </c>
      <c r="M168" s="137" t="b">
        <v>0</v>
      </c>
      <c r="Q168" s="128" t="b">
        <v>1</v>
      </c>
      <c r="R168" s="127" t="s">
        <v>1559</v>
      </c>
      <c r="S168" s="135" t="b">
        <v>1</v>
      </c>
      <c r="T168" s="126">
        <v>13</v>
      </c>
      <c r="U168" s="124">
        <v>1.4999999999999999E-2</v>
      </c>
      <c r="V168" s="126">
        <v>75</v>
      </c>
      <c r="W168" s="126">
        <v>-75</v>
      </c>
      <c r="X168" s="124">
        <v>50</v>
      </c>
      <c r="Y168" s="124">
        <v>5</v>
      </c>
      <c r="Z168" s="128" t="b">
        <v>1</v>
      </c>
      <c r="AA168" s="127" t="s">
        <v>1867</v>
      </c>
      <c r="AB168" s="133">
        <v>2</v>
      </c>
      <c r="AC168" s="137" t="b">
        <v>0</v>
      </c>
      <c r="AE168" s="137" t="b">
        <v>0</v>
      </c>
      <c r="AG168" s="135" t="b">
        <v>1</v>
      </c>
      <c r="AH168" s="125">
        <v>5</v>
      </c>
      <c r="AI168" s="125">
        <v>8</v>
      </c>
      <c r="AJ168" s="125">
        <v>11</v>
      </c>
      <c r="AK168" s="125">
        <v>13</v>
      </c>
      <c r="AL168" s="129" t="b">
        <v>0</v>
      </c>
      <c r="AM168" s="128" t="b">
        <v>1</v>
      </c>
      <c r="AN168" s="131" t="s">
        <v>1469</v>
      </c>
      <c r="AO168" s="141">
        <v>1.0000000000000001E-5</v>
      </c>
      <c r="AP168" s="128" t="b">
        <v>1</v>
      </c>
      <c r="AQ168" s="141">
        <v>1.0000000000000001E-5</v>
      </c>
      <c r="AR168" s="150">
        <v>8</v>
      </c>
      <c r="AS168" s="150">
        <v>17</v>
      </c>
      <c r="AT168" s="150">
        <v>9</v>
      </c>
      <c r="AU168" s="128" t="b">
        <v>1</v>
      </c>
      <c r="AV168" s="124">
        <v>3</v>
      </c>
      <c r="AW168" s="146">
        <v>5</v>
      </c>
      <c r="AX168" s="124">
        <v>1</v>
      </c>
      <c r="AY168" s="128" t="b">
        <v>1</v>
      </c>
      <c r="AZ168" s="122" t="s">
        <v>1586</v>
      </c>
      <c r="BA168" s="122">
        <v>4</v>
      </c>
      <c r="BB168" s="126">
        <v>0.05</v>
      </c>
      <c r="BC168" s="126">
        <v>0.5</v>
      </c>
      <c r="BD168" s="129" t="b">
        <v>0</v>
      </c>
      <c r="BE168" s="122" t="s">
        <v>1873</v>
      </c>
      <c r="BF168" s="128" t="b">
        <v>1</v>
      </c>
      <c r="BG168" s="122" t="s">
        <v>1578</v>
      </c>
      <c r="BH168" s="133">
        <v>0.02</v>
      </c>
      <c r="BI168" s="156" t="s">
        <v>403</v>
      </c>
      <c r="BJ168" s="128" t="b">
        <v>1</v>
      </c>
      <c r="BK168" s="161">
        <v>1.5</v>
      </c>
      <c r="BL168" s="129" t="b">
        <v>0</v>
      </c>
      <c r="BM168" s="156" t="s">
        <v>412</v>
      </c>
      <c r="BN168" s="128" t="b">
        <v>1</v>
      </c>
      <c r="BO168" s="156" t="s">
        <v>1382</v>
      </c>
      <c r="BP168" s="157">
        <v>1</v>
      </c>
      <c r="BQ168" s="157">
        <v>0.5</v>
      </c>
      <c r="BR168" s="166" t="str">
        <f t="shared" si="228"/>
        <v>5/ 8/ 11/ 13</v>
      </c>
      <c r="BS168" s="166" t="str">
        <f t="shared" si="213"/>
        <v>8 / 17 / 9</v>
      </c>
      <c r="BT168" s="166" t="str">
        <f t="shared" si="214"/>
        <v>0.05 / 0.5</v>
      </c>
      <c r="BU168" s="66">
        <v>639</v>
      </c>
      <c r="BV168" s="66">
        <v>376</v>
      </c>
      <c r="BW168" s="66">
        <v>303</v>
      </c>
      <c r="BX168" s="99">
        <f t="shared" si="215"/>
        <v>73</v>
      </c>
      <c r="BY168" s="66">
        <v>79</v>
      </c>
      <c r="BZ168" s="92">
        <f t="shared" si="216"/>
        <v>184</v>
      </c>
      <c r="CA168" s="204">
        <f t="shared" si="227"/>
        <v>0.58841940532081383</v>
      </c>
      <c r="CB168" s="205">
        <f t="shared" si="229"/>
        <v>0.12363067292644757</v>
      </c>
      <c r="CC168" s="87">
        <v>4.2699999999999996</v>
      </c>
      <c r="CD168" s="87">
        <v>30.84</v>
      </c>
      <c r="CE168" s="87">
        <v>0.4</v>
      </c>
      <c r="CF168" s="170">
        <f t="shared" si="217"/>
        <v>1.5</v>
      </c>
      <c r="CG168" s="87">
        <v>0.68</v>
      </c>
      <c r="CH168" s="87">
        <v>0.5</v>
      </c>
      <c r="CI168" s="93">
        <v>10400.299999999999</v>
      </c>
      <c r="CJ168" s="87">
        <v>27.66</v>
      </c>
      <c r="CK168" s="87">
        <v>26.49</v>
      </c>
      <c r="CL168" s="87">
        <v>-4.96</v>
      </c>
      <c r="CM168" s="165">
        <v>1000</v>
      </c>
      <c r="CN168" s="93">
        <v>19704.47</v>
      </c>
      <c r="CO168" s="108">
        <f t="shared" si="218"/>
        <v>20704.47</v>
      </c>
      <c r="CP168" s="108">
        <f t="shared" si="219"/>
        <v>1970.4470000000001</v>
      </c>
      <c r="CR168" s="82">
        <f t="shared" si="220"/>
        <v>12</v>
      </c>
      <c r="CS168" s="80">
        <f t="shared" si="221"/>
        <v>866.69166666666661</v>
      </c>
      <c r="CT168" s="80">
        <f t="shared" si="222"/>
        <v>1642.0391666666667</v>
      </c>
      <c r="CU168" s="80">
        <f t="shared" si="223"/>
        <v>164.20391666666666</v>
      </c>
      <c r="CW168" s="80">
        <f t="shared" si="224"/>
        <v>10400.299999999999</v>
      </c>
      <c r="CX168" s="80">
        <f t="shared" si="225"/>
        <v>19704.47</v>
      </c>
      <c r="CY168" s="80">
        <f t="shared" si="226"/>
        <v>1970.4470000000001</v>
      </c>
    </row>
    <row r="169" spans="1:103" hidden="1" outlineLevel="1" x14ac:dyDescent="0.2">
      <c r="A169" s="120"/>
      <c r="B169" s="72"/>
      <c r="C169" s="57" t="s">
        <v>1387</v>
      </c>
      <c r="D169" s="57" t="s">
        <v>1888</v>
      </c>
      <c r="E169" s="65" t="s">
        <v>1389</v>
      </c>
      <c r="F169" s="57" t="s">
        <v>1454</v>
      </c>
      <c r="G169" s="62" t="s">
        <v>1556</v>
      </c>
      <c r="H169" s="129" t="b">
        <v>0</v>
      </c>
      <c r="J169" s="123" t="s">
        <v>1866</v>
      </c>
      <c r="K169" s="123" t="s">
        <v>1866</v>
      </c>
      <c r="L169" s="123" t="s">
        <v>1866</v>
      </c>
      <c r="M169" s="137" t="b">
        <v>0</v>
      </c>
      <c r="Q169" s="128" t="b">
        <v>1</v>
      </c>
      <c r="R169" s="127" t="s">
        <v>1559</v>
      </c>
      <c r="S169" s="135" t="b">
        <v>1</v>
      </c>
      <c r="T169" s="126">
        <v>13</v>
      </c>
      <c r="U169" s="124">
        <v>1.4999999999999999E-2</v>
      </c>
      <c r="V169" s="126">
        <v>75</v>
      </c>
      <c r="W169" s="126">
        <v>-75</v>
      </c>
      <c r="X169" s="124">
        <v>50</v>
      </c>
      <c r="Y169" s="124">
        <v>5</v>
      </c>
      <c r="Z169" s="128" t="b">
        <v>1</v>
      </c>
      <c r="AA169" s="127" t="s">
        <v>1867</v>
      </c>
      <c r="AB169" s="133">
        <v>2</v>
      </c>
      <c r="AC169" s="137" t="b">
        <v>0</v>
      </c>
      <c r="AE169" s="137" t="b">
        <v>0</v>
      </c>
      <c r="AG169" s="135" t="b">
        <v>1</v>
      </c>
      <c r="AH169" s="125">
        <v>5</v>
      </c>
      <c r="AI169" s="125">
        <v>8</v>
      </c>
      <c r="AJ169" s="125">
        <v>11</v>
      </c>
      <c r="AK169" s="125">
        <v>13</v>
      </c>
      <c r="AL169" s="129" t="b">
        <v>0</v>
      </c>
      <c r="AM169" s="128" t="b">
        <v>1</v>
      </c>
      <c r="AN169" s="131" t="s">
        <v>1469</v>
      </c>
      <c r="AO169" s="141">
        <v>1.0000000000000001E-5</v>
      </c>
      <c r="AP169" s="128" t="b">
        <v>1</v>
      </c>
      <c r="AQ169" s="141">
        <v>1.0000000000000001E-5</v>
      </c>
      <c r="AR169" s="152">
        <v>12</v>
      </c>
      <c r="AS169" s="152">
        <v>26</v>
      </c>
      <c r="AT169" s="152">
        <v>9</v>
      </c>
      <c r="AU169" s="128" t="b">
        <v>1</v>
      </c>
      <c r="AV169" s="124">
        <v>3</v>
      </c>
      <c r="AW169" s="146">
        <v>5</v>
      </c>
      <c r="AX169" s="124">
        <v>1</v>
      </c>
      <c r="AY169" s="128" t="b">
        <v>1</v>
      </c>
      <c r="AZ169" s="122" t="s">
        <v>1586</v>
      </c>
      <c r="BA169" s="122">
        <v>4</v>
      </c>
      <c r="BB169" s="126">
        <v>0.05</v>
      </c>
      <c r="BC169" s="126">
        <v>0.5</v>
      </c>
      <c r="BD169" s="129" t="b">
        <v>0</v>
      </c>
      <c r="BE169" s="122" t="s">
        <v>1873</v>
      </c>
      <c r="BF169" s="128" t="b">
        <v>1</v>
      </c>
      <c r="BG169" s="122" t="s">
        <v>1578</v>
      </c>
      <c r="BH169" s="133">
        <v>0.02</v>
      </c>
      <c r="BI169" s="156" t="s">
        <v>403</v>
      </c>
      <c r="BJ169" s="128" t="b">
        <v>1</v>
      </c>
      <c r="BK169" s="161">
        <v>1.5</v>
      </c>
      <c r="BL169" s="129" t="b">
        <v>0</v>
      </c>
      <c r="BM169" s="156" t="s">
        <v>412</v>
      </c>
      <c r="BN169" s="128" t="b">
        <v>1</v>
      </c>
      <c r="BO169" s="156" t="s">
        <v>1382</v>
      </c>
      <c r="BP169" s="157">
        <v>1</v>
      </c>
      <c r="BQ169" s="157">
        <v>0.5</v>
      </c>
      <c r="BR169" s="166" t="str">
        <f t="shared" si="228"/>
        <v>5/ 8/ 11/ 13</v>
      </c>
      <c r="BS169" s="166" t="str">
        <f t="shared" si="213"/>
        <v>12 / 26 / 9</v>
      </c>
      <c r="BT169" s="166" t="str">
        <f t="shared" si="214"/>
        <v>0.05 / 0.5</v>
      </c>
      <c r="BU169" s="66">
        <v>652</v>
      </c>
      <c r="BV169" s="66">
        <v>377</v>
      </c>
      <c r="BW169" s="66">
        <v>299</v>
      </c>
      <c r="BX169" s="99">
        <f t="shared" si="215"/>
        <v>78</v>
      </c>
      <c r="BY169" s="66">
        <v>82</v>
      </c>
      <c r="BZ169" s="92">
        <f t="shared" si="216"/>
        <v>193</v>
      </c>
      <c r="CA169" s="204">
        <f t="shared" si="227"/>
        <v>0.57822085889570551</v>
      </c>
      <c r="CB169" s="205">
        <f t="shared" si="229"/>
        <v>0.12576687116564417</v>
      </c>
      <c r="CC169" s="87">
        <v>4.17</v>
      </c>
      <c r="CD169" s="87">
        <v>31.98</v>
      </c>
      <c r="CE169" s="87">
        <v>0.4</v>
      </c>
      <c r="CF169" s="170">
        <f t="shared" si="217"/>
        <v>1.5</v>
      </c>
      <c r="CG169" s="87">
        <v>0.7</v>
      </c>
      <c r="CH169" s="87">
        <v>0.51</v>
      </c>
      <c r="CI169" s="93">
        <v>10474.6</v>
      </c>
      <c r="CJ169" s="87">
        <v>27.78</v>
      </c>
      <c r="CK169" s="87">
        <v>26.23</v>
      </c>
      <c r="CL169" s="87">
        <v>-5.42</v>
      </c>
      <c r="CM169" s="165">
        <v>1000</v>
      </c>
      <c r="CN169" s="103">
        <v>20847.5</v>
      </c>
      <c r="CO169" s="112">
        <f t="shared" si="218"/>
        <v>21847.5</v>
      </c>
      <c r="CP169" s="112">
        <f t="shared" si="219"/>
        <v>2084.75</v>
      </c>
      <c r="CR169" s="82">
        <f t="shared" si="220"/>
        <v>12</v>
      </c>
      <c r="CS169" s="80">
        <f t="shared" si="221"/>
        <v>872.88333333333333</v>
      </c>
      <c r="CT169" s="80">
        <f t="shared" si="222"/>
        <v>1737.2916666666667</v>
      </c>
      <c r="CU169" s="80">
        <f t="shared" si="223"/>
        <v>173.72916666666669</v>
      </c>
      <c r="CW169" s="80">
        <f t="shared" si="224"/>
        <v>10474.6</v>
      </c>
      <c r="CX169" s="80">
        <f t="shared" si="225"/>
        <v>20847.5</v>
      </c>
      <c r="CY169" s="80">
        <f t="shared" si="226"/>
        <v>2084.75</v>
      </c>
    </row>
    <row r="170" spans="1:103" hidden="1" outlineLevel="1" x14ac:dyDescent="0.2">
      <c r="A170" s="120"/>
      <c r="B170" s="72"/>
      <c r="C170" s="57" t="s">
        <v>1387</v>
      </c>
      <c r="D170" s="57" t="s">
        <v>1888</v>
      </c>
      <c r="E170" s="65" t="s">
        <v>1389</v>
      </c>
      <c r="F170" s="57" t="s">
        <v>1454</v>
      </c>
      <c r="G170" s="62" t="s">
        <v>1556</v>
      </c>
      <c r="H170" s="129" t="b">
        <v>0</v>
      </c>
      <c r="J170" s="123" t="s">
        <v>1866</v>
      </c>
      <c r="K170" s="123" t="s">
        <v>1866</v>
      </c>
      <c r="L170" s="123" t="s">
        <v>1866</v>
      </c>
      <c r="M170" s="137" t="b">
        <v>0</v>
      </c>
      <c r="Q170" s="128" t="b">
        <v>1</v>
      </c>
      <c r="R170" s="127" t="s">
        <v>1559</v>
      </c>
      <c r="S170" s="135" t="b">
        <v>1</v>
      </c>
      <c r="T170" s="126">
        <v>13</v>
      </c>
      <c r="U170" s="124">
        <v>1.4999999999999999E-2</v>
      </c>
      <c r="V170" s="126">
        <v>75</v>
      </c>
      <c r="W170" s="126">
        <v>-75</v>
      </c>
      <c r="X170" s="124">
        <v>50</v>
      </c>
      <c r="Y170" s="124">
        <v>5</v>
      </c>
      <c r="Z170" s="128" t="b">
        <v>1</v>
      </c>
      <c r="AA170" s="127" t="s">
        <v>1867</v>
      </c>
      <c r="AB170" s="133">
        <v>2</v>
      </c>
      <c r="AC170" s="137" t="b">
        <v>0</v>
      </c>
      <c r="AE170" s="137" t="b">
        <v>0</v>
      </c>
      <c r="AG170" s="135" t="b">
        <v>1</v>
      </c>
      <c r="AH170" s="125">
        <v>5</v>
      </c>
      <c r="AI170" s="125">
        <v>8</v>
      </c>
      <c r="AJ170" s="125">
        <v>11</v>
      </c>
      <c r="AK170" s="125">
        <v>13</v>
      </c>
      <c r="AL170" s="129" t="b">
        <v>0</v>
      </c>
      <c r="AM170" s="128" t="b">
        <v>1</v>
      </c>
      <c r="AN170" s="131" t="s">
        <v>1469</v>
      </c>
      <c r="AO170" s="141">
        <v>1.0000000000000001E-5</v>
      </c>
      <c r="AP170" s="128" t="b">
        <v>1</v>
      </c>
      <c r="AQ170" s="141">
        <v>1.0000000000000001E-5</v>
      </c>
      <c r="AR170" s="137">
        <v>21</v>
      </c>
      <c r="AS170" s="137">
        <v>34</v>
      </c>
      <c r="AT170" s="137">
        <v>9</v>
      </c>
      <c r="AU170" s="128" t="b">
        <v>1</v>
      </c>
      <c r="AV170" s="124">
        <v>3</v>
      </c>
      <c r="AW170" s="146">
        <v>5</v>
      </c>
      <c r="AX170" s="124">
        <v>1</v>
      </c>
      <c r="AY170" s="128" t="b">
        <v>1</v>
      </c>
      <c r="AZ170" s="122" t="s">
        <v>1586</v>
      </c>
      <c r="BA170" s="122">
        <v>4</v>
      </c>
      <c r="BB170" s="126">
        <v>0.05</v>
      </c>
      <c r="BC170" s="126">
        <v>0.5</v>
      </c>
      <c r="BD170" s="129" t="b">
        <v>0</v>
      </c>
      <c r="BE170" s="122" t="s">
        <v>1873</v>
      </c>
      <c r="BF170" s="128" t="b">
        <v>1</v>
      </c>
      <c r="BG170" s="122" t="s">
        <v>1578</v>
      </c>
      <c r="BH170" s="133">
        <v>0.02</v>
      </c>
      <c r="BI170" s="156" t="s">
        <v>403</v>
      </c>
      <c r="BJ170" s="128" t="b">
        <v>1</v>
      </c>
      <c r="BK170" s="161">
        <v>1.5</v>
      </c>
      <c r="BL170" s="129" t="b">
        <v>0</v>
      </c>
      <c r="BM170" s="156" t="s">
        <v>412</v>
      </c>
      <c r="BN170" s="128" t="b">
        <v>1</v>
      </c>
      <c r="BO170" s="156" t="s">
        <v>1382</v>
      </c>
      <c r="BP170" s="157">
        <v>1</v>
      </c>
      <c r="BQ170" s="157">
        <v>0.5</v>
      </c>
      <c r="BR170" s="166" t="str">
        <f t="shared" si="228"/>
        <v>5/ 8/ 11/ 13</v>
      </c>
      <c r="BS170" s="166" t="str">
        <f t="shared" si="213"/>
        <v>21 / 34 / 9</v>
      </c>
      <c r="BT170" s="166" t="str">
        <f t="shared" si="214"/>
        <v>0.05 / 0.5</v>
      </c>
      <c r="BU170" s="66">
        <v>648</v>
      </c>
      <c r="BV170" s="66">
        <v>369</v>
      </c>
      <c r="BW170" s="66">
        <v>293</v>
      </c>
      <c r="BX170" s="99">
        <f t="shared" si="215"/>
        <v>76</v>
      </c>
      <c r="BY170" s="66">
        <v>84</v>
      </c>
      <c r="BZ170" s="92">
        <f t="shared" si="216"/>
        <v>195</v>
      </c>
      <c r="CA170" s="204">
        <f t="shared" si="227"/>
        <v>0.56944444444444442</v>
      </c>
      <c r="CB170" s="205">
        <f t="shared" si="229"/>
        <v>0.12962962962962962</v>
      </c>
      <c r="CC170" s="87">
        <v>3.94</v>
      </c>
      <c r="CD170" s="87">
        <v>30.82</v>
      </c>
      <c r="CE170" s="87">
        <v>0.39</v>
      </c>
      <c r="CF170" s="170">
        <f t="shared" si="217"/>
        <v>1.5</v>
      </c>
      <c r="CG170" s="87">
        <v>0.7</v>
      </c>
      <c r="CH170" s="87">
        <v>0.52</v>
      </c>
      <c r="CI170" s="93">
        <v>10318.1</v>
      </c>
      <c r="CJ170" s="87">
        <v>27.96</v>
      </c>
      <c r="CK170" s="87">
        <v>26.62</v>
      </c>
      <c r="CL170" s="87">
        <v>-5.42</v>
      </c>
      <c r="CM170" s="165">
        <v>1000</v>
      </c>
      <c r="CN170" s="102">
        <v>19970.57</v>
      </c>
      <c r="CO170" s="110">
        <f t="shared" si="218"/>
        <v>20970.57</v>
      </c>
      <c r="CP170" s="110">
        <f t="shared" si="219"/>
        <v>1997.057</v>
      </c>
      <c r="CR170" s="82">
        <f t="shared" si="220"/>
        <v>12</v>
      </c>
      <c r="CS170" s="80">
        <f t="shared" si="221"/>
        <v>859.8416666666667</v>
      </c>
      <c r="CT170" s="80">
        <f t="shared" si="222"/>
        <v>1664.2141666666666</v>
      </c>
      <c r="CU170" s="80">
        <f t="shared" si="223"/>
        <v>166.42141666666666</v>
      </c>
      <c r="CW170" s="80">
        <f t="shared" si="224"/>
        <v>10318.1</v>
      </c>
      <c r="CX170" s="80">
        <f t="shared" si="225"/>
        <v>19970.57</v>
      </c>
      <c r="CY170" s="80">
        <f t="shared" si="226"/>
        <v>1997.057</v>
      </c>
    </row>
    <row r="171" spans="1:103" hidden="1" outlineLevel="1" x14ac:dyDescent="0.2">
      <c r="G171" s="113"/>
      <c r="AE171" s="124"/>
      <c r="AO171" s="127"/>
      <c r="AQ171" s="138"/>
      <c r="BR171" s="162"/>
    </row>
    <row r="172" spans="1:103" collapsed="1" x14ac:dyDescent="0.2">
      <c r="A172" s="120"/>
      <c r="B172" s="72" t="s">
        <v>1897</v>
      </c>
      <c r="C172" s="57" t="s">
        <v>1387</v>
      </c>
      <c r="D172" s="57" t="s">
        <v>1888</v>
      </c>
      <c r="E172" s="65" t="s">
        <v>1389</v>
      </c>
      <c r="F172" s="57" t="s">
        <v>1454</v>
      </c>
      <c r="G172" s="62" t="s">
        <v>1556</v>
      </c>
      <c r="H172" s="129" t="b">
        <v>0</v>
      </c>
      <c r="J172" s="123" t="s">
        <v>1866</v>
      </c>
      <c r="K172" s="123" t="s">
        <v>1866</v>
      </c>
      <c r="L172" s="123" t="s">
        <v>1866</v>
      </c>
      <c r="M172" s="137" t="b">
        <v>0</v>
      </c>
      <c r="Q172" s="128" t="b">
        <v>1</v>
      </c>
      <c r="R172" s="127" t="s">
        <v>1559</v>
      </c>
      <c r="S172" s="135" t="b">
        <v>1</v>
      </c>
      <c r="T172" s="126">
        <v>13</v>
      </c>
      <c r="U172" s="124">
        <v>1.4999999999999999E-2</v>
      </c>
      <c r="V172" s="126">
        <v>75</v>
      </c>
      <c r="W172" s="126">
        <v>-75</v>
      </c>
      <c r="X172" s="124">
        <v>50</v>
      </c>
      <c r="Y172" s="124">
        <v>5</v>
      </c>
      <c r="Z172" s="128" t="b">
        <v>1</v>
      </c>
      <c r="AA172" s="127" t="s">
        <v>1867</v>
      </c>
      <c r="AB172" s="133">
        <v>2</v>
      </c>
      <c r="AC172" s="137" t="b">
        <v>0</v>
      </c>
      <c r="AE172" s="137" t="b">
        <v>0</v>
      </c>
      <c r="AG172" s="135" t="b">
        <v>1</v>
      </c>
      <c r="AH172" s="125">
        <v>5</v>
      </c>
      <c r="AI172" s="125">
        <v>8</v>
      </c>
      <c r="AJ172" s="125">
        <v>13</v>
      </c>
      <c r="AK172" s="125">
        <v>21</v>
      </c>
      <c r="AL172" s="129" t="b">
        <v>0</v>
      </c>
      <c r="AM172" s="128" t="b">
        <v>1</v>
      </c>
      <c r="AN172" s="131" t="s">
        <v>1469</v>
      </c>
      <c r="AO172" s="141">
        <v>1.0000000000000001E-5</v>
      </c>
      <c r="AP172" s="128" t="b">
        <v>1</v>
      </c>
      <c r="AQ172" s="141">
        <v>1.0000000000000001E-5</v>
      </c>
      <c r="AR172" s="126">
        <v>5</v>
      </c>
      <c r="AS172" s="126">
        <v>8</v>
      </c>
      <c r="AT172" s="126">
        <v>5</v>
      </c>
      <c r="AU172" s="128" t="b">
        <v>1</v>
      </c>
      <c r="AV172" s="124">
        <v>3</v>
      </c>
      <c r="AW172" s="146">
        <v>5</v>
      </c>
      <c r="AX172" s="124">
        <v>1</v>
      </c>
      <c r="AY172" s="128" t="b">
        <v>1</v>
      </c>
      <c r="AZ172" s="122" t="s">
        <v>1586</v>
      </c>
      <c r="BA172" s="122">
        <v>4</v>
      </c>
      <c r="BB172" s="126">
        <v>0.05</v>
      </c>
      <c r="BC172" s="126">
        <v>0.5</v>
      </c>
      <c r="BD172" s="129" t="b">
        <v>0</v>
      </c>
      <c r="BE172" s="122" t="s">
        <v>1873</v>
      </c>
      <c r="BF172" s="128" t="b">
        <v>1</v>
      </c>
      <c r="BG172" s="122" t="s">
        <v>1578</v>
      </c>
      <c r="BH172" s="133">
        <v>0.02</v>
      </c>
      <c r="BI172" s="156" t="s">
        <v>403</v>
      </c>
      <c r="BJ172" s="128" t="b">
        <v>1</v>
      </c>
      <c r="BK172" s="161">
        <v>1.5</v>
      </c>
      <c r="BL172" s="129" t="b">
        <v>0</v>
      </c>
      <c r="BM172" s="156" t="s">
        <v>412</v>
      </c>
      <c r="BN172" s="128" t="b">
        <v>1</v>
      </c>
      <c r="BO172" s="156" t="s">
        <v>1382</v>
      </c>
      <c r="BP172" s="157">
        <v>1</v>
      </c>
      <c r="BQ172" s="157">
        <v>0.5</v>
      </c>
      <c r="BR172" s="166" t="str">
        <f t="shared" ref="BR172:BR179" si="230">AH172&amp;"/ "&amp;AI172&amp;"/ "&amp;AJ172&amp;"/ "&amp;AK172</f>
        <v>5/ 8/ 13/ 21</v>
      </c>
      <c r="BS172" s="166" t="str">
        <f t="shared" ref="BS172:BS179" si="231">AR172&amp;" / "&amp;AS172&amp;" / "&amp;AT172</f>
        <v>5 / 8 / 5</v>
      </c>
      <c r="BT172" s="166" t="str">
        <f t="shared" ref="BT172:BT179" si="232">BB172&amp;" / "&amp;BC172</f>
        <v>0.05 / 0.5</v>
      </c>
      <c r="BU172" s="66">
        <v>576</v>
      </c>
      <c r="BV172" s="66">
        <v>343</v>
      </c>
      <c r="BW172" s="66">
        <v>281</v>
      </c>
      <c r="BX172" s="99">
        <f t="shared" ref="BX172:BX179" si="233">BV172-BW172</f>
        <v>62</v>
      </c>
      <c r="BY172" s="66">
        <v>55</v>
      </c>
      <c r="BZ172" s="92">
        <f t="shared" ref="BZ172:BZ179" si="234">BU172-SUM(BW172:BY172)</f>
        <v>178</v>
      </c>
      <c r="CA172" s="204">
        <f>IF(BU172=0,0,BV172/BU172)</f>
        <v>0.59548611111111116</v>
      </c>
      <c r="CB172" s="205">
        <f>IF(BU172=0,0,BY172/BU172)</f>
        <v>9.5486111111111105E-2</v>
      </c>
      <c r="CC172" s="87">
        <v>6.16</v>
      </c>
      <c r="CD172" s="87">
        <v>31.03</v>
      </c>
      <c r="CE172" s="87">
        <v>0.45</v>
      </c>
      <c r="CF172" s="170">
        <f t="shared" ref="CF172:CF179" si="235">BK172</f>
        <v>1.5</v>
      </c>
      <c r="CG172" s="87">
        <v>0.65</v>
      </c>
      <c r="CH172" s="87">
        <v>0.47</v>
      </c>
      <c r="CI172" s="93">
        <v>9463</v>
      </c>
      <c r="CJ172" s="87">
        <v>27.59</v>
      </c>
      <c r="CK172" s="87">
        <v>26.1</v>
      </c>
      <c r="CL172" s="87">
        <v>-4</v>
      </c>
      <c r="CM172" s="165">
        <v>1000</v>
      </c>
      <c r="CN172" s="206">
        <v>17837.740000000002</v>
      </c>
      <c r="CO172" s="207">
        <f t="shared" ref="CO172:CO179" si="236">CM172+CN172</f>
        <v>18837.740000000002</v>
      </c>
      <c r="CP172" s="207">
        <f t="shared" ref="CP172:CP179" si="237">CN172/10</f>
        <v>1783.7740000000001</v>
      </c>
      <c r="CR172" s="82">
        <f t="shared" ref="CR172:CR179" si="238">CR$4</f>
        <v>12</v>
      </c>
      <c r="CS172" s="80">
        <f t="shared" ref="CS172:CS179" si="239">CI172/CR172</f>
        <v>788.58333333333337</v>
      </c>
      <c r="CT172" s="80">
        <f t="shared" ref="CT172:CT179" si="240">CN172/CR172</f>
        <v>1486.4783333333335</v>
      </c>
      <c r="CU172" s="80">
        <f t="shared" ref="CU172:CU179" si="241">CT172/10</f>
        <v>148.64783333333335</v>
      </c>
      <c r="CW172" s="80">
        <f t="shared" ref="CW172:CW179" si="242">CI172</f>
        <v>9463</v>
      </c>
      <c r="CX172" s="80">
        <f t="shared" ref="CX172:CX179" si="243">CN172</f>
        <v>17837.740000000002</v>
      </c>
      <c r="CY172" s="80">
        <f t="shared" ref="CY172:CY179" si="244">CP172</f>
        <v>1783.7740000000001</v>
      </c>
    </row>
    <row r="173" spans="1:103" hidden="1" outlineLevel="1" x14ac:dyDescent="0.2">
      <c r="A173" s="120"/>
      <c r="B173" s="72"/>
      <c r="C173" s="57" t="s">
        <v>1387</v>
      </c>
      <c r="D173" s="57" t="s">
        <v>1888</v>
      </c>
      <c r="E173" s="65" t="s">
        <v>1389</v>
      </c>
      <c r="F173" s="57" t="s">
        <v>1454</v>
      </c>
      <c r="G173" s="62" t="s">
        <v>1556</v>
      </c>
      <c r="H173" s="129" t="b">
        <v>0</v>
      </c>
      <c r="J173" s="123" t="s">
        <v>1866</v>
      </c>
      <c r="K173" s="123" t="s">
        <v>1866</v>
      </c>
      <c r="L173" s="123" t="s">
        <v>1866</v>
      </c>
      <c r="M173" s="137" t="b">
        <v>0</v>
      </c>
      <c r="Q173" s="128" t="b">
        <v>1</v>
      </c>
      <c r="R173" s="127" t="s">
        <v>1559</v>
      </c>
      <c r="S173" s="135" t="b">
        <v>1</v>
      </c>
      <c r="T173" s="126">
        <v>13</v>
      </c>
      <c r="U173" s="124">
        <v>1.4999999999999999E-2</v>
      </c>
      <c r="V173" s="126">
        <v>75</v>
      </c>
      <c r="W173" s="126">
        <v>-75</v>
      </c>
      <c r="X173" s="124">
        <v>50</v>
      </c>
      <c r="Y173" s="124">
        <v>5</v>
      </c>
      <c r="Z173" s="128" t="b">
        <v>1</v>
      </c>
      <c r="AA173" s="127" t="s">
        <v>1867</v>
      </c>
      <c r="AB173" s="133">
        <v>2</v>
      </c>
      <c r="AC173" s="137" t="b">
        <v>0</v>
      </c>
      <c r="AE173" s="137" t="b">
        <v>0</v>
      </c>
      <c r="AG173" s="135" t="b">
        <v>1</v>
      </c>
      <c r="AH173" s="125">
        <v>5</v>
      </c>
      <c r="AI173" s="125">
        <v>8</v>
      </c>
      <c r="AJ173" s="125">
        <v>13</v>
      </c>
      <c r="AK173" s="125">
        <v>21</v>
      </c>
      <c r="AL173" s="129" t="b">
        <v>0</v>
      </c>
      <c r="AM173" s="128" t="b">
        <v>1</v>
      </c>
      <c r="AN173" s="131" t="s">
        <v>1469</v>
      </c>
      <c r="AO173" s="141">
        <v>1.0000000000000001E-5</v>
      </c>
      <c r="AP173" s="128" t="b">
        <v>1</v>
      </c>
      <c r="AQ173" s="141">
        <v>1.0000000000000001E-5</v>
      </c>
      <c r="AR173" s="137">
        <v>5</v>
      </c>
      <c r="AS173" s="137">
        <v>13</v>
      </c>
      <c r="AT173" s="137">
        <v>5</v>
      </c>
      <c r="AU173" s="128" t="b">
        <v>1</v>
      </c>
      <c r="AV173" s="124">
        <v>3</v>
      </c>
      <c r="AW173" s="146">
        <v>5</v>
      </c>
      <c r="AX173" s="124">
        <v>1</v>
      </c>
      <c r="AY173" s="128" t="b">
        <v>1</v>
      </c>
      <c r="AZ173" s="122" t="s">
        <v>1586</v>
      </c>
      <c r="BA173" s="122">
        <v>4</v>
      </c>
      <c r="BB173" s="126">
        <v>0.05</v>
      </c>
      <c r="BC173" s="126">
        <v>0.5</v>
      </c>
      <c r="BD173" s="129" t="b">
        <v>0</v>
      </c>
      <c r="BE173" s="122" t="s">
        <v>1873</v>
      </c>
      <c r="BF173" s="128" t="b">
        <v>1</v>
      </c>
      <c r="BG173" s="122" t="s">
        <v>1578</v>
      </c>
      <c r="BH173" s="133">
        <v>0.02</v>
      </c>
      <c r="BI173" s="156" t="s">
        <v>403</v>
      </c>
      <c r="BJ173" s="128" t="b">
        <v>1</v>
      </c>
      <c r="BK173" s="161">
        <v>1.5</v>
      </c>
      <c r="BL173" s="129" t="b">
        <v>0</v>
      </c>
      <c r="BM173" s="156" t="s">
        <v>412</v>
      </c>
      <c r="BN173" s="128" t="b">
        <v>1</v>
      </c>
      <c r="BO173" s="156" t="s">
        <v>1382</v>
      </c>
      <c r="BP173" s="157">
        <v>1</v>
      </c>
      <c r="BQ173" s="157">
        <v>0.5</v>
      </c>
      <c r="BR173" s="166" t="str">
        <f t="shared" si="230"/>
        <v>5/ 8/ 13/ 21</v>
      </c>
      <c r="BS173" s="166" t="str">
        <f t="shared" si="231"/>
        <v>5 / 13 / 5</v>
      </c>
      <c r="BT173" s="166" t="str">
        <f t="shared" si="232"/>
        <v>0.05 / 0.5</v>
      </c>
      <c r="BU173" s="66">
        <v>597</v>
      </c>
      <c r="BV173" s="66">
        <v>348</v>
      </c>
      <c r="BW173" s="66">
        <v>286</v>
      </c>
      <c r="BX173" s="99">
        <f t="shared" si="233"/>
        <v>62</v>
      </c>
      <c r="BY173" s="66">
        <v>68</v>
      </c>
      <c r="BZ173" s="92">
        <f t="shared" si="234"/>
        <v>181</v>
      </c>
      <c r="CA173" s="204">
        <f t="shared" ref="CA173:CA179" si="245">IF(BU173=0,0,BV173/BU173)</f>
        <v>0.58291457286432158</v>
      </c>
      <c r="CB173" s="205">
        <f t="shared" ref="CB173:CB179" si="246">IF(BU173=0,0,BY173/BU173)</f>
        <v>0.11390284757118928</v>
      </c>
      <c r="CC173" s="87">
        <v>4.8099999999999996</v>
      </c>
      <c r="CD173" s="87">
        <v>28.31</v>
      </c>
      <c r="CE173" s="87">
        <v>0.41</v>
      </c>
      <c r="CF173" s="170">
        <f t="shared" si="235"/>
        <v>1.5</v>
      </c>
      <c r="CG173" s="87">
        <v>0.65</v>
      </c>
      <c r="CH173" s="87">
        <v>0.48</v>
      </c>
      <c r="CI173" s="93">
        <v>9613.7999999999993</v>
      </c>
      <c r="CJ173" s="87">
        <v>27.63</v>
      </c>
      <c r="CK173" s="87">
        <v>25.97</v>
      </c>
      <c r="CL173" s="87">
        <v>-4</v>
      </c>
      <c r="CM173" s="165">
        <v>1000</v>
      </c>
      <c r="CN173" s="93">
        <v>16902</v>
      </c>
      <c r="CO173" s="108">
        <f t="shared" si="236"/>
        <v>17902</v>
      </c>
      <c r="CP173" s="108">
        <f t="shared" si="237"/>
        <v>1690.2</v>
      </c>
      <c r="CR173" s="82">
        <f t="shared" si="238"/>
        <v>12</v>
      </c>
      <c r="CS173" s="80">
        <f t="shared" si="239"/>
        <v>801.15</v>
      </c>
      <c r="CT173" s="80">
        <f t="shared" si="240"/>
        <v>1408.5</v>
      </c>
      <c r="CU173" s="80">
        <f t="shared" si="241"/>
        <v>140.85</v>
      </c>
      <c r="CW173" s="80">
        <f t="shared" si="242"/>
        <v>9613.7999999999993</v>
      </c>
      <c r="CX173" s="80">
        <f t="shared" si="243"/>
        <v>16902</v>
      </c>
      <c r="CY173" s="80">
        <f t="shared" si="244"/>
        <v>1690.2</v>
      </c>
    </row>
    <row r="174" spans="1:103" hidden="1" outlineLevel="1" x14ac:dyDescent="0.2">
      <c r="A174" s="120"/>
      <c r="B174" s="72"/>
      <c r="C174" s="57" t="s">
        <v>1387</v>
      </c>
      <c r="D174" s="57" t="s">
        <v>1888</v>
      </c>
      <c r="E174" s="65" t="s">
        <v>1389</v>
      </c>
      <c r="F174" s="57" t="s">
        <v>1454</v>
      </c>
      <c r="G174" s="62" t="s">
        <v>1556</v>
      </c>
      <c r="H174" s="129" t="b">
        <v>0</v>
      </c>
      <c r="J174" s="123" t="s">
        <v>1866</v>
      </c>
      <c r="K174" s="123" t="s">
        <v>1866</v>
      </c>
      <c r="L174" s="123" t="s">
        <v>1866</v>
      </c>
      <c r="M174" s="137" t="b">
        <v>0</v>
      </c>
      <c r="Q174" s="128" t="b">
        <v>1</v>
      </c>
      <c r="R174" s="127" t="s">
        <v>1559</v>
      </c>
      <c r="S174" s="135" t="b">
        <v>1</v>
      </c>
      <c r="T174" s="126">
        <v>13</v>
      </c>
      <c r="U174" s="124">
        <v>1.4999999999999999E-2</v>
      </c>
      <c r="V174" s="126">
        <v>75</v>
      </c>
      <c r="W174" s="126">
        <v>-75</v>
      </c>
      <c r="X174" s="124">
        <v>50</v>
      </c>
      <c r="Y174" s="124">
        <v>5</v>
      </c>
      <c r="Z174" s="128" t="b">
        <v>1</v>
      </c>
      <c r="AA174" s="127" t="s">
        <v>1867</v>
      </c>
      <c r="AB174" s="133">
        <v>2</v>
      </c>
      <c r="AC174" s="137" t="b">
        <v>0</v>
      </c>
      <c r="AE174" s="137" t="b">
        <v>0</v>
      </c>
      <c r="AG174" s="135" t="b">
        <v>1</v>
      </c>
      <c r="AH174" s="125">
        <v>5</v>
      </c>
      <c r="AI174" s="125">
        <v>8</v>
      </c>
      <c r="AJ174" s="125">
        <v>13</v>
      </c>
      <c r="AK174" s="125">
        <v>21</v>
      </c>
      <c r="AL174" s="129" t="b">
        <v>0</v>
      </c>
      <c r="AM174" s="128" t="b">
        <v>1</v>
      </c>
      <c r="AN174" s="131" t="s">
        <v>1469</v>
      </c>
      <c r="AO174" s="141">
        <v>1.0000000000000001E-5</v>
      </c>
      <c r="AP174" s="128" t="b">
        <v>1</v>
      </c>
      <c r="AQ174" s="141">
        <v>1.0000000000000001E-5</v>
      </c>
      <c r="AR174" s="137">
        <v>5</v>
      </c>
      <c r="AS174" s="137">
        <v>13</v>
      </c>
      <c r="AT174" s="137">
        <v>8</v>
      </c>
      <c r="AU174" s="128" t="b">
        <v>1</v>
      </c>
      <c r="AV174" s="124">
        <v>3</v>
      </c>
      <c r="AW174" s="146">
        <v>5</v>
      </c>
      <c r="AX174" s="124">
        <v>1</v>
      </c>
      <c r="AY174" s="128" t="b">
        <v>1</v>
      </c>
      <c r="AZ174" s="122" t="s">
        <v>1586</v>
      </c>
      <c r="BA174" s="122">
        <v>4</v>
      </c>
      <c r="BB174" s="126">
        <v>0.05</v>
      </c>
      <c r="BC174" s="126">
        <v>0.5</v>
      </c>
      <c r="BD174" s="129" t="b">
        <v>0</v>
      </c>
      <c r="BE174" s="122" t="s">
        <v>1873</v>
      </c>
      <c r="BF174" s="128" t="b">
        <v>1</v>
      </c>
      <c r="BG174" s="122" t="s">
        <v>1578</v>
      </c>
      <c r="BH174" s="133">
        <v>0.02</v>
      </c>
      <c r="BI174" s="156" t="s">
        <v>403</v>
      </c>
      <c r="BJ174" s="128" t="b">
        <v>1</v>
      </c>
      <c r="BK174" s="161">
        <v>1.5</v>
      </c>
      <c r="BL174" s="129" t="b">
        <v>0</v>
      </c>
      <c r="BM174" s="156" t="s">
        <v>412</v>
      </c>
      <c r="BN174" s="128" t="b">
        <v>1</v>
      </c>
      <c r="BO174" s="156" t="s">
        <v>1382</v>
      </c>
      <c r="BP174" s="157">
        <v>1</v>
      </c>
      <c r="BQ174" s="157">
        <v>0.5</v>
      </c>
      <c r="BR174" s="166" t="str">
        <f t="shared" si="230"/>
        <v>5/ 8/ 13/ 21</v>
      </c>
      <c r="BS174" s="166" t="str">
        <f t="shared" si="231"/>
        <v>5 / 13 / 8</v>
      </c>
      <c r="BT174" s="166" t="str">
        <f t="shared" si="232"/>
        <v>0.05 / 0.5</v>
      </c>
      <c r="BU174" s="66">
        <v>596</v>
      </c>
      <c r="BV174" s="66">
        <v>350</v>
      </c>
      <c r="BW174" s="66">
        <v>286</v>
      </c>
      <c r="BX174" s="99">
        <f t="shared" si="233"/>
        <v>64</v>
      </c>
      <c r="BY174" s="66">
        <v>69</v>
      </c>
      <c r="BZ174" s="92">
        <f t="shared" si="234"/>
        <v>177</v>
      </c>
      <c r="CA174" s="204">
        <f t="shared" si="245"/>
        <v>0.58724832214765099</v>
      </c>
      <c r="CB174" s="205">
        <f t="shared" si="246"/>
        <v>0.11577181208053691</v>
      </c>
      <c r="CC174" s="87">
        <v>4.75</v>
      </c>
      <c r="CD174" s="87">
        <v>28.68</v>
      </c>
      <c r="CE174" s="87">
        <v>0.41</v>
      </c>
      <c r="CF174" s="170">
        <f t="shared" si="235"/>
        <v>1.5</v>
      </c>
      <c r="CG174" s="87">
        <v>0.65</v>
      </c>
      <c r="CH174" s="87">
        <v>0.47</v>
      </c>
      <c r="CI174" s="93">
        <v>9723.2999999999993</v>
      </c>
      <c r="CJ174" s="87">
        <v>27.78</v>
      </c>
      <c r="CK174" s="87">
        <v>26.39</v>
      </c>
      <c r="CL174" s="87">
        <v>-5.48</v>
      </c>
      <c r="CM174" s="165">
        <v>1000</v>
      </c>
      <c r="CN174" s="93">
        <v>17092.189999999999</v>
      </c>
      <c r="CO174" s="108">
        <f t="shared" si="236"/>
        <v>18092.189999999999</v>
      </c>
      <c r="CP174" s="108">
        <f t="shared" si="237"/>
        <v>1709.2189999999998</v>
      </c>
      <c r="CR174" s="82">
        <f t="shared" si="238"/>
        <v>12</v>
      </c>
      <c r="CS174" s="80">
        <f t="shared" si="239"/>
        <v>810.27499999999998</v>
      </c>
      <c r="CT174" s="80">
        <f t="shared" si="240"/>
        <v>1424.3491666666666</v>
      </c>
      <c r="CU174" s="80">
        <f t="shared" si="241"/>
        <v>142.43491666666665</v>
      </c>
      <c r="CW174" s="80">
        <f t="shared" si="242"/>
        <v>9723.2999999999993</v>
      </c>
      <c r="CX174" s="80">
        <f t="shared" si="243"/>
        <v>17092.189999999999</v>
      </c>
      <c r="CY174" s="80">
        <f t="shared" si="244"/>
        <v>1709.2189999999998</v>
      </c>
    </row>
    <row r="175" spans="1:103" hidden="1" outlineLevel="1" x14ac:dyDescent="0.2">
      <c r="A175" s="120"/>
      <c r="B175" s="72"/>
      <c r="C175" s="57" t="s">
        <v>1387</v>
      </c>
      <c r="D175" s="57" t="s">
        <v>1888</v>
      </c>
      <c r="E175" s="65" t="s">
        <v>1389</v>
      </c>
      <c r="F175" s="57" t="s">
        <v>1454</v>
      </c>
      <c r="G175" s="62" t="s">
        <v>1556</v>
      </c>
      <c r="H175" s="129" t="b">
        <v>0</v>
      </c>
      <c r="J175" s="123" t="s">
        <v>1866</v>
      </c>
      <c r="K175" s="123" t="s">
        <v>1866</v>
      </c>
      <c r="L175" s="123" t="s">
        <v>1866</v>
      </c>
      <c r="M175" s="137" t="b">
        <v>0</v>
      </c>
      <c r="Q175" s="128" t="b">
        <v>1</v>
      </c>
      <c r="R175" s="127" t="s">
        <v>1559</v>
      </c>
      <c r="S175" s="135" t="b">
        <v>1</v>
      </c>
      <c r="T175" s="126">
        <v>13</v>
      </c>
      <c r="U175" s="124">
        <v>1.4999999999999999E-2</v>
      </c>
      <c r="V175" s="126">
        <v>75</v>
      </c>
      <c r="W175" s="126">
        <v>-75</v>
      </c>
      <c r="X175" s="124">
        <v>50</v>
      </c>
      <c r="Y175" s="124">
        <v>5</v>
      </c>
      <c r="Z175" s="128" t="b">
        <v>1</v>
      </c>
      <c r="AA175" s="127" t="s">
        <v>1867</v>
      </c>
      <c r="AB175" s="133">
        <v>2</v>
      </c>
      <c r="AC175" s="137" t="b">
        <v>0</v>
      </c>
      <c r="AE175" s="137" t="b">
        <v>0</v>
      </c>
      <c r="AG175" s="135" t="b">
        <v>1</v>
      </c>
      <c r="AH175" s="125">
        <v>5</v>
      </c>
      <c r="AI175" s="125">
        <v>8</v>
      </c>
      <c r="AJ175" s="125">
        <v>13</v>
      </c>
      <c r="AK175" s="125">
        <v>21</v>
      </c>
      <c r="AL175" s="129" t="b">
        <v>0</v>
      </c>
      <c r="AM175" s="128" t="b">
        <v>1</v>
      </c>
      <c r="AN175" s="131" t="s">
        <v>1469</v>
      </c>
      <c r="AO175" s="141">
        <v>1.0000000000000001E-5</v>
      </c>
      <c r="AP175" s="128" t="b">
        <v>1</v>
      </c>
      <c r="AQ175" s="141">
        <v>1.0000000000000001E-5</v>
      </c>
      <c r="AR175" s="149">
        <v>8</v>
      </c>
      <c r="AS175" s="149">
        <v>13</v>
      </c>
      <c r="AT175" s="149">
        <v>8</v>
      </c>
      <c r="AU175" s="128" t="b">
        <v>1</v>
      </c>
      <c r="AV175" s="124">
        <v>3</v>
      </c>
      <c r="AW175" s="146">
        <v>5</v>
      </c>
      <c r="AX175" s="124">
        <v>1</v>
      </c>
      <c r="AY175" s="128" t="b">
        <v>1</v>
      </c>
      <c r="AZ175" s="122" t="s">
        <v>1586</v>
      </c>
      <c r="BA175" s="122">
        <v>4</v>
      </c>
      <c r="BB175" s="126">
        <v>0.05</v>
      </c>
      <c r="BC175" s="126">
        <v>0.5</v>
      </c>
      <c r="BD175" s="129" t="b">
        <v>0</v>
      </c>
      <c r="BE175" s="122" t="s">
        <v>1873</v>
      </c>
      <c r="BF175" s="128" t="b">
        <v>1</v>
      </c>
      <c r="BG175" s="122" t="s">
        <v>1578</v>
      </c>
      <c r="BH175" s="133">
        <v>0.02</v>
      </c>
      <c r="BI175" s="156" t="s">
        <v>403</v>
      </c>
      <c r="BJ175" s="128" t="b">
        <v>1</v>
      </c>
      <c r="BK175" s="161">
        <v>1.5</v>
      </c>
      <c r="BL175" s="129" t="b">
        <v>0</v>
      </c>
      <c r="BM175" s="156" t="s">
        <v>412</v>
      </c>
      <c r="BN175" s="128" t="b">
        <v>1</v>
      </c>
      <c r="BO175" s="156" t="s">
        <v>1382</v>
      </c>
      <c r="BP175" s="157">
        <v>1</v>
      </c>
      <c r="BQ175" s="157">
        <v>0.5</v>
      </c>
      <c r="BR175" s="166" t="str">
        <f t="shared" si="230"/>
        <v>5/ 8/ 13/ 21</v>
      </c>
      <c r="BS175" s="166" t="str">
        <f t="shared" si="231"/>
        <v>8 / 13 / 8</v>
      </c>
      <c r="BT175" s="166" t="str">
        <f t="shared" si="232"/>
        <v>0.05 / 0.5</v>
      </c>
      <c r="BU175" s="66">
        <v>596</v>
      </c>
      <c r="BV175" s="66">
        <v>350</v>
      </c>
      <c r="BW175" s="66">
        <v>286</v>
      </c>
      <c r="BX175" s="99">
        <f t="shared" si="233"/>
        <v>64</v>
      </c>
      <c r="BY175" s="66">
        <v>69</v>
      </c>
      <c r="BZ175" s="92">
        <f t="shared" si="234"/>
        <v>177</v>
      </c>
      <c r="CA175" s="204">
        <f t="shared" si="245"/>
        <v>0.58724832214765099</v>
      </c>
      <c r="CB175" s="205">
        <f t="shared" si="246"/>
        <v>0.11577181208053691</v>
      </c>
      <c r="CC175" s="87">
        <v>4.75</v>
      </c>
      <c r="CD175" s="87">
        <v>28.68</v>
      </c>
      <c r="CE175" s="87">
        <v>0.41</v>
      </c>
      <c r="CF175" s="170">
        <f t="shared" si="235"/>
        <v>1.5</v>
      </c>
      <c r="CG175" s="87">
        <v>0.65</v>
      </c>
      <c r="CH175" s="87">
        <v>0.47</v>
      </c>
      <c r="CI175" s="93">
        <v>9723.2999999999993</v>
      </c>
      <c r="CJ175" s="87">
        <v>27.78</v>
      </c>
      <c r="CK175" s="87">
        <v>26.39</v>
      </c>
      <c r="CL175" s="87">
        <v>-5.48</v>
      </c>
      <c r="CM175" s="165">
        <v>1000</v>
      </c>
      <c r="CN175" s="93">
        <v>17092.189999999999</v>
      </c>
      <c r="CO175" s="108">
        <f t="shared" si="236"/>
        <v>18092.189999999999</v>
      </c>
      <c r="CP175" s="108">
        <f t="shared" si="237"/>
        <v>1709.2189999999998</v>
      </c>
      <c r="CR175" s="82">
        <f t="shared" si="238"/>
        <v>12</v>
      </c>
      <c r="CS175" s="80">
        <f t="shared" si="239"/>
        <v>810.27499999999998</v>
      </c>
      <c r="CT175" s="80">
        <f t="shared" si="240"/>
        <v>1424.3491666666666</v>
      </c>
      <c r="CU175" s="80">
        <f t="shared" si="241"/>
        <v>142.43491666666665</v>
      </c>
      <c r="CW175" s="80">
        <f t="shared" si="242"/>
        <v>9723.2999999999993</v>
      </c>
      <c r="CX175" s="80">
        <f t="shared" si="243"/>
        <v>17092.189999999999</v>
      </c>
      <c r="CY175" s="80">
        <f t="shared" si="244"/>
        <v>1709.2189999999998</v>
      </c>
    </row>
    <row r="176" spans="1:103" hidden="1" outlineLevel="1" x14ac:dyDescent="0.2">
      <c r="A176" s="120"/>
      <c r="B176" s="72"/>
      <c r="C176" s="57" t="s">
        <v>1387</v>
      </c>
      <c r="D176" s="57" t="s">
        <v>1888</v>
      </c>
      <c r="E176" s="65" t="s">
        <v>1389</v>
      </c>
      <c r="F176" s="57" t="s">
        <v>1454</v>
      </c>
      <c r="G176" s="62" t="s">
        <v>1556</v>
      </c>
      <c r="H176" s="129" t="b">
        <v>0</v>
      </c>
      <c r="J176" s="123" t="s">
        <v>1866</v>
      </c>
      <c r="K176" s="123" t="s">
        <v>1866</v>
      </c>
      <c r="L176" s="123" t="s">
        <v>1866</v>
      </c>
      <c r="M176" s="137" t="b">
        <v>0</v>
      </c>
      <c r="Q176" s="128" t="b">
        <v>1</v>
      </c>
      <c r="R176" s="127" t="s">
        <v>1559</v>
      </c>
      <c r="S176" s="135" t="b">
        <v>1</v>
      </c>
      <c r="T176" s="126">
        <v>13</v>
      </c>
      <c r="U176" s="124">
        <v>1.4999999999999999E-2</v>
      </c>
      <c r="V176" s="126">
        <v>75</v>
      </c>
      <c r="W176" s="126">
        <v>-75</v>
      </c>
      <c r="X176" s="124">
        <v>50</v>
      </c>
      <c r="Y176" s="124">
        <v>5</v>
      </c>
      <c r="Z176" s="128" t="b">
        <v>1</v>
      </c>
      <c r="AA176" s="127" t="s">
        <v>1867</v>
      </c>
      <c r="AB176" s="133">
        <v>2</v>
      </c>
      <c r="AC176" s="137" t="b">
        <v>0</v>
      </c>
      <c r="AE176" s="137" t="b">
        <v>0</v>
      </c>
      <c r="AG176" s="135" t="b">
        <v>1</v>
      </c>
      <c r="AH176" s="125">
        <v>5</v>
      </c>
      <c r="AI176" s="125">
        <v>8</v>
      </c>
      <c r="AJ176" s="125">
        <v>13</v>
      </c>
      <c r="AK176" s="125">
        <v>21</v>
      </c>
      <c r="AL176" s="129" t="b">
        <v>0</v>
      </c>
      <c r="AM176" s="128" t="b">
        <v>1</v>
      </c>
      <c r="AN176" s="131" t="s">
        <v>1469</v>
      </c>
      <c r="AO176" s="141">
        <v>1.0000000000000001E-5</v>
      </c>
      <c r="AP176" s="128" t="b">
        <v>1</v>
      </c>
      <c r="AQ176" s="141">
        <v>1.0000000000000001E-5</v>
      </c>
      <c r="AR176" s="149">
        <v>8</v>
      </c>
      <c r="AS176" s="149">
        <v>13</v>
      </c>
      <c r="AT176" s="149">
        <v>11</v>
      </c>
      <c r="AU176" s="128" t="b">
        <v>1</v>
      </c>
      <c r="AV176" s="124">
        <v>3</v>
      </c>
      <c r="AW176" s="146">
        <v>5</v>
      </c>
      <c r="AX176" s="124">
        <v>1</v>
      </c>
      <c r="AY176" s="128" t="b">
        <v>1</v>
      </c>
      <c r="AZ176" s="122" t="s">
        <v>1586</v>
      </c>
      <c r="BA176" s="122">
        <v>4</v>
      </c>
      <c r="BB176" s="126">
        <v>0.05</v>
      </c>
      <c r="BC176" s="126">
        <v>0.5</v>
      </c>
      <c r="BD176" s="129" t="b">
        <v>0</v>
      </c>
      <c r="BE176" s="122" t="s">
        <v>1873</v>
      </c>
      <c r="BF176" s="128" t="b">
        <v>1</v>
      </c>
      <c r="BG176" s="122" t="s">
        <v>1578</v>
      </c>
      <c r="BH176" s="133">
        <v>0.02</v>
      </c>
      <c r="BI176" s="156" t="s">
        <v>403</v>
      </c>
      <c r="BJ176" s="128" t="b">
        <v>1</v>
      </c>
      <c r="BK176" s="161">
        <v>1.5</v>
      </c>
      <c r="BL176" s="129" t="b">
        <v>0</v>
      </c>
      <c r="BM176" s="156" t="s">
        <v>412</v>
      </c>
      <c r="BN176" s="128" t="b">
        <v>1</v>
      </c>
      <c r="BO176" s="156" t="s">
        <v>1382</v>
      </c>
      <c r="BP176" s="157">
        <v>1</v>
      </c>
      <c r="BQ176" s="157">
        <v>0.5</v>
      </c>
      <c r="BR176" s="166" t="str">
        <f t="shared" si="230"/>
        <v>5/ 8/ 13/ 21</v>
      </c>
      <c r="BS176" s="166" t="str">
        <f t="shared" si="231"/>
        <v>8 / 13 / 11</v>
      </c>
      <c r="BT176" s="166" t="str">
        <f t="shared" si="232"/>
        <v>0.05 / 0.5</v>
      </c>
      <c r="BU176" s="66">
        <v>590</v>
      </c>
      <c r="BV176" s="66">
        <v>348</v>
      </c>
      <c r="BW176" s="66">
        <v>285</v>
      </c>
      <c r="BX176" s="99">
        <f t="shared" si="233"/>
        <v>63</v>
      </c>
      <c r="BY176" s="66">
        <v>67</v>
      </c>
      <c r="BZ176" s="92">
        <f t="shared" si="234"/>
        <v>175</v>
      </c>
      <c r="CA176" s="204">
        <f t="shared" si="245"/>
        <v>0.5898305084745763</v>
      </c>
      <c r="CB176" s="205">
        <f t="shared" si="246"/>
        <v>0.11355932203389831</v>
      </c>
      <c r="CC176" s="87">
        <v>4.88</v>
      </c>
      <c r="CD176" s="87">
        <v>29.13</v>
      </c>
      <c r="CE176" s="87">
        <v>0.41</v>
      </c>
      <c r="CF176" s="170">
        <f t="shared" si="235"/>
        <v>1.5</v>
      </c>
      <c r="CG176" s="87">
        <v>0.65</v>
      </c>
      <c r="CH176" s="87">
        <v>0.48</v>
      </c>
      <c r="CI176" s="93">
        <v>9646.9</v>
      </c>
      <c r="CJ176" s="87">
        <v>27.72</v>
      </c>
      <c r="CK176" s="87">
        <v>26.08</v>
      </c>
      <c r="CL176" s="87">
        <v>-5.48</v>
      </c>
      <c r="CM176" s="165">
        <v>1000</v>
      </c>
      <c r="CN176" s="93">
        <v>17188.259999999998</v>
      </c>
      <c r="CO176" s="108">
        <f t="shared" si="236"/>
        <v>18188.259999999998</v>
      </c>
      <c r="CP176" s="108">
        <f t="shared" si="237"/>
        <v>1718.8259999999998</v>
      </c>
      <c r="CR176" s="82">
        <f t="shared" si="238"/>
        <v>12</v>
      </c>
      <c r="CS176" s="80">
        <f t="shared" si="239"/>
        <v>803.9083333333333</v>
      </c>
      <c r="CT176" s="80">
        <f t="shared" si="240"/>
        <v>1432.3549999999998</v>
      </c>
      <c r="CU176" s="80">
        <f t="shared" si="241"/>
        <v>143.23549999999997</v>
      </c>
      <c r="CW176" s="80">
        <f t="shared" si="242"/>
        <v>9646.9</v>
      </c>
      <c r="CX176" s="80">
        <f t="shared" si="243"/>
        <v>17188.259999999998</v>
      </c>
      <c r="CY176" s="80">
        <f t="shared" si="244"/>
        <v>1718.8259999999998</v>
      </c>
    </row>
    <row r="177" spans="1:103" hidden="1" outlineLevel="1" x14ac:dyDescent="0.2">
      <c r="A177" s="120"/>
      <c r="B177" s="72"/>
      <c r="C177" s="57" t="s">
        <v>1387</v>
      </c>
      <c r="D177" s="57" t="s">
        <v>1888</v>
      </c>
      <c r="E177" s="65" t="s">
        <v>1389</v>
      </c>
      <c r="F177" s="57" t="s">
        <v>1454</v>
      </c>
      <c r="G177" s="62" t="s">
        <v>1556</v>
      </c>
      <c r="H177" s="129" t="b">
        <v>0</v>
      </c>
      <c r="J177" s="123" t="s">
        <v>1866</v>
      </c>
      <c r="K177" s="123" t="s">
        <v>1866</v>
      </c>
      <c r="L177" s="123" t="s">
        <v>1866</v>
      </c>
      <c r="M177" s="137" t="b">
        <v>0</v>
      </c>
      <c r="Q177" s="128" t="b">
        <v>1</v>
      </c>
      <c r="R177" s="127" t="s">
        <v>1559</v>
      </c>
      <c r="S177" s="135" t="b">
        <v>1</v>
      </c>
      <c r="T177" s="126">
        <v>13</v>
      </c>
      <c r="U177" s="124">
        <v>1.4999999999999999E-2</v>
      </c>
      <c r="V177" s="126">
        <v>75</v>
      </c>
      <c r="W177" s="126">
        <v>-75</v>
      </c>
      <c r="X177" s="124">
        <v>50</v>
      </c>
      <c r="Y177" s="124">
        <v>5</v>
      </c>
      <c r="Z177" s="128" t="b">
        <v>1</v>
      </c>
      <c r="AA177" s="127" t="s">
        <v>1867</v>
      </c>
      <c r="AB177" s="133">
        <v>2</v>
      </c>
      <c r="AC177" s="137" t="b">
        <v>0</v>
      </c>
      <c r="AE177" s="137" t="b">
        <v>0</v>
      </c>
      <c r="AG177" s="135" t="b">
        <v>1</v>
      </c>
      <c r="AH177" s="125">
        <v>5</v>
      </c>
      <c r="AI177" s="125">
        <v>8</v>
      </c>
      <c r="AJ177" s="125">
        <v>13</v>
      </c>
      <c r="AK177" s="125">
        <v>21</v>
      </c>
      <c r="AL177" s="129" t="b">
        <v>0</v>
      </c>
      <c r="AM177" s="128" t="b">
        <v>1</v>
      </c>
      <c r="AN177" s="131" t="s">
        <v>1469</v>
      </c>
      <c r="AO177" s="141">
        <v>1.0000000000000001E-5</v>
      </c>
      <c r="AP177" s="128" t="b">
        <v>1</v>
      </c>
      <c r="AQ177" s="141">
        <v>1.0000000000000001E-5</v>
      </c>
      <c r="AR177" s="150">
        <v>8</v>
      </c>
      <c r="AS177" s="150">
        <v>17</v>
      </c>
      <c r="AT177" s="150">
        <v>9</v>
      </c>
      <c r="AU177" s="128" t="b">
        <v>1</v>
      </c>
      <c r="AV177" s="124">
        <v>3</v>
      </c>
      <c r="AW177" s="146">
        <v>5</v>
      </c>
      <c r="AX177" s="124">
        <v>1</v>
      </c>
      <c r="AY177" s="128" t="b">
        <v>1</v>
      </c>
      <c r="AZ177" s="122" t="s">
        <v>1586</v>
      </c>
      <c r="BA177" s="122">
        <v>4</v>
      </c>
      <c r="BB177" s="126">
        <v>0.05</v>
      </c>
      <c r="BC177" s="126">
        <v>0.5</v>
      </c>
      <c r="BD177" s="129" t="b">
        <v>0</v>
      </c>
      <c r="BE177" s="122" t="s">
        <v>1873</v>
      </c>
      <c r="BF177" s="128" t="b">
        <v>1</v>
      </c>
      <c r="BG177" s="122" t="s">
        <v>1578</v>
      </c>
      <c r="BH177" s="133">
        <v>0.02</v>
      </c>
      <c r="BI177" s="156" t="s">
        <v>403</v>
      </c>
      <c r="BJ177" s="128" t="b">
        <v>1</v>
      </c>
      <c r="BK177" s="161">
        <v>1.5</v>
      </c>
      <c r="BL177" s="129" t="b">
        <v>0</v>
      </c>
      <c r="BM177" s="156" t="s">
        <v>412</v>
      </c>
      <c r="BN177" s="128" t="b">
        <v>1</v>
      </c>
      <c r="BO177" s="156" t="s">
        <v>1382</v>
      </c>
      <c r="BP177" s="157">
        <v>1</v>
      </c>
      <c r="BQ177" s="157">
        <v>0.5</v>
      </c>
      <c r="BR177" s="166" t="str">
        <f t="shared" si="230"/>
        <v>5/ 8/ 13/ 21</v>
      </c>
      <c r="BS177" s="166" t="str">
        <f t="shared" si="231"/>
        <v>8 / 17 / 9</v>
      </c>
      <c r="BT177" s="166" t="str">
        <f t="shared" si="232"/>
        <v>0.05 / 0.5</v>
      </c>
      <c r="BU177" s="66">
        <v>582</v>
      </c>
      <c r="BV177" s="66">
        <v>346</v>
      </c>
      <c r="BW177" s="66">
        <v>285</v>
      </c>
      <c r="BX177" s="99">
        <f t="shared" si="233"/>
        <v>61</v>
      </c>
      <c r="BY177" s="66">
        <v>67</v>
      </c>
      <c r="BZ177" s="92">
        <f t="shared" si="234"/>
        <v>169</v>
      </c>
      <c r="CA177" s="204">
        <f t="shared" si="245"/>
        <v>0.59450171821305842</v>
      </c>
      <c r="CB177" s="205">
        <f t="shared" si="246"/>
        <v>0.11512027491408934</v>
      </c>
      <c r="CC177" s="87">
        <v>4.8899999999999997</v>
      </c>
      <c r="CD177" s="87">
        <v>29.27</v>
      </c>
      <c r="CE177" s="87">
        <v>0.42</v>
      </c>
      <c r="CF177" s="170">
        <f t="shared" si="235"/>
        <v>1.5</v>
      </c>
      <c r="CG177" s="87">
        <v>0.65</v>
      </c>
      <c r="CH177" s="87">
        <v>0.48</v>
      </c>
      <c r="CI177" s="93">
        <v>9527.6</v>
      </c>
      <c r="CJ177" s="87">
        <v>27.54</v>
      </c>
      <c r="CK177" s="87">
        <v>26.02</v>
      </c>
      <c r="CL177" s="87">
        <v>-5.48</v>
      </c>
      <c r="CM177" s="165">
        <v>1000</v>
      </c>
      <c r="CN177" s="93">
        <v>17032.53</v>
      </c>
      <c r="CO177" s="108">
        <f t="shared" si="236"/>
        <v>18032.53</v>
      </c>
      <c r="CP177" s="108">
        <f t="shared" si="237"/>
        <v>1703.2529999999999</v>
      </c>
      <c r="CR177" s="82">
        <f t="shared" si="238"/>
        <v>12</v>
      </c>
      <c r="CS177" s="80">
        <f t="shared" si="239"/>
        <v>793.9666666666667</v>
      </c>
      <c r="CT177" s="80">
        <f t="shared" si="240"/>
        <v>1419.3774999999998</v>
      </c>
      <c r="CU177" s="80">
        <f t="shared" si="241"/>
        <v>141.93774999999999</v>
      </c>
      <c r="CW177" s="80">
        <f t="shared" si="242"/>
        <v>9527.6</v>
      </c>
      <c r="CX177" s="80">
        <f t="shared" si="243"/>
        <v>17032.53</v>
      </c>
      <c r="CY177" s="80">
        <f t="shared" si="244"/>
        <v>1703.2529999999999</v>
      </c>
    </row>
    <row r="178" spans="1:103" hidden="1" outlineLevel="1" x14ac:dyDescent="0.2">
      <c r="A178" s="120"/>
      <c r="B178" s="72"/>
      <c r="C178" s="57" t="s">
        <v>1387</v>
      </c>
      <c r="D178" s="57" t="s">
        <v>1888</v>
      </c>
      <c r="E178" s="65" t="s">
        <v>1389</v>
      </c>
      <c r="F178" s="57" t="s">
        <v>1454</v>
      </c>
      <c r="G178" s="62" t="s">
        <v>1556</v>
      </c>
      <c r="H178" s="129" t="b">
        <v>0</v>
      </c>
      <c r="J178" s="123" t="s">
        <v>1866</v>
      </c>
      <c r="K178" s="123" t="s">
        <v>1866</v>
      </c>
      <c r="L178" s="123" t="s">
        <v>1866</v>
      </c>
      <c r="M178" s="137" t="b">
        <v>0</v>
      </c>
      <c r="Q178" s="128" t="b">
        <v>1</v>
      </c>
      <c r="R178" s="127" t="s">
        <v>1559</v>
      </c>
      <c r="S178" s="135" t="b">
        <v>1</v>
      </c>
      <c r="T178" s="126">
        <v>13</v>
      </c>
      <c r="U178" s="124">
        <v>1.4999999999999999E-2</v>
      </c>
      <c r="V178" s="126">
        <v>75</v>
      </c>
      <c r="W178" s="126">
        <v>-75</v>
      </c>
      <c r="X178" s="124">
        <v>50</v>
      </c>
      <c r="Y178" s="124">
        <v>5</v>
      </c>
      <c r="Z178" s="128" t="b">
        <v>1</v>
      </c>
      <c r="AA178" s="127" t="s">
        <v>1867</v>
      </c>
      <c r="AB178" s="133">
        <v>2</v>
      </c>
      <c r="AC178" s="137" t="b">
        <v>0</v>
      </c>
      <c r="AE178" s="137" t="b">
        <v>0</v>
      </c>
      <c r="AG178" s="135" t="b">
        <v>1</v>
      </c>
      <c r="AH178" s="125">
        <v>5</v>
      </c>
      <c r="AI178" s="125">
        <v>8</v>
      </c>
      <c r="AJ178" s="125">
        <v>13</v>
      </c>
      <c r="AK178" s="125">
        <v>21</v>
      </c>
      <c r="AL178" s="129" t="b">
        <v>0</v>
      </c>
      <c r="AM178" s="128" t="b">
        <v>1</v>
      </c>
      <c r="AN178" s="131" t="s">
        <v>1469</v>
      </c>
      <c r="AO178" s="141">
        <v>1.0000000000000001E-5</v>
      </c>
      <c r="AP178" s="128" t="b">
        <v>1</v>
      </c>
      <c r="AQ178" s="141">
        <v>1.0000000000000001E-5</v>
      </c>
      <c r="AR178" s="152">
        <v>12</v>
      </c>
      <c r="AS178" s="152">
        <v>26</v>
      </c>
      <c r="AT178" s="152">
        <v>9</v>
      </c>
      <c r="AU178" s="128" t="b">
        <v>1</v>
      </c>
      <c r="AV178" s="124">
        <v>3</v>
      </c>
      <c r="AW178" s="146">
        <v>5</v>
      </c>
      <c r="AX178" s="124">
        <v>1</v>
      </c>
      <c r="AY178" s="128" t="b">
        <v>1</v>
      </c>
      <c r="AZ178" s="122" t="s">
        <v>1586</v>
      </c>
      <c r="BA178" s="122">
        <v>4</v>
      </c>
      <c r="BB178" s="126">
        <v>0.05</v>
      </c>
      <c r="BC178" s="126">
        <v>0.5</v>
      </c>
      <c r="BD178" s="129" t="b">
        <v>0</v>
      </c>
      <c r="BE178" s="122" t="s">
        <v>1873</v>
      </c>
      <c r="BF178" s="128" t="b">
        <v>1</v>
      </c>
      <c r="BG178" s="122" t="s">
        <v>1578</v>
      </c>
      <c r="BH178" s="133">
        <v>0.02</v>
      </c>
      <c r="BI178" s="156" t="s">
        <v>403</v>
      </c>
      <c r="BJ178" s="128" t="b">
        <v>1</v>
      </c>
      <c r="BK178" s="161">
        <v>1.5</v>
      </c>
      <c r="BL178" s="129" t="b">
        <v>0</v>
      </c>
      <c r="BM178" s="156" t="s">
        <v>412</v>
      </c>
      <c r="BN178" s="128" t="b">
        <v>1</v>
      </c>
      <c r="BO178" s="156" t="s">
        <v>1382</v>
      </c>
      <c r="BP178" s="157">
        <v>1</v>
      </c>
      <c r="BQ178" s="157">
        <v>0.5</v>
      </c>
      <c r="BR178" s="166" t="str">
        <f t="shared" si="230"/>
        <v>5/ 8/ 13/ 21</v>
      </c>
      <c r="BS178" s="166" t="str">
        <f t="shared" si="231"/>
        <v>12 / 26 / 9</v>
      </c>
      <c r="BT178" s="166" t="str">
        <f t="shared" si="232"/>
        <v>0.05 / 0.5</v>
      </c>
      <c r="BU178" s="66">
        <v>596</v>
      </c>
      <c r="BV178" s="66">
        <v>346</v>
      </c>
      <c r="BW178" s="66">
        <v>280</v>
      </c>
      <c r="BX178" s="99">
        <f t="shared" si="233"/>
        <v>66</v>
      </c>
      <c r="BY178" s="66">
        <v>71</v>
      </c>
      <c r="BZ178" s="92">
        <f t="shared" si="234"/>
        <v>179</v>
      </c>
      <c r="CA178" s="204">
        <f t="shared" si="245"/>
        <v>0.58053691275167785</v>
      </c>
      <c r="CB178" s="205">
        <f t="shared" si="246"/>
        <v>0.11912751677852348</v>
      </c>
      <c r="CC178" s="87">
        <v>4.6399999999999997</v>
      </c>
      <c r="CD178" s="87">
        <v>30.01</v>
      </c>
      <c r="CE178" s="87">
        <v>0.41</v>
      </c>
      <c r="CF178" s="170">
        <f t="shared" si="235"/>
        <v>1.5</v>
      </c>
      <c r="CG178" s="87">
        <v>0.67</v>
      </c>
      <c r="CH178" s="87">
        <v>0.48</v>
      </c>
      <c r="CI178" s="93">
        <v>9545.6</v>
      </c>
      <c r="CJ178" s="87">
        <v>27.59</v>
      </c>
      <c r="CK178" s="87">
        <v>25.76</v>
      </c>
      <c r="CL178" s="87">
        <v>-5.03</v>
      </c>
      <c r="CM178" s="165">
        <v>1000</v>
      </c>
      <c r="CN178" s="208">
        <v>17884.72</v>
      </c>
      <c r="CO178" s="209">
        <f t="shared" si="236"/>
        <v>18884.72</v>
      </c>
      <c r="CP178" s="209">
        <f t="shared" si="237"/>
        <v>1788.4720000000002</v>
      </c>
      <c r="CR178" s="82">
        <f t="shared" si="238"/>
        <v>12</v>
      </c>
      <c r="CS178" s="80">
        <f t="shared" si="239"/>
        <v>795.4666666666667</v>
      </c>
      <c r="CT178" s="80">
        <f t="shared" si="240"/>
        <v>1490.3933333333334</v>
      </c>
      <c r="CU178" s="80">
        <f t="shared" si="241"/>
        <v>149.03933333333333</v>
      </c>
      <c r="CW178" s="80">
        <f t="shared" si="242"/>
        <v>9545.6</v>
      </c>
      <c r="CX178" s="80">
        <f t="shared" si="243"/>
        <v>17884.72</v>
      </c>
      <c r="CY178" s="80">
        <f t="shared" si="244"/>
        <v>1788.4720000000002</v>
      </c>
    </row>
    <row r="179" spans="1:103" hidden="1" outlineLevel="1" x14ac:dyDescent="0.2">
      <c r="A179" s="120"/>
      <c r="B179" s="72"/>
      <c r="C179" s="57" t="s">
        <v>1387</v>
      </c>
      <c r="D179" s="57" t="s">
        <v>1888</v>
      </c>
      <c r="E179" s="65" t="s">
        <v>1389</v>
      </c>
      <c r="F179" s="57" t="s">
        <v>1454</v>
      </c>
      <c r="G179" s="62" t="s">
        <v>1556</v>
      </c>
      <c r="H179" s="129" t="b">
        <v>0</v>
      </c>
      <c r="J179" s="123" t="s">
        <v>1866</v>
      </c>
      <c r="K179" s="123" t="s">
        <v>1866</v>
      </c>
      <c r="L179" s="123" t="s">
        <v>1866</v>
      </c>
      <c r="M179" s="137" t="b">
        <v>0</v>
      </c>
      <c r="Q179" s="128" t="b">
        <v>1</v>
      </c>
      <c r="R179" s="127" t="s">
        <v>1559</v>
      </c>
      <c r="S179" s="135" t="b">
        <v>1</v>
      </c>
      <c r="T179" s="126">
        <v>13</v>
      </c>
      <c r="U179" s="124">
        <v>1.4999999999999999E-2</v>
      </c>
      <c r="V179" s="126">
        <v>75</v>
      </c>
      <c r="W179" s="126">
        <v>-75</v>
      </c>
      <c r="X179" s="124">
        <v>50</v>
      </c>
      <c r="Y179" s="124">
        <v>5</v>
      </c>
      <c r="Z179" s="128" t="b">
        <v>1</v>
      </c>
      <c r="AA179" s="127" t="s">
        <v>1867</v>
      </c>
      <c r="AB179" s="133">
        <v>2</v>
      </c>
      <c r="AC179" s="137" t="b">
        <v>0</v>
      </c>
      <c r="AE179" s="137" t="b">
        <v>0</v>
      </c>
      <c r="AG179" s="135" t="b">
        <v>1</v>
      </c>
      <c r="AH179" s="125">
        <v>5</v>
      </c>
      <c r="AI179" s="125">
        <v>8</v>
      </c>
      <c r="AJ179" s="125">
        <v>13</v>
      </c>
      <c r="AK179" s="125">
        <v>21</v>
      </c>
      <c r="AL179" s="129" t="b">
        <v>0</v>
      </c>
      <c r="AM179" s="128" t="b">
        <v>1</v>
      </c>
      <c r="AN179" s="131" t="s">
        <v>1469</v>
      </c>
      <c r="AO179" s="141">
        <v>1.0000000000000001E-5</v>
      </c>
      <c r="AP179" s="128" t="b">
        <v>1</v>
      </c>
      <c r="AQ179" s="141">
        <v>1.0000000000000001E-5</v>
      </c>
      <c r="AR179" s="137">
        <v>21</v>
      </c>
      <c r="AS179" s="137">
        <v>34</v>
      </c>
      <c r="AT179" s="137">
        <v>9</v>
      </c>
      <c r="AU179" s="128" t="b">
        <v>1</v>
      </c>
      <c r="AV179" s="124">
        <v>3</v>
      </c>
      <c r="AW179" s="146">
        <v>5</v>
      </c>
      <c r="AX179" s="124">
        <v>1</v>
      </c>
      <c r="AY179" s="128" t="b">
        <v>1</v>
      </c>
      <c r="AZ179" s="122" t="s">
        <v>1586</v>
      </c>
      <c r="BA179" s="122">
        <v>4</v>
      </c>
      <c r="BB179" s="126">
        <v>0.05</v>
      </c>
      <c r="BC179" s="126">
        <v>0.5</v>
      </c>
      <c r="BD179" s="129" t="b">
        <v>0</v>
      </c>
      <c r="BE179" s="122" t="s">
        <v>1873</v>
      </c>
      <c r="BF179" s="128" t="b">
        <v>1</v>
      </c>
      <c r="BG179" s="122" t="s">
        <v>1578</v>
      </c>
      <c r="BH179" s="133">
        <v>0.02</v>
      </c>
      <c r="BI179" s="156" t="s">
        <v>403</v>
      </c>
      <c r="BJ179" s="128" t="b">
        <v>1</v>
      </c>
      <c r="BK179" s="161">
        <v>1.5</v>
      </c>
      <c r="BL179" s="129" t="b">
        <v>0</v>
      </c>
      <c r="BM179" s="156" t="s">
        <v>412</v>
      </c>
      <c r="BN179" s="128" t="b">
        <v>1</v>
      </c>
      <c r="BO179" s="156" t="s">
        <v>1382</v>
      </c>
      <c r="BP179" s="157">
        <v>1</v>
      </c>
      <c r="BQ179" s="157">
        <v>0.5</v>
      </c>
      <c r="BR179" s="166" t="str">
        <f t="shared" si="230"/>
        <v>5/ 8/ 13/ 21</v>
      </c>
      <c r="BS179" s="166" t="str">
        <f t="shared" si="231"/>
        <v>21 / 34 / 9</v>
      </c>
      <c r="BT179" s="166" t="str">
        <f t="shared" si="232"/>
        <v>0.05 / 0.5</v>
      </c>
      <c r="BU179" s="66">
        <v>598</v>
      </c>
      <c r="BV179" s="66">
        <v>339</v>
      </c>
      <c r="BW179" s="66">
        <v>275</v>
      </c>
      <c r="BX179" s="99">
        <f t="shared" si="233"/>
        <v>64</v>
      </c>
      <c r="BY179" s="66">
        <v>73</v>
      </c>
      <c r="BZ179" s="92">
        <f t="shared" si="234"/>
        <v>186</v>
      </c>
      <c r="CA179" s="204">
        <f t="shared" si="245"/>
        <v>0.56688963210702337</v>
      </c>
      <c r="CB179" s="205">
        <f t="shared" si="246"/>
        <v>0.12207357859531773</v>
      </c>
      <c r="CC179" s="87">
        <v>4.37</v>
      </c>
      <c r="CD179" s="87">
        <v>28.81</v>
      </c>
      <c r="CE179" s="87">
        <v>0.4</v>
      </c>
      <c r="CF179" s="170">
        <f t="shared" si="235"/>
        <v>1.5</v>
      </c>
      <c r="CG179" s="87">
        <v>0.67</v>
      </c>
      <c r="CH179" s="87">
        <v>0.51</v>
      </c>
      <c r="CI179" s="93">
        <v>9391.9</v>
      </c>
      <c r="CJ179" s="87">
        <v>27.7</v>
      </c>
      <c r="CK179" s="87">
        <v>26.15</v>
      </c>
      <c r="CL179" s="87">
        <v>-4.84</v>
      </c>
      <c r="CM179" s="165">
        <v>1000</v>
      </c>
      <c r="CN179" s="93">
        <v>17226.939999999999</v>
      </c>
      <c r="CO179" s="108">
        <f t="shared" si="236"/>
        <v>18226.939999999999</v>
      </c>
      <c r="CP179" s="108">
        <f t="shared" si="237"/>
        <v>1722.694</v>
      </c>
      <c r="CR179" s="82">
        <f t="shared" si="238"/>
        <v>12</v>
      </c>
      <c r="CS179" s="80">
        <f t="shared" si="239"/>
        <v>782.6583333333333</v>
      </c>
      <c r="CT179" s="80">
        <f t="shared" si="240"/>
        <v>1435.5783333333331</v>
      </c>
      <c r="CU179" s="80">
        <f t="shared" si="241"/>
        <v>143.55783333333332</v>
      </c>
      <c r="CW179" s="80">
        <f t="shared" si="242"/>
        <v>9391.9</v>
      </c>
      <c r="CX179" s="80">
        <f t="shared" si="243"/>
        <v>17226.939999999999</v>
      </c>
      <c r="CY179" s="80">
        <f t="shared" si="244"/>
        <v>1722.694</v>
      </c>
    </row>
    <row r="180" spans="1:103" hidden="1" outlineLevel="1" x14ac:dyDescent="0.2">
      <c r="B180" s="45"/>
    </row>
    <row r="181" spans="1:103" collapsed="1" x14ac:dyDescent="0.2">
      <c r="A181" s="120"/>
      <c r="B181" s="72" t="s">
        <v>1898</v>
      </c>
      <c r="C181" s="57" t="s">
        <v>1387</v>
      </c>
      <c r="D181" s="57" t="s">
        <v>1888</v>
      </c>
      <c r="E181" s="65" t="s">
        <v>1389</v>
      </c>
      <c r="F181" s="57" t="s">
        <v>1454</v>
      </c>
      <c r="G181" s="62" t="s">
        <v>1556</v>
      </c>
      <c r="H181" s="129" t="b">
        <v>0</v>
      </c>
      <c r="J181" s="123" t="s">
        <v>1866</v>
      </c>
      <c r="K181" s="123" t="s">
        <v>1866</v>
      </c>
      <c r="L181" s="123" t="s">
        <v>1866</v>
      </c>
      <c r="M181" s="137" t="b">
        <v>0</v>
      </c>
      <c r="Q181" s="128" t="b">
        <v>1</v>
      </c>
      <c r="R181" s="127" t="s">
        <v>1559</v>
      </c>
      <c r="S181" s="135" t="b">
        <v>1</v>
      </c>
      <c r="T181" s="126">
        <v>13</v>
      </c>
      <c r="U181" s="124">
        <v>1.4999999999999999E-2</v>
      </c>
      <c r="V181" s="126">
        <v>75</v>
      </c>
      <c r="W181" s="126">
        <v>-75</v>
      </c>
      <c r="X181" s="124">
        <v>50</v>
      </c>
      <c r="Y181" s="124">
        <v>5</v>
      </c>
      <c r="Z181" s="128" t="b">
        <v>1</v>
      </c>
      <c r="AA181" s="127" t="s">
        <v>1867</v>
      </c>
      <c r="AB181" s="133">
        <v>2</v>
      </c>
      <c r="AC181" s="137" t="b">
        <v>0</v>
      </c>
      <c r="AE181" s="137" t="b">
        <v>0</v>
      </c>
      <c r="AG181" s="135" t="b">
        <v>1</v>
      </c>
      <c r="AH181" s="125">
        <v>5</v>
      </c>
      <c r="AI181" s="125">
        <v>8</v>
      </c>
      <c r="AJ181" s="125">
        <v>13</v>
      </c>
      <c r="AK181" s="125">
        <v>34</v>
      </c>
      <c r="AL181" s="129" t="b">
        <v>0</v>
      </c>
      <c r="AM181" s="128" t="b">
        <v>1</v>
      </c>
      <c r="AN181" s="131" t="s">
        <v>1469</v>
      </c>
      <c r="AO181" s="141">
        <v>1.0000000000000001E-5</v>
      </c>
      <c r="AP181" s="128" t="b">
        <v>1</v>
      </c>
      <c r="AQ181" s="141">
        <v>1.0000000000000001E-5</v>
      </c>
      <c r="AR181" s="126">
        <v>5</v>
      </c>
      <c r="AS181" s="126">
        <v>8</v>
      </c>
      <c r="AT181" s="126">
        <v>5</v>
      </c>
      <c r="AU181" s="128" t="b">
        <v>1</v>
      </c>
      <c r="AV181" s="124">
        <v>3</v>
      </c>
      <c r="AW181" s="146">
        <v>5</v>
      </c>
      <c r="AX181" s="124">
        <v>1</v>
      </c>
      <c r="AY181" s="128" t="b">
        <v>1</v>
      </c>
      <c r="AZ181" s="122" t="s">
        <v>1586</v>
      </c>
      <c r="BA181" s="122">
        <v>4</v>
      </c>
      <c r="BB181" s="126">
        <v>0.05</v>
      </c>
      <c r="BC181" s="126">
        <v>0.5</v>
      </c>
      <c r="BD181" s="129" t="b">
        <v>0</v>
      </c>
      <c r="BE181" s="122" t="s">
        <v>1873</v>
      </c>
      <c r="BF181" s="128" t="b">
        <v>1</v>
      </c>
      <c r="BG181" s="122" t="s">
        <v>1578</v>
      </c>
      <c r="BH181" s="133">
        <v>0.02</v>
      </c>
      <c r="BI181" s="156" t="s">
        <v>403</v>
      </c>
      <c r="BJ181" s="128" t="b">
        <v>1</v>
      </c>
      <c r="BK181" s="161">
        <v>1.5</v>
      </c>
      <c r="BL181" s="129" t="b">
        <v>0</v>
      </c>
      <c r="BM181" s="156" t="s">
        <v>412</v>
      </c>
      <c r="BN181" s="128" t="b">
        <v>1</v>
      </c>
      <c r="BO181" s="156" t="s">
        <v>1382</v>
      </c>
      <c r="BP181" s="157">
        <v>1</v>
      </c>
      <c r="BQ181" s="157">
        <v>0.5</v>
      </c>
      <c r="BR181" s="166" t="str">
        <f t="shared" ref="BR181:BR188" si="247">AH181&amp;"/ "&amp;AI181&amp;"/ "&amp;AJ181&amp;"/ "&amp;AK181</f>
        <v>5/ 8/ 13/ 34</v>
      </c>
      <c r="BS181" s="166" t="str">
        <f t="shared" ref="BS181:BS188" si="248">AR181&amp;" / "&amp;AS181&amp;" / "&amp;AT181</f>
        <v>5 / 8 / 5</v>
      </c>
      <c r="BT181" s="166" t="str">
        <f t="shared" ref="BT181:BT188" si="249">BB181&amp;" / "&amp;BC181</f>
        <v>0.05 / 0.5</v>
      </c>
      <c r="BU181" s="66">
        <v>541</v>
      </c>
      <c r="BV181" s="66">
        <v>319</v>
      </c>
      <c r="BW181" s="66">
        <v>257</v>
      </c>
      <c r="BX181" s="99">
        <f t="shared" ref="BX181:BX188" si="250">BV181-BW181</f>
        <v>62</v>
      </c>
      <c r="BY181" s="66">
        <v>61</v>
      </c>
      <c r="BZ181" s="92">
        <f t="shared" ref="BZ181:BZ188" si="251">BU181-SUM(BW181:BY181)</f>
        <v>161</v>
      </c>
      <c r="CA181" s="204">
        <f>IF(BU181=0,0,BV181/BU181)</f>
        <v>0.58964879852125696</v>
      </c>
      <c r="CB181" s="205">
        <f>IF(BU181=0,0,BY181/BU181)</f>
        <v>0.11275415896487985</v>
      </c>
      <c r="CC181" s="87">
        <v>5.38</v>
      </c>
      <c r="CD181" s="87">
        <v>27.33</v>
      </c>
      <c r="CE181" s="87">
        <v>0.41</v>
      </c>
      <c r="CF181" s="170">
        <f t="shared" ref="CF181:CF188" si="252">BK181</f>
        <v>1.5</v>
      </c>
      <c r="CG181" s="87">
        <v>0.65</v>
      </c>
      <c r="CH181" s="87">
        <v>0.48</v>
      </c>
      <c r="CI181" s="93">
        <v>8772.6</v>
      </c>
      <c r="CJ181" s="87">
        <v>27.5</v>
      </c>
      <c r="CK181" s="87">
        <v>26.47</v>
      </c>
      <c r="CL181" s="87">
        <v>-5.6</v>
      </c>
      <c r="CM181" s="165">
        <v>1000</v>
      </c>
      <c r="CN181" s="208">
        <v>14784.75</v>
      </c>
      <c r="CO181" s="209">
        <f t="shared" ref="CO181:CO188" si="253">CM181+CN181</f>
        <v>15784.75</v>
      </c>
      <c r="CP181" s="209">
        <f t="shared" ref="CP181:CP188" si="254">CN181/10</f>
        <v>1478.4749999999999</v>
      </c>
      <c r="CR181" s="82">
        <f t="shared" ref="CR181:CR188" si="255">CR$4</f>
        <v>12</v>
      </c>
      <c r="CS181" s="80">
        <f t="shared" ref="CS181:CS188" si="256">CI181/CR181</f>
        <v>731.05000000000007</v>
      </c>
      <c r="CT181" s="80">
        <f t="shared" ref="CT181:CT188" si="257">CN181/CR181</f>
        <v>1232.0625</v>
      </c>
      <c r="CU181" s="80">
        <f t="shared" ref="CU181:CU188" si="258">CT181/10</f>
        <v>123.20625</v>
      </c>
      <c r="CW181" s="80">
        <f t="shared" ref="CW181:CW188" si="259">CI181</f>
        <v>8772.6</v>
      </c>
      <c r="CX181" s="80">
        <f t="shared" ref="CX181:CX188" si="260">CN181</f>
        <v>14784.75</v>
      </c>
      <c r="CY181" s="80">
        <f t="shared" ref="CY181:CY188" si="261">CP181</f>
        <v>1478.4749999999999</v>
      </c>
    </row>
    <row r="182" spans="1:103" hidden="1" outlineLevel="1" x14ac:dyDescent="0.2">
      <c r="A182" s="120"/>
      <c r="B182" s="72"/>
      <c r="C182" s="57" t="s">
        <v>1387</v>
      </c>
      <c r="D182" s="57" t="s">
        <v>1888</v>
      </c>
      <c r="E182" s="65" t="s">
        <v>1389</v>
      </c>
      <c r="F182" s="57" t="s">
        <v>1454</v>
      </c>
      <c r="G182" s="62" t="s">
        <v>1556</v>
      </c>
      <c r="H182" s="129" t="b">
        <v>0</v>
      </c>
      <c r="J182" s="123" t="s">
        <v>1866</v>
      </c>
      <c r="K182" s="123" t="s">
        <v>1866</v>
      </c>
      <c r="L182" s="123" t="s">
        <v>1866</v>
      </c>
      <c r="M182" s="137" t="b">
        <v>0</v>
      </c>
      <c r="Q182" s="128" t="b">
        <v>1</v>
      </c>
      <c r="R182" s="127" t="s">
        <v>1559</v>
      </c>
      <c r="S182" s="135" t="b">
        <v>1</v>
      </c>
      <c r="T182" s="126">
        <v>13</v>
      </c>
      <c r="U182" s="124">
        <v>1.4999999999999999E-2</v>
      </c>
      <c r="V182" s="126">
        <v>75</v>
      </c>
      <c r="W182" s="126">
        <v>-75</v>
      </c>
      <c r="X182" s="124">
        <v>50</v>
      </c>
      <c r="Y182" s="124">
        <v>5</v>
      </c>
      <c r="Z182" s="128" t="b">
        <v>1</v>
      </c>
      <c r="AA182" s="127" t="s">
        <v>1867</v>
      </c>
      <c r="AB182" s="133">
        <v>2</v>
      </c>
      <c r="AC182" s="137" t="b">
        <v>0</v>
      </c>
      <c r="AE182" s="137" t="b">
        <v>0</v>
      </c>
      <c r="AG182" s="135" t="b">
        <v>1</v>
      </c>
      <c r="AH182" s="125">
        <v>5</v>
      </c>
      <c r="AI182" s="125">
        <v>8</v>
      </c>
      <c r="AJ182" s="125">
        <v>13</v>
      </c>
      <c r="AK182" s="125">
        <v>34</v>
      </c>
      <c r="AL182" s="129" t="b">
        <v>0</v>
      </c>
      <c r="AM182" s="128" t="b">
        <v>1</v>
      </c>
      <c r="AN182" s="131" t="s">
        <v>1469</v>
      </c>
      <c r="AO182" s="141">
        <v>1.0000000000000001E-5</v>
      </c>
      <c r="AP182" s="128" t="b">
        <v>1</v>
      </c>
      <c r="AQ182" s="141">
        <v>1.0000000000000001E-5</v>
      </c>
      <c r="AR182" s="137">
        <v>5</v>
      </c>
      <c r="AS182" s="137">
        <v>13</v>
      </c>
      <c r="AT182" s="137">
        <v>5</v>
      </c>
      <c r="AU182" s="128" t="b">
        <v>1</v>
      </c>
      <c r="AV182" s="124">
        <v>3</v>
      </c>
      <c r="AW182" s="146">
        <v>5</v>
      </c>
      <c r="AX182" s="124">
        <v>1</v>
      </c>
      <c r="AY182" s="128" t="b">
        <v>1</v>
      </c>
      <c r="AZ182" s="122" t="s">
        <v>1586</v>
      </c>
      <c r="BA182" s="122">
        <v>4</v>
      </c>
      <c r="BB182" s="126">
        <v>0.05</v>
      </c>
      <c r="BC182" s="126">
        <v>0.5</v>
      </c>
      <c r="BD182" s="129" t="b">
        <v>0</v>
      </c>
      <c r="BE182" s="122" t="s">
        <v>1873</v>
      </c>
      <c r="BF182" s="128" t="b">
        <v>1</v>
      </c>
      <c r="BG182" s="122" t="s">
        <v>1578</v>
      </c>
      <c r="BH182" s="133">
        <v>0.02</v>
      </c>
      <c r="BI182" s="156" t="s">
        <v>403</v>
      </c>
      <c r="BJ182" s="128" t="b">
        <v>1</v>
      </c>
      <c r="BK182" s="161">
        <v>1.5</v>
      </c>
      <c r="BL182" s="129" t="b">
        <v>0</v>
      </c>
      <c r="BM182" s="156" t="s">
        <v>412</v>
      </c>
      <c r="BN182" s="128" t="b">
        <v>1</v>
      </c>
      <c r="BO182" s="156" t="s">
        <v>1382</v>
      </c>
      <c r="BP182" s="157">
        <v>1</v>
      </c>
      <c r="BQ182" s="157">
        <v>0.5</v>
      </c>
      <c r="BR182" s="166" t="str">
        <f t="shared" si="247"/>
        <v>5/ 8/ 13/ 34</v>
      </c>
      <c r="BS182" s="166" t="str">
        <f t="shared" si="248"/>
        <v>5 / 13 / 5</v>
      </c>
      <c r="BT182" s="166" t="str">
        <f t="shared" si="249"/>
        <v>0.05 / 0.5</v>
      </c>
      <c r="BU182" s="66">
        <v>561</v>
      </c>
      <c r="BV182" s="66">
        <v>326</v>
      </c>
      <c r="BW182" s="66">
        <v>264</v>
      </c>
      <c r="BX182" s="99">
        <f t="shared" si="250"/>
        <v>62</v>
      </c>
      <c r="BY182" s="66">
        <v>72</v>
      </c>
      <c r="BZ182" s="92">
        <f t="shared" si="251"/>
        <v>163</v>
      </c>
      <c r="CA182" s="204">
        <f t="shared" ref="CA182:CA188" si="262">IF(BU182=0,0,BV182/BU182)</f>
        <v>0.58110516934046341</v>
      </c>
      <c r="CB182" s="205">
        <f t="shared" ref="CB182:CB188" si="263">IF(BU182=0,0,BY182/BU182)</f>
        <v>0.12834224598930483</v>
      </c>
      <c r="CC182" s="87">
        <v>4.3499999999999996</v>
      </c>
      <c r="CD182" s="87">
        <v>25.49</v>
      </c>
      <c r="CE182" s="87">
        <v>0.38</v>
      </c>
      <c r="CF182" s="170">
        <f t="shared" si="252"/>
        <v>1.5</v>
      </c>
      <c r="CG182" s="87">
        <v>0.65</v>
      </c>
      <c r="CH182" s="87">
        <v>0.49</v>
      </c>
      <c r="CI182" s="93">
        <v>8988</v>
      </c>
      <c r="CJ182" s="87">
        <v>27.57</v>
      </c>
      <c r="CK182" s="87">
        <v>26.28</v>
      </c>
      <c r="CL182" s="87">
        <v>-4.21</v>
      </c>
      <c r="CM182" s="165">
        <v>1000</v>
      </c>
      <c r="CN182" s="93">
        <v>14298.83</v>
      </c>
      <c r="CO182" s="108">
        <f t="shared" si="253"/>
        <v>15298.83</v>
      </c>
      <c r="CP182" s="108">
        <f t="shared" si="254"/>
        <v>1429.883</v>
      </c>
      <c r="CR182" s="82">
        <f t="shared" si="255"/>
        <v>12</v>
      </c>
      <c r="CS182" s="80">
        <f t="shared" si="256"/>
        <v>749</v>
      </c>
      <c r="CT182" s="80">
        <f t="shared" si="257"/>
        <v>1191.5691666666667</v>
      </c>
      <c r="CU182" s="80">
        <f t="shared" si="258"/>
        <v>119.15691666666666</v>
      </c>
      <c r="CW182" s="80">
        <f t="shared" si="259"/>
        <v>8988</v>
      </c>
      <c r="CX182" s="80">
        <f t="shared" si="260"/>
        <v>14298.83</v>
      </c>
      <c r="CY182" s="80">
        <f t="shared" si="261"/>
        <v>1429.883</v>
      </c>
    </row>
    <row r="183" spans="1:103" hidden="1" outlineLevel="1" x14ac:dyDescent="0.2">
      <c r="A183" s="120"/>
      <c r="B183" s="72"/>
      <c r="C183" s="57" t="s">
        <v>1387</v>
      </c>
      <c r="D183" s="57" t="s">
        <v>1888</v>
      </c>
      <c r="E183" s="65" t="s">
        <v>1389</v>
      </c>
      <c r="F183" s="57" t="s">
        <v>1454</v>
      </c>
      <c r="G183" s="62" t="s">
        <v>1556</v>
      </c>
      <c r="H183" s="129" t="b">
        <v>0</v>
      </c>
      <c r="J183" s="123" t="s">
        <v>1866</v>
      </c>
      <c r="K183" s="123" t="s">
        <v>1866</v>
      </c>
      <c r="L183" s="123" t="s">
        <v>1866</v>
      </c>
      <c r="M183" s="137" t="b">
        <v>0</v>
      </c>
      <c r="Q183" s="128" t="b">
        <v>1</v>
      </c>
      <c r="R183" s="127" t="s">
        <v>1559</v>
      </c>
      <c r="S183" s="135" t="b">
        <v>1</v>
      </c>
      <c r="T183" s="126">
        <v>13</v>
      </c>
      <c r="U183" s="124">
        <v>1.4999999999999999E-2</v>
      </c>
      <c r="V183" s="126">
        <v>75</v>
      </c>
      <c r="W183" s="126">
        <v>-75</v>
      </c>
      <c r="X183" s="124">
        <v>50</v>
      </c>
      <c r="Y183" s="124">
        <v>5</v>
      </c>
      <c r="Z183" s="128" t="b">
        <v>1</v>
      </c>
      <c r="AA183" s="127" t="s">
        <v>1867</v>
      </c>
      <c r="AB183" s="133">
        <v>2</v>
      </c>
      <c r="AC183" s="137" t="b">
        <v>0</v>
      </c>
      <c r="AE183" s="137" t="b">
        <v>0</v>
      </c>
      <c r="AG183" s="135" t="b">
        <v>1</v>
      </c>
      <c r="AH183" s="125">
        <v>5</v>
      </c>
      <c r="AI183" s="125">
        <v>8</v>
      </c>
      <c r="AJ183" s="125">
        <v>13</v>
      </c>
      <c r="AK183" s="125">
        <v>34</v>
      </c>
      <c r="AL183" s="129" t="b">
        <v>0</v>
      </c>
      <c r="AM183" s="128" t="b">
        <v>1</v>
      </c>
      <c r="AN183" s="131" t="s">
        <v>1469</v>
      </c>
      <c r="AO183" s="141">
        <v>1.0000000000000001E-5</v>
      </c>
      <c r="AP183" s="128" t="b">
        <v>1</v>
      </c>
      <c r="AQ183" s="141">
        <v>1.0000000000000001E-5</v>
      </c>
      <c r="AR183" s="137">
        <v>5</v>
      </c>
      <c r="AS183" s="137">
        <v>13</v>
      </c>
      <c r="AT183" s="137">
        <v>8</v>
      </c>
      <c r="AU183" s="128" t="b">
        <v>1</v>
      </c>
      <c r="AV183" s="124">
        <v>3</v>
      </c>
      <c r="AW183" s="146">
        <v>5</v>
      </c>
      <c r="AX183" s="124">
        <v>1</v>
      </c>
      <c r="AY183" s="128" t="b">
        <v>1</v>
      </c>
      <c r="AZ183" s="122" t="s">
        <v>1586</v>
      </c>
      <c r="BA183" s="122">
        <v>4</v>
      </c>
      <c r="BB183" s="126">
        <v>0.05</v>
      </c>
      <c r="BC183" s="126">
        <v>0.5</v>
      </c>
      <c r="BD183" s="129" t="b">
        <v>0</v>
      </c>
      <c r="BE183" s="122" t="s">
        <v>1873</v>
      </c>
      <c r="BF183" s="128" t="b">
        <v>1</v>
      </c>
      <c r="BG183" s="122" t="s">
        <v>1578</v>
      </c>
      <c r="BH183" s="133">
        <v>0.02</v>
      </c>
      <c r="BI183" s="156" t="s">
        <v>403</v>
      </c>
      <c r="BJ183" s="128" t="b">
        <v>1</v>
      </c>
      <c r="BK183" s="161">
        <v>1.5</v>
      </c>
      <c r="BL183" s="129" t="b">
        <v>0</v>
      </c>
      <c r="BM183" s="156" t="s">
        <v>412</v>
      </c>
      <c r="BN183" s="128" t="b">
        <v>1</v>
      </c>
      <c r="BO183" s="156" t="s">
        <v>1382</v>
      </c>
      <c r="BP183" s="157">
        <v>1</v>
      </c>
      <c r="BQ183" s="157">
        <v>0.5</v>
      </c>
      <c r="BR183" s="166" t="str">
        <f>AH183&amp;"/ "&amp;AI183&amp;"/ "&amp;AJ183&amp;"/ "&amp;AK183</f>
        <v>5/ 8/ 13/ 34</v>
      </c>
      <c r="BS183" s="166" t="str">
        <f t="shared" si="248"/>
        <v>5 / 13 / 8</v>
      </c>
      <c r="BT183" s="166" t="str">
        <f t="shared" si="249"/>
        <v>0.05 / 0.5</v>
      </c>
      <c r="BU183" s="66">
        <v>560</v>
      </c>
      <c r="BV183" s="66">
        <v>328</v>
      </c>
      <c r="BW183" s="66">
        <v>264</v>
      </c>
      <c r="BX183" s="99">
        <f t="shared" si="250"/>
        <v>64</v>
      </c>
      <c r="BY183" s="66">
        <v>73</v>
      </c>
      <c r="BZ183" s="92">
        <f t="shared" si="251"/>
        <v>159</v>
      </c>
      <c r="CA183" s="204">
        <f t="shared" si="262"/>
        <v>0.58571428571428574</v>
      </c>
      <c r="CB183" s="205">
        <f t="shared" si="263"/>
        <v>0.13035714285714287</v>
      </c>
      <c r="CC183" s="87">
        <v>4.32</v>
      </c>
      <c r="CD183" s="87">
        <v>25.87</v>
      </c>
      <c r="CE183" s="87">
        <v>0.38</v>
      </c>
      <c r="CF183" s="170">
        <f t="shared" si="252"/>
        <v>1.5</v>
      </c>
      <c r="CG183" s="87">
        <v>0.65</v>
      </c>
      <c r="CH183" s="87">
        <v>0.48</v>
      </c>
      <c r="CI183" s="93">
        <v>9097.5</v>
      </c>
      <c r="CJ183" s="87">
        <v>27.74</v>
      </c>
      <c r="CK183" s="87">
        <v>26.73</v>
      </c>
      <c r="CL183" s="87">
        <v>-5.48</v>
      </c>
      <c r="CM183" s="165">
        <v>1000</v>
      </c>
      <c r="CN183" s="93">
        <v>14488.82</v>
      </c>
      <c r="CO183" s="108">
        <f t="shared" si="253"/>
        <v>15488.82</v>
      </c>
      <c r="CP183" s="108">
        <f t="shared" si="254"/>
        <v>1448.8820000000001</v>
      </c>
      <c r="CR183" s="82">
        <f t="shared" si="255"/>
        <v>12</v>
      </c>
      <c r="CS183" s="80">
        <f t="shared" si="256"/>
        <v>758.125</v>
      </c>
      <c r="CT183" s="80">
        <f t="shared" si="257"/>
        <v>1207.4016666666666</v>
      </c>
      <c r="CU183" s="80">
        <f t="shared" si="258"/>
        <v>120.74016666666667</v>
      </c>
      <c r="CW183" s="80">
        <f t="shared" si="259"/>
        <v>9097.5</v>
      </c>
      <c r="CX183" s="80">
        <f t="shared" si="260"/>
        <v>14488.82</v>
      </c>
      <c r="CY183" s="80">
        <f t="shared" si="261"/>
        <v>1448.8820000000001</v>
      </c>
    </row>
    <row r="184" spans="1:103" hidden="1" outlineLevel="1" x14ac:dyDescent="0.2">
      <c r="A184" s="120"/>
      <c r="B184" s="72"/>
      <c r="C184" s="57" t="s">
        <v>1387</v>
      </c>
      <c r="D184" s="57" t="s">
        <v>1888</v>
      </c>
      <c r="E184" s="65" t="s">
        <v>1389</v>
      </c>
      <c r="F184" s="57" t="s">
        <v>1454</v>
      </c>
      <c r="G184" s="62" t="s">
        <v>1556</v>
      </c>
      <c r="H184" s="129" t="b">
        <v>0</v>
      </c>
      <c r="J184" s="123" t="s">
        <v>1866</v>
      </c>
      <c r="K184" s="123" t="s">
        <v>1866</v>
      </c>
      <c r="L184" s="123" t="s">
        <v>1866</v>
      </c>
      <c r="M184" s="137" t="b">
        <v>0</v>
      </c>
      <c r="Q184" s="128" t="b">
        <v>1</v>
      </c>
      <c r="R184" s="127" t="s">
        <v>1559</v>
      </c>
      <c r="S184" s="135" t="b">
        <v>1</v>
      </c>
      <c r="T184" s="126">
        <v>13</v>
      </c>
      <c r="U184" s="124">
        <v>1.4999999999999999E-2</v>
      </c>
      <c r="V184" s="126">
        <v>75</v>
      </c>
      <c r="W184" s="126">
        <v>-75</v>
      </c>
      <c r="X184" s="124">
        <v>50</v>
      </c>
      <c r="Y184" s="124">
        <v>5</v>
      </c>
      <c r="Z184" s="128" t="b">
        <v>1</v>
      </c>
      <c r="AA184" s="127" t="s">
        <v>1867</v>
      </c>
      <c r="AB184" s="133">
        <v>2</v>
      </c>
      <c r="AC184" s="137" t="b">
        <v>0</v>
      </c>
      <c r="AE184" s="137" t="b">
        <v>0</v>
      </c>
      <c r="AG184" s="135" t="b">
        <v>1</v>
      </c>
      <c r="AH184" s="125">
        <v>5</v>
      </c>
      <c r="AI184" s="125">
        <v>8</v>
      </c>
      <c r="AJ184" s="125">
        <v>13</v>
      </c>
      <c r="AK184" s="125">
        <v>34</v>
      </c>
      <c r="AL184" s="129" t="b">
        <v>0</v>
      </c>
      <c r="AM184" s="128" t="b">
        <v>1</v>
      </c>
      <c r="AN184" s="131" t="s">
        <v>1469</v>
      </c>
      <c r="AO184" s="141">
        <v>1.0000000000000001E-5</v>
      </c>
      <c r="AP184" s="128" t="b">
        <v>1</v>
      </c>
      <c r="AQ184" s="141">
        <v>1.0000000000000001E-5</v>
      </c>
      <c r="AR184" s="149">
        <v>8</v>
      </c>
      <c r="AS184" s="149">
        <v>13</v>
      </c>
      <c r="AT184" s="149">
        <v>8</v>
      </c>
      <c r="AU184" s="128" t="b">
        <v>1</v>
      </c>
      <c r="AV184" s="124">
        <v>3</v>
      </c>
      <c r="AW184" s="146">
        <v>5</v>
      </c>
      <c r="AX184" s="124">
        <v>1</v>
      </c>
      <c r="AY184" s="128" t="b">
        <v>1</v>
      </c>
      <c r="AZ184" s="122" t="s">
        <v>1586</v>
      </c>
      <c r="BA184" s="122">
        <v>4</v>
      </c>
      <c r="BB184" s="126">
        <v>0.05</v>
      </c>
      <c r="BC184" s="126">
        <v>0.5</v>
      </c>
      <c r="BD184" s="129" t="b">
        <v>0</v>
      </c>
      <c r="BE184" s="122" t="s">
        <v>1873</v>
      </c>
      <c r="BF184" s="128" t="b">
        <v>1</v>
      </c>
      <c r="BG184" s="122" t="s">
        <v>1578</v>
      </c>
      <c r="BH184" s="133">
        <v>0.02</v>
      </c>
      <c r="BI184" s="156" t="s">
        <v>403</v>
      </c>
      <c r="BJ184" s="128" t="b">
        <v>1</v>
      </c>
      <c r="BK184" s="161">
        <v>1.5</v>
      </c>
      <c r="BL184" s="129" t="b">
        <v>0</v>
      </c>
      <c r="BM184" s="156" t="s">
        <v>412</v>
      </c>
      <c r="BN184" s="128" t="b">
        <v>1</v>
      </c>
      <c r="BO184" s="156" t="s">
        <v>1382</v>
      </c>
      <c r="BP184" s="157">
        <v>1</v>
      </c>
      <c r="BQ184" s="157">
        <v>0.5</v>
      </c>
      <c r="BR184" s="166" t="str">
        <f t="shared" si="247"/>
        <v>5/ 8/ 13/ 34</v>
      </c>
      <c r="BS184" s="166" t="str">
        <f t="shared" si="248"/>
        <v>8 / 13 / 8</v>
      </c>
      <c r="BT184" s="166" t="str">
        <f t="shared" si="249"/>
        <v>0.05 / 0.5</v>
      </c>
      <c r="BU184" s="66">
        <v>550</v>
      </c>
      <c r="BV184" s="66">
        <v>323</v>
      </c>
      <c r="BW184" s="66">
        <v>260</v>
      </c>
      <c r="BX184" s="99">
        <f t="shared" si="250"/>
        <v>63</v>
      </c>
      <c r="BY184" s="66">
        <v>71</v>
      </c>
      <c r="BZ184" s="92">
        <f t="shared" si="251"/>
        <v>156</v>
      </c>
      <c r="CA184" s="204">
        <f t="shared" si="262"/>
        <v>0.58727272727272728</v>
      </c>
      <c r="CB184" s="205">
        <f t="shared" si="263"/>
        <v>0.12909090909090909</v>
      </c>
      <c r="CC184" s="87">
        <v>4.4400000000000004</v>
      </c>
      <c r="CD184" s="87">
        <v>26.43</v>
      </c>
      <c r="CE184" s="87">
        <v>0.39</v>
      </c>
      <c r="CF184" s="170">
        <f t="shared" si="252"/>
        <v>1.5</v>
      </c>
      <c r="CG184" s="87">
        <v>0.66</v>
      </c>
      <c r="CH184" s="87">
        <v>0.5</v>
      </c>
      <c r="CI184" s="93">
        <v>8992.6</v>
      </c>
      <c r="CJ184" s="87">
        <v>27.84</v>
      </c>
      <c r="CK184" s="87">
        <v>26.43</v>
      </c>
      <c r="CL184" s="87">
        <v>-5.48</v>
      </c>
      <c r="CM184" s="165">
        <v>1000</v>
      </c>
      <c r="CN184" s="93">
        <v>14535.96</v>
      </c>
      <c r="CO184" s="108">
        <f t="shared" si="253"/>
        <v>15535.96</v>
      </c>
      <c r="CP184" s="108">
        <f t="shared" si="254"/>
        <v>1453.596</v>
      </c>
      <c r="CR184" s="82">
        <f t="shared" si="255"/>
        <v>12</v>
      </c>
      <c r="CS184" s="80">
        <f t="shared" si="256"/>
        <v>749.38333333333333</v>
      </c>
      <c r="CT184" s="80">
        <f t="shared" si="257"/>
        <v>1211.33</v>
      </c>
      <c r="CU184" s="80">
        <f t="shared" si="258"/>
        <v>121.133</v>
      </c>
      <c r="CW184" s="80">
        <f t="shared" si="259"/>
        <v>8992.6</v>
      </c>
      <c r="CX184" s="80">
        <f t="shared" si="260"/>
        <v>14535.96</v>
      </c>
      <c r="CY184" s="80">
        <f t="shared" si="261"/>
        <v>1453.596</v>
      </c>
    </row>
    <row r="185" spans="1:103" hidden="1" outlineLevel="1" x14ac:dyDescent="0.2">
      <c r="A185" s="120"/>
      <c r="B185" s="72"/>
      <c r="C185" s="57" t="s">
        <v>1387</v>
      </c>
      <c r="D185" s="57" t="s">
        <v>1888</v>
      </c>
      <c r="E185" s="65" t="s">
        <v>1389</v>
      </c>
      <c r="F185" s="57" t="s">
        <v>1454</v>
      </c>
      <c r="G185" s="62" t="s">
        <v>1556</v>
      </c>
      <c r="H185" s="129" t="b">
        <v>0</v>
      </c>
      <c r="J185" s="123" t="s">
        <v>1866</v>
      </c>
      <c r="K185" s="123" t="s">
        <v>1866</v>
      </c>
      <c r="L185" s="123" t="s">
        <v>1866</v>
      </c>
      <c r="M185" s="137" t="b">
        <v>0</v>
      </c>
      <c r="Q185" s="128" t="b">
        <v>1</v>
      </c>
      <c r="R185" s="127" t="s">
        <v>1559</v>
      </c>
      <c r="S185" s="135" t="b">
        <v>1</v>
      </c>
      <c r="T185" s="126">
        <v>13</v>
      </c>
      <c r="U185" s="124">
        <v>1.4999999999999999E-2</v>
      </c>
      <c r="V185" s="126">
        <v>75</v>
      </c>
      <c r="W185" s="126">
        <v>-75</v>
      </c>
      <c r="X185" s="124">
        <v>50</v>
      </c>
      <c r="Y185" s="124">
        <v>5</v>
      </c>
      <c r="Z185" s="128" t="b">
        <v>1</v>
      </c>
      <c r="AA185" s="127" t="s">
        <v>1867</v>
      </c>
      <c r="AB185" s="133">
        <v>2</v>
      </c>
      <c r="AC185" s="137" t="b">
        <v>0</v>
      </c>
      <c r="AE185" s="137" t="b">
        <v>0</v>
      </c>
      <c r="AG185" s="135" t="b">
        <v>1</v>
      </c>
      <c r="AH185" s="125">
        <v>5</v>
      </c>
      <c r="AI185" s="125">
        <v>8</v>
      </c>
      <c r="AJ185" s="125">
        <v>13</v>
      </c>
      <c r="AK185" s="125">
        <v>34</v>
      </c>
      <c r="AL185" s="129" t="b">
        <v>0</v>
      </c>
      <c r="AM185" s="128" t="b">
        <v>1</v>
      </c>
      <c r="AN185" s="131" t="s">
        <v>1469</v>
      </c>
      <c r="AO185" s="141">
        <v>1.0000000000000001E-5</v>
      </c>
      <c r="AP185" s="128" t="b">
        <v>1</v>
      </c>
      <c r="AQ185" s="141">
        <v>1.0000000000000001E-5</v>
      </c>
      <c r="AR185" s="149">
        <v>8</v>
      </c>
      <c r="AS185" s="149">
        <v>13</v>
      </c>
      <c r="AT185" s="149">
        <v>11</v>
      </c>
      <c r="AU185" s="128" t="b">
        <v>1</v>
      </c>
      <c r="AV185" s="124">
        <v>3</v>
      </c>
      <c r="AW185" s="146">
        <v>5</v>
      </c>
      <c r="AX185" s="124">
        <v>1</v>
      </c>
      <c r="AY185" s="128" t="b">
        <v>1</v>
      </c>
      <c r="AZ185" s="122" t="s">
        <v>1586</v>
      </c>
      <c r="BA185" s="122">
        <v>4</v>
      </c>
      <c r="BB185" s="126">
        <v>0.05</v>
      </c>
      <c r="BC185" s="126">
        <v>0.5</v>
      </c>
      <c r="BD185" s="129" t="b">
        <v>0</v>
      </c>
      <c r="BE185" s="122" t="s">
        <v>1873</v>
      </c>
      <c r="BF185" s="128" t="b">
        <v>1</v>
      </c>
      <c r="BG185" s="122" t="s">
        <v>1578</v>
      </c>
      <c r="BH185" s="133">
        <v>0.02</v>
      </c>
      <c r="BI185" s="156" t="s">
        <v>403</v>
      </c>
      <c r="BJ185" s="128" t="b">
        <v>1</v>
      </c>
      <c r="BK185" s="161">
        <v>1.5</v>
      </c>
      <c r="BL185" s="129" t="b">
        <v>0</v>
      </c>
      <c r="BM185" s="156" t="s">
        <v>412</v>
      </c>
      <c r="BN185" s="128" t="b">
        <v>1</v>
      </c>
      <c r="BO185" s="156" t="s">
        <v>1382</v>
      </c>
      <c r="BP185" s="157">
        <v>1</v>
      </c>
      <c r="BQ185" s="157">
        <v>0.5</v>
      </c>
      <c r="BR185" s="166" t="str">
        <f t="shared" si="247"/>
        <v>5/ 8/ 13/ 34</v>
      </c>
      <c r="BS185" s="166" t="str">
        <f t="shared" si="248"/>
        <v>8 / 13 / 11</v>
      </c>
      <c r="BT185" s="166" t="str">
        <f t="shared" si="249"/>
        <v>0.05 / 0.5</v>
      </c>
      <c r="BU185" s="66">
        <v>545</v>
      </c>
      <c r="BV185" s="66">
        <v>321</v>
      </c>
      <c r="BW185" s="66">
        <v>260</v>
      </c>
      <c r="BX185" s="99">
        <f t="shared" si="250"/>
        <v>61</v>
      </c>
      <c r="BY185" s="66">
        <v>72</v>
      </c>
      <c r="BZ185" s="92">
        <f t="shared" si="251"/>
        <v>152</v>
      </c>
      <c r="CA185" s="204">
        <f t="shared" si="262"/>
        <v>0.58899082568807337</v>
      </c>
      <c r="CB185" s="205">
        <f t="shared" si="263"/>
        <v>0.13211009174311927</v>
      </c>
      <c r="CC185" s="87">
        <v>4.32</v>
      </c>
      <c r="CD185" s="87">
        <v>25.77</v>
      </c>
      <c r="CE185" s="87">
        <v>0.39</v>
      </c>
      <c r="CF185" s="170">
        <f t="shared" si="252"/>
        <v>1.5</v>
      </c>
      <c r="CG185" s="87">
        <v>0.65</v>
      </c>
      <c r="CH185" s="87">
        <v>0.49</v>
      </c>
      <c r="CI185" s="93">
        <v>8904.7000000000007</v>
      </c>
      <c r="CJ185" s="87">
        <v>27.74</v>
      </c>
      <c r="CK185" s="87">
        <v>26.54</v>
      </c>
      <c r="CL185" s="87">
        <v>-5.48</v>
      </c>
      <c r="CM185" s="165">
        <v>1000</v>
      </c>
      <c r="CN185" s="93">
        <v>14042.83</v>
      </c>
      <c r="CO185" s="108">
        <f t="shared" si="253"/>
        <v>15042.83</v>
      </c>
      <c r="CP185" s="108">
        <f t="shared" si="254"/>
        <v>1404.2829999999999</v>
      </c>
      <c r="CR185" s="82">
        <f t="shared" si="255"/>
        <v>12</v>
      </c>
      <c r="CS185" s="80">
        <f t="shared" si="256"/>
        <v>742.05833333333339</v>
      </c>
      <c r="CT185" s="80">
        <f t="shared" si="257"/>
        <v>1170.2358333333334</v>
      </c>
      <c r="CU185" s="80">
        <f t="shared" si="258"/>
        <v>117.02358333333333</v>
      </c>
      <c r="CW185" s="80">
        <f t="shared" si="259"/>
        <v>8904.7000000000007</v>
      </c>
      <c r="CX185" s="80">
        <f t="shared" si="260"/>
        <v>14042.83</v>
      </c>
      <c r="CY185" s="80">
        <f t="shared" si="261"/>
        <v>1404.2829999999999</v>
      </c>
    </row>
    <row r="186" spans="1:103" hidden="1" outlineLevel="1" x14ac:dyDescent="0.2">
      <c r="A186" s="120"/>
      <c r="B186" s="72"/>
      <c r="C186" s="57" t="s">
        <v>1387</v>
      </c>
      <c r="D186" s="57" t="s">
        <v>1888</v>
      </c>
      <c r="E186" s="65" t="s">
        <v>1389</v>
      </c>
      <c r="F186" s="57" t="s">
        <v>1454</v>
      </c>
      <c r="G186" s="62" t="s">
        <v>1556</v>
      </c>
      <c r="H186" s="129" t="b">
        <v>0</v>
      </c>
      <c r="J186" s="123" t="s">
        <v>1866</v>
      </c>
      <c r="K186" s="123" t="s">
        <v>1866</v>
      </c>
      <c r="L186" s="123" t="s">
        <v>1866</v>
      </c>
      <c r="M186" s="137" t="b">
        <v>0</v>
      </c>
      <c r="Q186" s="128" t="b">
        <v>1</v>
      </c>
      <c r="R186" s="127" t="s">
        <v>1559</v>
      </c>
      <c r="S186" s="135" t="b">
        <v>1</v>
      </c>
      <c r="T186" s="126">
        <v>13</v>
      </c>
      <c r="U186" s="124">
        <v>1.4999999999999999E-2</v>
      </c>
      <c r="V186" s="126">
        <v>75</v>
      </c>
      <c r="W186" s="126">
        <v>-75</v>
      </c>
      <c r="X186" s="124">
        <v>50</v>
      </c>
      <c r="Y186" s="124">
        <v>5</v>
      </c>
      <c r="Z186" s="128" t="b">
        <v>1</v>
      </c>
      <c r="AA186" s="127" t="s">
        <v>1867</v>
      </c>
      <c r="AB186" s="133">
        <v>2</v>
      </c>
      <c r="AC186" s="137" t="b">
        <v>0</v>
      </c>
      <c r="AE186" s="137" t="b">
        <v>0</v>
      </c>
      <c r="AG186" s="135" t="b">
        <v>1</v>
      </c>
      <c r="AH186" s="125">
        <v>5</v>
      </c>
      <c r="AI186" s="125">
        <v>8</v>
      </c>
      <c r="AJ186" s="125">
        <v>13</v>
      </c>
      <c r="AK186" s="125">
        <v>34</v>
      </c>
      <c r="AL186" s="129" t="b">
        <v>0</v>
      </c>
      <c r="AM186" s="128" t="b">
        <v>1</v>
      </c>
      <c r="AN186" s="131" t="s">
        <v>1469</v>
      </c>
      <c r="AO186" s="141">
        <v>1.0000000000000001E-5</v>
      </c>
      <c r="AP186" s="128" t="b">
        <v>1</v>
      </c>
      <c r="AQ186" s="141">
        <v>1.0000000000000001E-5</v>
      </c>
      <c r="AR186" s="150">
        <v>8</v>
      </c>
      <c r="AS186" s="150">
        <v>17</v>
      </c>
      <c r="AT186" s="150">
        <v>9</v>
      </c>
      <c r="AU186" s="128" t="b">
        <v>1</v>
      </c>
      <c r="AV186" s="124">
        <v>3</v>
      </c>
      <c r="AW186" s="146">
        <v>5</v>
      </c>
      <c r="AX186" s="124">
        <v>1</v>
      </c>
      <c r="AY186" s="128" t="b">
        <v>1</v>
      </c>
      <c r="AZ186" s="122" t="s">
        <v>1586</v>
      </c>
      <c r="BA186" s="122">
        <v>4</v>
      </c>
      <c r="BB186" s="126">
        <v>0.05</v>
      </c>
      <c r="BC186" s="126">
        <v>0.5</v>
      </c>
      <c r="BD186" s="129" t="b">
        <v>0</v>
      </c>
      <c r="BE186" s="122" t="s">
        <v>1873</v>
      </c>
      <c r="BF186" s="128" t="b">
        <v>1</v>
      </c>
      <c r="BG186" s="122" t="s">
        <v>1578</v>
      </c>
      <c r="BH186" s="133">
        <v>0.02</v>
      </c>
      <c r="BI186" s="156" t="s">
        <v>403</v>
      </c>
      <c r="BJ186" s="128" t="b">
        <v>1</v>
      </c>
      <c r="BK186" s="161">
        <v>1.5</v>
      </c>
      <c r="BL186" s="129" t="b">
        <v>0</v>
      </c>
      <c r="BM186" s="156" t="s">
        <v>412</v>
      </c>
      <c r="BN186" s="128" t="b">
        <v>1</v>
      </c>
      <c r="BO186" s="156" t="s">
        <v>1382</v>
      </c>
      <c r="BP186" s="157">
        <v>1</v>
      </c>
      <c r="BQ186" s="157">
        <v>0.5</v>
      </c>
      <c r="BR186" s="166" t="str">
        <f t="shared" si="247"/>
        <v>5/ 8/ 13/ 34</v>
      </c>
      <c r="BS186" s="166" t="str">
        <f t="shared" si="248"/>
        <v>8 / 17 / 9</v>
      </c>
      <c r="BT186" s="166" t="str">
        <f t="shared" si="249"/>
        <v>0.05 / 0.5</v>
      </c>
      <c r="BU186" s="66">
        <v>545</v>
      </c>
      <c r="BV186" s="66">
        <v>323</v>
      </c>
      <c r="BW186" s="66">
        <v>263</v>
      </c>
      <c r="BX186" s="99">
        <f t="shared" si="250"/>
        <v>60</v>
      </c>
      <c r="BY186" s="66">
        <v>71</v>
      </c>
      <c r="BZ186" s="92">
        <f t="shared" si="251"/>
        <v>151</v>
      </c>
      <c r="CA186" s="204">
        <f t="shared" si="262"/>
        <v>0.59266055045871557</v>
      </c>
      <c r="CB186" s="205">
        <f t="shared" si="263"/>
        <v>0.13027522935779817</v>
      </c>
      <c r="CC186" s="87">
        <v>4.45</v>
      </c>
      <c r="CD186" s="87">
        <v>26.11</v>
      </c>
      <c r="CE186" s="87">
        <v>0.39</v>
      </c>
      <c r="CF186" s="170">
        <f t="shared" si="252"/>
        <v>1.5</v>
      </c>
      <c r="CG186" s="87">
        <v>0.65</v>
      </c>
      <c r="CH186" s="87">
        <v>0.49</v>
      </c>
      <c r="CI186" s="93">
        <v>8885.9</v>
      </c>
      <c r="CJ186" s="87">
        <v>27.51</v>
      </c>
      <c r="CK186" s="87">
        <v>26.37</v>
      </c>
      <c r="CL186" s="87">
        <v>-5.48</v>
      </c>
      <c r="CM186" s="165">
        <v>1000</v>
      </c>
      <c r="CN186" s="93">
        <v>14227.13</v>
      </c>
      <c r="CO186" s="108">
        <f t="shared" si="253"/>
        <v>15227.13</v>
      </c>
      <c r="CP186" s="108">
        <f t="shared" si="254"/>
        <v>1422.713</v>
      </c>
      <c r="CR186" s="82">
        <f t="shared" si="255"/>
        <v>12</v>
      </c>
      <c r="CS186" s="80">
        <f t="shared" si="256"/>
        <v>740.49166666666667</v>
      </c>
      <c r="CT186" s="80">
        <f t="shared" si="257"/>
        <v>1185.5941666666665</v>
      </c>
      <c r="CU186" s="80">
        <f t="shared" si="258"/>
        <v>118.55941666666665</v>
      </c>
      <c r="CW186" s="80">
        <f t="shared" si="259"/>
        <v>8885.9</v>
      </c>
      <c r="CX186" s="80">
        <f t="shared" si="260"/>
        <v>14227.13</v>
      </c>
      <c r="CY186" s="80">
        <f t="shared" si="261"/>
        <v>1422.713</v>
      </c>
    </row>
    <row r="187" spans="1:103" hidden="1" outlineLevel="1" x14ac:dyDescent="0.2">
      <c r="A187" s="120"/>
      <c r="B187" s="72"/>
      <c r="C187" s="57" t="s">
        <v>1387</v>
      </c>
      <c r="D187" s="57" t="s">
        <v>1888</v>
      </c>
      <c r="E187" s="65" t="s">
        <v>1389</v>
      </c>
      <c r="F187" s="57" t="s">
        <v>1454</v>
      </c>
      <c r="G187" s="62" t="s">
        <v>1556</v>
      </c>
      <c r="H187" s="129" t="b">
        <v>0</v>
      </c>
      <c r="J187" s="123" t="s">
        <v>1866</v>
      </c>
      <c r="K187" s="123" t="s">
        <v>1866</v>
      </c>
      <c r="L187" s="123" t="s">
        <v>1866</v>
      </c>
      <c r="M187" s="137" t="b">
        <v>0</v>
      </c>
      <c r="Q187" s="128" t="b">
        <v>1</v>
      </c>
      <c r="R187" s="127" t="s">
        <v>1559</v>
      </c>
      <c r="S187" s="135" t="b">
        <v>1</v>
      </c>
      <c r="T187" s="126">
        <v>13</v>
      </c>
      <c r="U187" s="124">
        <v>1.4999999999999999E-2</v>
      </c>
      <c r="V187" s="126">
        <v>75</v>
      </c>
      <c r="W187" s="126">
        <v>-75</v>
      </c>
      <c r="X187" s="124">
        <v>50</v>
      </c>
      <c r="Y187" s="124">
        <v>5</v>
      </c>
      <c r="Z187" s="128" t="b">
        <v>1</v>
      </c>
      <c r="AA187" s="127" t="s">
        <v>1867</v>
      </c>
      <c r="AB187" s="133">
        <v>2</v>
      </c>
      <c r="AC187" s="137" t="b">
        <v>0</v>
      </c>
      <c r="AE187" s="137" t="b">
        <v>0</v>
      </c>
      <c r="AG187" s="135" t="b">
        <v>1</v>
      </c>
      <c r="AH187" s="125">
        <v>5</v>
      </c>
      <c r="AI187" s="125">
        <v>8</v>
      </c>
      <c r="AJ187" s="125">
        <v>13</v>
      </c>
      <c r="AK187" s="125">
        <v>34</v>
      </c>
      <c r="AL187" s="129" t="b">
        <v>0</v>
      </c>
      <c r="AM187" s="128" t="b">
        <v>1</v>
      </c>
      <c r="AN187" s="131" t="s">
        <v>1469</v>
      </c>
      <c r="AO187" s="141">
        <v>1.0000000000000001E-5</v>
      </c>
      <c r="AP187" s="128" t="b">
        <v>1</v>
      </c>
      <c r="AQ187" s="141">
        <v>1.0000000000000001E-5</v>
      </c>
      <c r="AR187" s="152">
        <v>12</v>
      </c>
      <c r="AS187" s="152">
        <v>26</v>
      </c>
      <c r="AT187" s="152">
        <v>9</v>
      </c>
      <c r="AU187" s="128" t="b">
        <v>1</v>
      </c>
      <c r="AV187" s="124">
        <v>3</v>
      </c>
      <c r="AW187" s="146">
        <v>5</v>
      </c>
      <c r="AX187" s="124">
        <v>1</v>
      </c>
      <c r="AY187" s="128" t="b">
        <v>1</v>
      </c>
      <c r="AZ187" s="122" t="s">
        <v>1586</v>
      </c>
      <c r="BA187" s="122">
        <v>4</v>
      </c>
      <c r="BB187" s="126">
        <v>0.05</v>
      </c>
      <c r="BC187" s="126">
        <v>0.5</v>
      </c>
      <c r="BD187" s="129" t="b">
        <v>0</v>
      </c>
      <c r="BE187" s="122" t="s">
        <v>1873</v>
      </c>
      <c r="BF187" s="128" t="b">
        <v>1</v>
      </c>
      <c r="BG187" s="122" t="s">
        <v>1578</v>
      </c>
      <c r="BH187" s="133">
        <v>0.02</v>
      </c>
      <c r="BI187" s="156" t="s">
        <v>403</v>
      </c>
      <c r="BJ187" s="128" t="b">
        <v>1</v>
      </c>
      <c r="BK187" s="161">
        <v>1.5</v>
      </c>
      <c r="BL187" s="129" t="b">
        <v>0</v>
      </c>
      <c r="BM187" s="156" t="s">
        <v>412</v>
      </c>
      <c r="BN187" s="128" t="b">
        <v>1</v>
      </c>
      <c r="BO187" s="156" t="s">
        <v>1382</v>
      </c>
      <c r="BP187" s="157">
        <v>1</v>
      </c>
      <c r="BQ187" s="157">
        <v>0.5</v>
      </c>
      <c r="BR187" s="166" t="str">
        <f t="shared" si="247"/>
        <v>5/ 8/ 13/ 34</v>
      </c>
      <c r="BS187" s="166" t="str">
        <f t="shared" si="248"/>
        <v>12 / 26 / 9</v>
      </c>
      <c r="BT187" s="166" t="str">
        <f t="shared" si="249"/>
        <v>0.05 / 0.5</v>
      </c>
      <c r="BU187" s="66">
        <v>557</v>
      </c>
      <c r="BV187" s="66">
        <v>322</v>
      </c>
      <c r="BW187" s="66">
        <v>258</v>
      </c>
      <c r="BX187" s="99">
        <f t="shared" si="250"/>
        <v>64</v>
      </c>
      <c r="BY187" s="66">
        <v>75</v>
      </c>
      <c r="BZ187" s="92">
        <f t="shared" si="251"/>
        <v>160</v>
      </c>
      <c r="CA187" s="204">
        <f t="shared" si="262"/>
        <v>0.57809694793536803</v>
      </c>
      <c r="CB187" s="205">
        <f t="shared" si="263"/>
        <v>0.13464991023339318</v>
      </c>
      <c r="CC187" s="87">
        <v>4.13</v>
      </c>
      <c r="CD187" s="87">
        <v>26.52</v>
      </c>
      <c r="CE187" s="87">
        <v>0.38</v>
      </c>
      <c r="CF187" s="170">
        <f t="shared" si="252"/>
        <v>1.5</v>
      </c>
      <c r="CG187" s="87">
        <v>0.67</v>
      </c>
      <c r="CH187" s="87">
        <v>0.49</v>
      </c>
      <c r="CI187" s="93">
        <v>8817.6</v>
      </c>
      <c r="CJ187" s="87">
        <v>27.38</v>
      </c>
      <c r="CK187" s="87">
        <v>25.94</v>
      </c>
      <c r="CL187" s="87">
        <v>-5.48</v>
      </c>
      <c r="CM187" s="165">
        <v>1000</v>
      </c>
      <c r="CN187" s="206">
        <v>14772.06</v>
      </c>
      <c r="CO187" s="207">
        <f t="shared" si="253"/>
        <v>15772.06</v>
      </c>
      <c r="CP187" s="207">
        <f t="shared" si="254"/>
        <v>1477.2059999999999</v>
      </c>
      <c r="CR187" s="82">
        <f t="shared" si="255"/>
        <v>12</v>
      </c>
      <c r="CS187" s="80">
        <f t="shared" si="256"/>
        <v>734.80000000000007</v>
      </c>
      <c r="CT187" s="80">
        <f t="shared" si="257"/>
        <v>1231.0049999999999</v>
      </c>
      <c r="CU187" s="80">
        <f t="shared" si="258"/>
        <v>123.10049999999998</v>
      </c>
      <c r="CW187" s="80">
        <f t="shared" si="259"/>
        <v>8817.6</v>
      </c>
      <c r="CX187" s="80">
        <f t="shared" si="260"/>
        <v>14772.06</v>
      </c>
      <c r="CY187" s="80">
        <f t="shared" si="261"/>
        <v>1477.2059999999999</v>
      </c>
    </row>
    <row r="188" spans="1:103" hidden="1" outlineLevel="1" x14ac:dyDescent="0.2">
      <c r="A188" s="120"/>
      <c r="B188" s="72"/>
      <c r="C188" s="57" t="s">
        <v>1387</v>
      </c>
      <c r="D188" s="57" t="s">
        <v>1888</v>
      </c>
      <c r="E188" s="65" t="s">
        <v>1389</v>
      </c>
      <c r="F188" s="57" t="s">
        <v>1454</v>
      </c>
      <c r="G188" s="62" t="s">
        <v>1556</v>
      </c>
      <c r="H188" s="129" t="b">
        <v>0</v>
      </c>
      <c r="J188" s="123" t="s">
        <v>1866</v>
      </c>
      <c r="K188" s="123" t="s">
        <v>1866</v>
      </c>
      <c r="L188" s="123" t="s">
        <v>1866</v>
      </c>
      <c r="M188" s="137" t="b">
        <v>0</v>
      </c>
      <c r="Q188" s="128" t="b">
        <v>1</v>
      </c>
      <c r="R188" s="127" t="s">
        <v>1559</v>
      </c>
      <c r="S188" s="135" t="b">
        <v>1</v>
      </c>
      <c r="T188" s="126">
        <v>13</v>
      </c>
      <c r="U188" s="124">
        <v>1.4999999999999999E-2</v>
      </c>
      <c r="V188" s="126">
        <v>75</v>
      </c>
      <c r="W188" s="126">
        <v>-75</v>
      </c>
      <c r="X188" s="124">
        <v>50</v>
      </c>
      <c r="Y188" s="124">
        <v>5</v>
      </c>
      <c r="Z188" s="128" t="b">
        <v>1</v>
      </c>
      <c r="AA188" s="127" t="s">
        <v>1867</v>
      </c>
      <c r="AB188" s="133">
        <v>2</v>
      </c>
      <c r="AC188" s="137" t="b">
        <v>0</v>
      </c>
      <c r="AE188" s="137" t="b">
        <v>0</v>
      </c>
      <c r="AG188" s="135" t="b">
        <v>1</v>
      </c>
      <c r="AH188" s="125">
        <v>5</v>
      </c>
      <c r="AI188" s="125">
        <v>8</v>
      </c>
      <c r="AJ188" s="125">
        <v>13</v>
      </c>
      <c r="AK188" s="125">
        <v>34</v>
      </c>
      <c r="AL188" s="129" t="b">
        <v>0</v>
      </c>
      <c r="AM188" s="128" t="b">
        <v>1</v>
      </c>
      <c r="AN188" s="131" t="s">
        <v>1469</v>
      </c>
      <c r="AO188" s="141">
        <v>1.0000000000000001E-5</v>
      </c>
      <c r="AP188" s="128" t="b">
        <v>1</v>
      </c>
      <c r="AQ188" s="141">
        <v>1.0000000000000001E-5</v>
      </c>
      <c r="AR188" s="137">
        <v>21</v>
      </c>
      <c r="AS188" s="137">
        <v>34</v>
      </c>
      <c r="AT188" s="137">
        <v>9</v>
      </c>
      <c r="AU188" s="128" t="b">
        <v>1</v>
      </c>
      <c r="AV188" s="124">
        <v>3</v>
      </c>
      <c r="AW188" s="146">
        <v>5</v>
      </c>
      <c r="AX188" s="124">
        <v>1</v>
      </c>
      <c r="AY188" s="128" t="b">
        <v>1</v>
      </c>
      <c r="AZ188" s="122" t="s">
        <v>1586</v>
      </c>
      <c r="BA188" s="122">
        <v>4</v>
      </c>
      <c r="BB188" s="126">
        <v>0.05</v>
      </c>
      <c r="BC188" s="126">
        <v>0.5</v>
      </c>
      <c r="BD188" s="129" t="b">
        <v>0</v>
      </c>
      <c r="BE188" s="122" t="s">
        <v>1873</v>
      </c>
      <c r="BF188" s="128" t="b">
        <v>1</v>
      </c>
      <c r="BG188" s="122" t="s">
        <v>1578</v>
      </c>
      <c r="BH188" s="133">
        <v>0.02</v>
      </c>
      <c r="BI188" s="156" t="s">
        <v>403</v>
      </c>
      <c r="BJ188" s="128" t="b">
        <v>1</v>
      </c>
      <c r="BK188" s="161">
        <v>1.5</v>
      </c>
      <c r="BL188" s="129" t="b">
        <v>0</v>
      </c>
      <c r="BM188" s="156" t="s">
        <v>412</v>
      </c>
      <c r="BN188" s="128" t="b">
        <v>1</v>
      </c>
      <c r="BO188" s="156" t="s">
        <v>1382</v>
      </c>
      <c r="BP188" s="157">
        <v>1</v>
      </c>
      <c r="BQ188" s="157">
        <v>0.5</v>
      </c>
      <c r="BR188" s="166" t="str">
        <f t="shared" si="247"/>
        <v>5/ 8/ 13/ 34</v>
      </c>
      <c r="BS188" s="166" t="str">
        <f t="shared" si="248"/>
        <v>21 / 34 / 9</v>
      </c>
      <c r="BT188" s="166" t="str">
        <f t="shared" si="249"/>
        <v>0.05 / 0.5</v>
      </c>
      <c r="BU188" s="66">
        <v>555</v>
      </c>
      <c r="BV188" s="66">
        <v>312</v>
      </c>
      <c r="BW188" s="66">
        <v>250</v>
      </c>
      <c r="BX188" s="99">
        <f t="shared" si="250"/>
        <v>62</v>
      </c>
      <c r="BY188" s="66">
        <v>77</v>
      </c>
      <c r="BZ188" s="92">
        <f t="shared" si="251"/>
        <v>166</v>
      </c>
      <c r="CA188" s="204">
        <f t="shared" si="262"/>
        <v>0.56216216216216219</v>
      </c>
      <c r="CB188" s="205">
        <f t="shared" si="263"/>
        <v>0.13873873873873874</v>
      </c>
      <c r="CC188" s="87">
        <v>3.78</v>
      </c>
      <c r="CD188" s="87">
        <v>24.83</v>
      </c>
      <c r="CE188" s="87">
        <v>0.36</v>
      </c>
      <c r="CF188" s="170">
        <f t="shared" si="252"/>
        <v>1.5</v>
      </c>
      <c r="CG188" s="87">
        <v>0.67</v>
      </c>
      <c r="CH188" s="87">
        <v>0.5</v>
      </c>
      <c r="CI188" s="93">
        <v>8602.2000000000007</v>
      </c>
      <c r="CJ188" s="87">
        <v>27.57</v>
      </c>
      <c r="CK188" s="87">
        <v>26.46</v>
      </c>
      <c r="CL188" s="87">
        <v>-5.48</v>
      </c>
      <c r="CM188" s="165">
        <v>1000</v>
      </c>
      <c r="CN188" s="93">
        <v>13781.44</v>
      </c>
      <c r="CO188" s="108">
        <f t="shared" si="253"/>
        <v>14781.44</v>
      </c>
      <c r="CP188" s="108">
        <f t="shared" si="254"/>
        <v>1378.144</v>
      </c>
      <c r="CR188" s="82">
        <f t="shared" si="255"/>
        <v>12</v>
      </c>
      <c r="CS188" s="80">
        <f t="shared" si="256"/>
        <v>716.85</v>
      </c>
      <c r="CT188" s="80">
        <f t="shared" si="257"/>
        <v>1148.4533333333334</v>
      </c>
      <c r="CU188" s="80">
        <f t="shared" si="258"/>
        <v>114.84533333333334</v>
      </c>
      <c r="CW188" s="80">
        <f t="shared" si="259"/>
        <v>8602.2000000000007</v>
      </c>
      <c r="CX188" s="80">
        <f t="shared" si="260"/>
        <v>13781.44</v>
      </c>
      <c r="CY188" s="80">
        <f t="shared" si="261"/>
        <v>1378.144</v>
      </c>
    </row>
    <row r="189" spans="1:103" hidden="1" outlineLevel="1" x14ac:dyDescent="0.2">
      <c r="B189" s="45"/>
    </row>
    <row r="190" spans="1:103" collapsed="1" x14ac:dyDescent="0.2">
      <c r="A190" s="120"/>
      <c r="B190" s="72" t="s">
        <v>1899</v>
      </c>
      <c r="C190" s="57" t="s">
        <v>1387</v>
      </c>
      <c r="D190" s="57" t="s">
        <v>1888</v>
      </c>
      <c r="E190" s="65" t="s">
        <v>1389</v>
      </c>
      <c r="F190" s="57" t="s">
        <v>1454</v>
      </c>
      <c r="G190" s="62" t="s">
        <v>1556</v>
      </c>
      <c r="H190" s="129" t="b">
        <v>0</v>
      </c>
      <c r="J190" s="123" t="s">
        <v>1866</v>
      </c>
      <c r="K190" s="123" t="s">
        <v>1866</v>
      </c>
      <c r="L190" s="123" t="s">
        <v>1866</v>
      </c>
      <c r="M190" s="137" t="b">
        <v>0</v>
      </c>
      <c r="Q190" s="128" t="b">
        <v>1</v>
      </c>
      <c r="R190" s="127" t="s">
        <v>1559</v>
      </c>
      <c r="S190" s="135" t="b">
        <v>1</v>
      </c>
      <c r="T190" s="126">
        <v>13</v>
      </c>
      <c r="U190" s="124">
        <v>1.4999999999999999E-2</v>
      </c>
      <c r="V190" s="126">
        <v>75</v>
      </c>
      <c r="W190" s="126">
        <v>-75</v>
      </c>
      <c r="X190" s="124">
        <v>50</v>
      </c>
      <c r="Y190" s="124">
        <v>5</v>
      </c>
      <c r="Z190" s="128" t="b">
        <v>1</v>
      </c>
      <c r="AA190" s="127" t="s">
        <v>1867</v>
      </c>
      <c r="AB190" s="133">
        <v>2</v>
      </c>
      <c r="AC190" s="137" t="b">
        <v>0</v>
      </c>
      <c r="AE190" s="137" t="b">
        <v>0</v>
      </c>
      <c r="AG190" s="135" t="b">
        <v>1</v>
      </c>
      <c r="AH190" s="125">
        <v>8</v>
      </c>
      <c r="AI190" s="125">
        <v>13</v>
      </c>
      <c r="AJ190" s="125">
        <v>21</v>
      </c>
      <c r="AK190" s="125">
        <v>34</v>
      </c>
      <c r="AL190" s="129" t="b">
        <v>0</v>
      </c>
      <c r="AM190" s="128" t="b">
        <v>1</v>
      </c>
      <c r="AN190" s="131" t="s">
        <v>1469</v>
      </c>
      <c r="AO190" s="141">
        <v>1.0000000000000001E-5</v>
      </c>
      <c r="AP190" s="128" t="b">
        <v>1</v>
      </c>
      <c r="AQ190" s="141">
        <v>1.0000000000000001E-5</v>
      </c>
      <c r="AR190" s="126">
        <v>5</v>
      </c>
      <c r="AS190" s="126">
        <v>8</v>
      </c>
      <c r="AT190" s="126">
        <v>5</v>
      </c>
      <c r="AU190" s="128" t="b">
        <v>1</v>
      </c>
      <c r="AV190" s="124">
        <v>3</v>
      </c>
      <c r="AW190" s="146">
        <v>5</v>
      </c>
      <c r="AX190" s="124">
        <v>1</v>
      </c>
      <c r="AY190" s="128" t="b">
        <v>1</v>
      </c>
      <c r="AZ190" s="122" t="s">
        <v>1586</v>
      </c>
      <c r="BA190" s="122">
        <v>4</v>
      </c>
      <c r="BB190" s="126">
        <v>0.05</v>
      </c>
      <c r="BC190" s="126">
        <v>0.5</v>
      </c>
      <c r="BD190" s="129" t="b">
        <v>0</v>
      </c>
      <c r="BE190" s="122" t="s">
        <v>1873</v>
      </c>
      <c r="BF190" s="128" t="b">
        <v>1</v>
      </c>
      <c r="BG190" s="122" t="s">
        <v>1578</v>
      </c>
      <c r="BH190" s="133">
        <v>0.02</v>
      </c>
      <c r="BI190" s="156" t="s">
        <v>403</v>
      </c>
      <c r="BJ190" s="128" t="b">
        <v>1</v>
      </c>
      <c r="BK190" s="161">
        <v>1.5</v>
      </c>
      <c r="BL190" s="129" t="b">
        <v>0</v>
      </c>
      <c r="BM190" s="156" t="s">
        <v>412</v>
      </c>
      <c r="BN190" s="128" t="b">
        <v>1</v>
      </c>
      <c r="BO190" s="156" t="s">
        <v>1382</v>
      </c>
      <c r="BP190" s="157">
        <v>1</v>
      </c>
      <c r="BQ190" s="157">
        <v>0.5</v>
      </c>
      <c r="BR190" s="166" t="str">
        <f t="shared" ref="BR190:BR197" si="264">AH190&amp;"/ "&amp;AI190&amp;"/ "&amp;AJ190&amp;"/ "&amp;AK190</f>
        <v>8/ 13/ 21/ 34</v>
      </c>
      <c r="BS190" s="166" t="str">
        <f t="shared" ref="BS190:BS197" si="265">AR190&amp;" / "&amp;AS190&amp;" / "&amp;AT190</f>
        <v>5 / 8 / 5</v>
      </c>
      <c r="BT190" s="166" t="str">
        <f t="shared" ref="BT190:BT197" si="266">BB190&amp;" / "&amp;BC190</f>
        <v>0.05 / 0.5</v>
      </c>
      <c r="BU190" s="66">
        <v>493</v>
      </c>
      <c r="BV190" s="66">
        <v>290</v>
      </c>
      <c r="BW190" s="66">
        <v>232</v>
      </c>
      <c r="BX190" s="99">
        <f t="shared" ref="BX190:BX197" si="267">BV190-BW190</f>
        <v>58</v>
      </c>
      <c r="BY190" s="66">
        <v>54</v>
      </c>
      <c r="BZ190" s="92">
        <f t="shared" ref="BZ190:BZ197" si="268">BU190-SUM(BW190:BY190)</f>
        <v>149</v>
      </c>
      <c r="CA190" s="204">
        <f t="shared" ref="CA190" si="269">IF(BU190=0,0,BV190/BU190)</f>
        <v>0.58823529411764708</v>
      </c>
      <c r="CB190" s="205">
        <f t="shared" ref="CB190:CB197" si="270">IF(BU190=0,0,BY190/BU190)</f>
        <v>0.10953346855983773</v>
      </c>
      <c r="CC190" s="87">
        <v>4.9000000000000004</v>
      </c>
      <c r="CD190" s="87">
        <v>26.75</v>
      </c>
      <c r="CE190" s="87">
        <v>0.4</v>
      </c>
      <c r="CF190" s="170">
        <f t="shared" ref="CF190:CF197" si="271">BK190</f>
        <v>1.5</v>
      </c>
      <c r="CG190" s="87">
        <v>0.66</v>
      </c>
      <c r="CH190" s="87">
        <v>0.48</v>
      </c>
      <c r="CI190" s="93">
        <v>8223.7000000000007</v>
      </c>
      <c r="CJ190" s="87">
        <v>28.36</v>
      </c>
      <c r="CK190" s="87">
        <v>27.26</v>
      </c>
      <c r="CL190" s="87">
        <v>-4.0199999999999996</v>
      </c>
      <c r="CM190" s="165">
        <v>1000</v>
      </c>
      <c r="CN190" s="206">
        <v>13188.68</v>
      </c>
      <c r="CO190" s="207">
        <f t="shared" ref="CO190:CO197" si="272">CM190+CN190</f>
        <v>14188.68</v>
      </c>
      <c r="CP190" s="207">
        <f t="shared" ref="CP190:CP197" si="273">CN190/10</f>
        <v>1318.8679999999999</v>
      </c>
      <c r="CR190" s="82">
        <f t="shared" ref="CR190:CR197" si="274">CR$4</f>
        <v>12</v>
      </c>
      <c r="CS190" s="80">
        <f t="shared" ref="CS190:CS197" si="275">CI190/CR190</f>
        <v>685.30833333333339</v>
      </c>
      <c r="CT190" s="80">
        <f t="shared" ref="CT190:CT197" si="276">CN190/CR190</f>
        <v>1099.0566666666666</v>
      </c>
      <c r="CU190" s="80">
        <f t="shared" ref="CU190:CU197" si="277">CT190/10</f>
        <v>109.90566666666666</v>
      </c>
      <c r="CW190" s="80">
        <f t="shared" ref="CW190:CW197" si="278">CI190</f>
        <v>8223.7000000000007</v>
      </c>
      <c r="CX190" s="80">
        <f t="shared" ref="CX190:CX197" si="279">CN190</f>
        <v>13188.68</v>
      </c>
      <c r="CY190" s="80">
        <f t="shared" ref="CY190:CY197" si="280">CP190</f>
        <v>1318.8679999999999</v>
      </c>
    </row>
    <row r="191" spans="1:103" hidden="1" outlineLevel="1" x14ac:dyDescent="0.2">
      <c r="A191" s="120"/>
      <c r="B191" s="72"/>
      <c r="C191" s="57" t="s">
        <v>1387</v>
      </c>
      <c r="D191" s="57" t="s">
        <v>1888</v>
      </c>
      <c r="E191" s="65" t="s">
        <v>1389</v>
      </c>
      <c r="F191" s="57" t="s">
        <v>1454</v>
      </c>
      <c r="G191" s="62" t="s">
        <v>1556</v>
      </c>
      <c r="H191" s="129" t="b">
        <v>0</v>
      </c>
      <c r="J191" s="123" t="s">
        <v>1866</v>
      </c>
      <c r="K191" s="123" t="s">
        <v>1866</v>
      </c>
      <c r="L191" s="123" t="s">
        <v>1866</v>
      </c>
      <c r="M191" s="137" t="b">
        <v>0</v>
      </c>
      <c r="Q191" s="128" t="b">
        <v>1</v>
      </c>
      <c r="R191" s="127" t="s">
        <v>1559</v>
      </c>
      <c r="S191" s="135" t="b">
        <v>1</v>
      </c>
      <c r="T191" s="126">
        <v>13</v>
      </c>
      <c r="U191" s="124">
        <v>1.4999999999999999E-2</v>
      </c>
      <c r="V191" s="126">
        <v>75</v>
      </c>
      <c r="W191" s="126">
        <v>-75</v>
      </c>
      <c r="X191" s="124">
        <v>50</v>
      </c>
      <c r="Y191" s="124">
        <v>5</v>
      </c>
      <c r="Z191" s="128" t="b">
        <v>1</v>
      </c>
      <c r="AA191" s="127" t="s">
        <v>1867</v>
      </c>
      <c r="AB191" s="133">
        <v>2</v>
      </c>
      <c r="AC191" s="137" t="b">
        <v>0</v>
      </c>
      <c r="AE191" s="137" t="b">
        <v>0</v>
      </c>
      <c r="AG191" s="135" t="b">
        <v>1</v>
      </c>
      <c r="AH191" s="125">
        <v>8</v>
      </c>
      <c r="AI191" s="125">
        <v>13</v>
      </c>
      <c r="AJ191" s="125">
        <v>21</v>
      </c>
      <c r="AK191" s="125">
        <v>34</v>
      </c>
      <c r="AL191" s="129" t="b">
        <v>0</v>
      </c>
      <c r="AM191" s="128" t="b">
        <v>1</v>
      </c>
      <c r="AN191" s="131" t="s">
        <v>1469</v>
      </c>
      <c r="AO191" s="141">
        <v>1.0000000000000001E-5</v>
      </c>
      <c r="AP191" s="128" t="b">
        <v>1</v>
      </c>
      <c r="AQ191" s="141">
        <v>1.0000000000000001E-5</v>
      </c>
      <c r="AR191" s="137">
        <v>5</v>
      </c>
      <c r="AS191" s="137">
        <v>13</v>
      </c>
      <c r="AT191" s="137">
        <v>5</v>
      </c>
      <c r="AU191" s="128" t="b">
        <v>1</v>
      </c>
      <c r="AV191" s="124">
        <v>3</v>
      </c>
      <c r="AW191" s="146">
        <v>5</v>
      </c>
      <c r="AX191" s="124">
        <v>1</v>
      </c>
      <c r="AY191" s="128" t="b">
        <v>1</v>
      </c>
      <c r="AZ191" s="122" t="s">
        <v>1586</v>
      </c>
      <c r="BA191" s="122">
        <v>4</v>
      </c>
      <c r="BB191" s="126">
        <v>0.05</v>
      </c>
      <c r="BC191" s="126">
        <v>0.5</v>
      </c>
      <c r="BD191" s="129" t="b">
        <v>0</v>
      </c>
      <c r="BE191" s="122" t="s">
        <v>1873</v>
      </c>
      <c r="BF191" s="128" t="b">
        <v>1</v>
      </c>
      <c r="BG191" s="122" t="s">
        <v>1578</v>
      </c>
      <c r="BH191" s="133">
        <v>0.02</v>
      </c>
      <c r="BI191" s="156" t="s">
        <v>403</v>
      </c>
      <c r="BJ191" s="128" t="b">
        <v>1</v>
      </c>
      <c r="BK191" s="161">
        <v>1.5</v>
      </c>
      <c r="BL191" s="129" t="b">
        <v>0</v>
      </c>
      <c r="BM191" s="156" t="s">
        <v>412</v>
      </c>
      <c r="BN191" s="128" t="b">
        <v>1</v>
      </c>
      <c r="BO191" s="156" t="s">
        <v>1382</v>
      </c>
      <c r="BP191" s="157">
        <v>1</v>
      </c>
      <c r="BQ191" s="157">
        <v>0.5</v>
      </c>
      <c r="BR191" s="166" t="str">
        <f t="shared" si="264"/>
        <v>8/ 13/ 21/ 34</v>
      </c>
      <c r="BS191" s="166" t="str">
        <f t="shared" si="265"/>
        <v>5 / 13 / 5</v>
      </c>
      <c r="BT191" s="166" t="str">
        <f t="shared" si="266"/>
        <v>0.05 / 0.5</v>
      </c>
      <c r="BU191" s="66">
        <v>508</v>
      </c>
      <c r="BV191" s="66">
        <v>294</v>
      </c>
      <c r="BW191" s="66">
        <v>236</v>
      </c>
      <c r="BX191" s="99">
        <f t="shared" si="267"/>
        <v>58</v>
      </c>
      <c r="BY191" s="66">
        <v>64</v>
      </c>
      <c r="BZ191" s="92">
        <f t="shared" si="268"/>
        <v>150</v>
      </c>
      <c r="CA191" s="204">
        <f>IF(BU191=0,0,BV191/BU191)</f>
        <v>0.57874015748031493</v>
      </c>
      <c r="CB191" s="205">
        <f t="shared" si="270"/>
        <v>0.12598425196850394</v>
      </c>
      <c r="CC191" s="87">
        <v>4.03</v>
      </c>
      <c r="CD191" s="87">
        <v>24.48</v>
      </c>
      <c r="CE191" s="87">
        <v>0.37</v>
      </c>
      <c r="CF191" s="170">
        <f t="shared" si="271"/>
        <v>1.5</v>
      </c>
      <c r="CG191" s="87">
        <v>0.66</v>
      </c>
      <c r="CH191" s="87">
        <v>0.48</v>
      </c>
      <c r="CI191" s="93">
        <v>8360.7999999999993</v>
      </c>
      <c r="CJ191" s="87">
        <v>28.44</v>
      </c>
      <c r="CK191" s="87">
        <v>27.02</v>
      </c>
      <c r="CL191" s="87">
        <v>-4.78</v>
      </c>
      <c r="CM191" s="165">
        <v>1000</v>
      </c>
      <c r="CN191" s="93">
        <v>12435.36</v>
      </c>
      <c r="CO191" s="108">
        <f t="shared" si="272"/>
        <v>13435.36</v>
      </c>
      <c r="CP191" s="108">
        <f t="shared" si="273"/>
        <v>1243.5360000000001</v>
      </c>
      <c r="CR191" s="82">
        <f t="shared" si="274"/>
        <v>12</v>
      </c>
      <c r="CS191" s="80">
        <f t="shared" si="275"/>
        <v>696.73333333333323</v>
      </c>
      <c r="CT191" s="80">
        <f t="shared" si="276"/>
        <v>1036.28</v>
      </c>
      <c r="CU191" s="80">
        <f t="shared" si="277"/>
        <v>103.628</v>
      </c>
      <c r="CW191" s="80">
        <f t="shared" si="278"/>
        <v>8360.7999999999993</v>
      </c>
      <c r="CX191" s="80">
        <f t="shared" si="279"/>
        <v>12435.36</v>
      </c>
      <c r="CY191" s="80">
        <f t="shared" si="280"/>
        <v>1243.5360000000001</v>
      </c>
    </row>
    <row r="192" spans="1:103" hidden="1" outlineLevel="1" x14ac:dyDescent="0.2">
      <c r="A192" s="120"/>
      <c r="B192" s="72"/>
      <c r="C192" s="57" t="s">
        <v>1387</v>
      </c>
      <c r="D192" s="57" t="s">
        <v>1888</v>
      </c>
      <c r="E192" s="65" t="s">
        <v>1389</v>
      </c>
      <c r="F192" s="57" t="s">
        <v>1454</v>
      </c>
      <c r="G192" s="62" t="s">
        <v>1556</v>
      </c>
      <c r="H192" s="129" t="b">
        <v>0</v>
      </c>
      <c r="J192" s="123" t="s">
        <v>1866</v>
      </c>
      <c r="K192" s="123" t="s">
        <v>1866</v>
      </c>
      <c r="L192" s="123" t="s">
        <v>1866</v>
      </c>
      <c r="M192" s="137" t="b">
        <v>0</v>
      </c>
      <c r="Q192" s="128" t="b">
        <v>1</v>
      </c>
      <c r="R192" s="127" t="s">
        <v>1559</v>
      </c>
      <c r="S192" s="135" t="b">
        <v>1</v>
      </c>
      <c r="T192" s="126">
        <v>13</v>
      </c>
      <c r="U192" s="124">
        <v>1.4999999999999999E-2</v>
      </c>
      <c r="V192" s="126">
        <v>75</v>
      </c>
      <c r="W192" s="126">
        <v>-75</v>
      </c>
      <c r="X192" s="124">
        <v>50</v>
      </c>
      <c r="Y192" s="124">
        <v>5</v>
      </c>
      <c r="Z192" s="128" t="b">
        <v>1</v>
      </c>
      <c r="AA192" s="127" t="s">
        <v>1867</v>
      </c>
      <c r="AB192" s="133">
        <v>2</v>
      </c>
      <c r="AC192" s="137" t="b">
        <v>0</v>
      </c>
      <c r="AE192" s="137" t="b">
        <v>0</v>
      </c>
      <c r="AG192" s="135" t="b">
        <v>1</v>
      </c>
      <c r="AH192" s="125">
        <v>8</v>
      </c>
      <c r="AI192" s="125">
        <v>13</v>
      </c>
      <c r="AJ192" s="125">
        <v>21</v>
      </c>
      <c r="AK192" s="125">
        <v>34</v>
      </c>
      <c r="AL192" s="129" t="b">
        <v>0</v>
      </c>
      <c r="AM192" s="128" t="b">
        <v>1</v>
      </c>
      <c r="AN192" s="131" t="s">
        <v>1469</v>
      </c>
      <c r="AO192" s="141">
        <v>1.0000000000000001E-5</v>
      </c>
      <c r="AP192" s="128" t="b">
        <v>1</v>
      </c>
      <c r="AQ192" s="141">
        <v>1.0000000000000001E-5</v>
      </c>
      <c r="AR192" s="137">
        <v>5</v>
      </c>
      <c r="AS192" s="137">
        <v>13</v>
      </c>
      <c r="AT192" s="137">
        <v>8</v>
      </c>
      <c r="AU192" s="128" t="b">
        <v>1</v>
      </c>
      <c r="AV192" s="124">
        <v>3</v>
      </c>
      <c r="AW192" s="146">
        <v>5</v>
      </c>
      <c r="AX192" s="124">
        <v>1</v>
      </c>
      <c r="AY192" s="128" t="b">
        <v>1</v>
      </c>
      <c r="AZ192" s="122" t="s">
        <v>1586</v>
      </c>
      <c r="BA192" s="122">
        <v>4</v>
      </c>
      <c r="BB192" s="126">
        <v>0.05</v>
      </c>
      <c r="BC192" s="126">
        <v>0.5</v>
      </c>
      <c r="BD192" s="129" t="b">
        <v>0</v>
      </c>
      <c r="BE192" s="122" t="s">
        <v>1873</v>
      </c>
      <c r="BF192" s="128" t="b">
        <v>1</v>
      </c>
      <c r="BG192" s="122" t="s">
        <v>1578</v>
      </c>
      <c r="BH192" s="133">
        <v>0.02</v>
      </c>
      <c r="BI192" s="156" t="s">
        <v>403</v>
      </c>
      <c r="BJ192" s="128" t="b">
        <v>1</v>
      </c>
      <c r="BK192" s="161">
        <v>1.5</v>
      </c>
      <c r="BL192" s="129" t="b">
        <v>0</v>
      </c>
      <c r="BM192" s="156" t="s">
        <v>412</v>
      </c>
      <c r="BN192" s="128" t="b">
        <v>1</v>
      </c>
      <c r="BO192" s="156" t="s">
        <v>1382</v>
      </c>
      <c r="BP192" s="157">
        <v>1</v>
      </c>
      <c r="BQ192" s="157">
        <v>0.5</v>
      </c>
      <c r="BR192" s="166" t="str">
        <f t="shared" si="264"/>
        <v>8/ 13/ 21/ 34</v>
      </c>
      <c r="BS192" s="166" t="str">
        <f t="shared" si="265"/>
        <v>5 / 13 / 8</v>
      </c>
      <c r="BT192" s="166" t="str">
        <f t="shared" si="266"/>
        <v>0.05 / 0.5</v>
      </c>
      <c r="BU192" s="66">
        <v>509</v>
      </c>
      <c r="BV192" s="66">
        <v>297</v>
      </c>
      <c r="BW192" s="66">
        <v>237</v>
      </c>
      <c r="BX192" s="99">
        <f t="shared" si="267"/>
        <v>60</v>
      </c>
      <c r="BY192" s="66">
        <v>66</v>
      </c>
      <c r="BZ192" s="92">
        <f t="shared" si="268"/>
        <v>146</v>
      </c>
      <c r="CA192" s="204">
        <f>IF(BU192=0,0,BV192/BU192)</f>
        <v>0.58349705304518662</v>
      </c>
      <c r="CB192" s="205">
        <f t="shared" si="270"/>
        <v>0.12966601178781925</v>
      </c>
      <c r="CC192" s="87">
        <v>3.99</v>
      </c>
      <c r="CD192" s="87">
        <v>24.56</v>
      </c>
      <c r="CE192" s="87">
        <v>0.37</v>
      </c>
      <c r="CF192" s="170">
        <f t="shared" si="271"/>
        <v>1.5</v>
      </c>
      <c r="CG192" s="87">
        <v>0.66</v>
      </c>
      <c r="CH192" s="87">
        <v>0.48</v>
      </c>
      <c r="CI192" s="93">
        <v>8472</v>
      </c>
      <c r="CJ192" s="87">
        <v>28.53</v>
      </c>
      <c r="CK192" s="87">
        <v>27.49</v>
      </c>
      <c r="CL192" s="87">
        <v>-5.48</v>
      </c>
      <c r="CM192" s="165">
        <v>1000</v>
      </c>
      <c r="CN192" s="93">
        <v>12502.66</v>
      </c>
      <c r="CO192" s="108">
        <f t="shared" si="272"/>
        <v>13502.66</v>
      </c>
      <c r="CP192" s="108">
        <f t="shared" si="273"/>
        <v>1250.2660000000001</v>
      </c>
      <c r="CR192" s="82">
        <f t="shared" si="274"/>
        <v>12</v>
      </c>
      <c r="CS192" s="80">
        <f t="shared" si="275"/>
        <v>706</v>
      </c>
      <c r="CT192" s="80">
        <f t="shared" si="276"/>
        <v>1041.8883333333333</v>
      </c>
      <c r="CU192" s="80">
        <f t="shared" si="277"/>
        <v>104.18883333333333</v>
      </c>
      <c r="CW192" s="80">
        <f t="shared" si="278"/>
        <v>8472</v>
      </c>
      <c r="CX192" s="80">
        <f t="shared" si="279"/>
        <v>12502.66</v>
      </c>
      <c r="CY192" s="80">
        <f t="shared" si="280"/>
        <v>1250.2660000000001</v>
      </c>
    </row>
    <row r="193" spans="1:103" hidden="1" outlineLevel="1" x14ac:dyDescent="0.2">
      <c r="A193" s="120"/>
      <c r="B193" s="72"/>
      <c r="C193" s="57" t="s">
        <v>1387</v>
      </c>
      <c r="D193" s="57" t="s">
        <v>1888</v>
      </c>
      <c r="E193" s="65" t="s">
        <v>1389</v>
      </c>
      <c r="F193" s="57" t="s">
        <v>1454</v>
      </c>
      <c r="G193" s="62" t="s">
        <v>1556</v>
      </c>
      <c r="H193" s="129" t="b">
        <v>0</v>
      </c>
      <c r="J193" s="123" t="s">
        <v>1866</v>
      </c>
      <c r="K193" s="123" t="s">
        <v>1866</v>
      </c>
      <c r="L193" s="123" t="s">
        <v>1866</v>
      </c>
      <c r="M193" s="137" t="b">
        <v>0</v>
      </c>
      <c r="Q193" s="128" t="b">
        <v>1</v>
      </c>
      <c r="R193" s="127" t="s">
        <v>1559</v>
      </c>
      <c r="S193" s="135" t="b">
        <v>1</v>
      </c>
      <c r="T193" s="126">
        <v>13</v>
      </c>
      <c r="U193" s="124">
        <v>1.4999999999999999E-2</v>
      </c>
      <c r="V193" s="126">
        <v>75</v>
      </c>
      <c r="W193" s="126">
        <v>-75</v>
      </c>
      <c r="X193" s="124">
        <v>50</v>
      </c>
      <c r="Y193" s="124">
        <v>5</v>
      </c>
      <c r="Z193" s="128" t="b">
        <v>1</v>
      </c>
      <c r="AA193" s="127" t="s">
        <v>1867</v>
      </c>
      <c r="AB193" s="133">
        <v>2</v>
      </c>
      <c r="AC193" s="137" t="b">
        <v>0</v>
      </c>
      <c r="AE193" s="137" t="b">
        <v>0</v>
      </c>
      <c r="AG193" s="135" t="b">
        <v>1</v>
      </c>
      <c r="AH193" s="125">
        <v>8</v>
      </c>
      <c r="AI193" s="125">
        <v>13</v>
      </c>
      <c r="AJ193" s="125">
        <v>21</v>
      </c>
      <c r="AK193" s="125">
        <v>34</v>
      </c>
      <c r="AL193" s="129" t="b">
        <v>0</v>
      </c>
      <c r="AM193" s="128" t="b">
        <v>1</v>
      </c>
      <c r="AN193" s="131" t="s">
        <v>1469</v>
      </c>
      <c r="AO193" s="141">
        <v>1.0000000000000001E-5</v>
      </c>
      <c r="AP193" s="128" t="b">
        <v>1</v>
      </c>
      <c r="AQ193" s="141">
        <v>1.0000000000000001E-5</v>
      </c>
      <c r="AR193" s="149">
        <v>8</v>
      </c>
      <c r="AS193" s="149">
        <v>13</v>
      </c>
      <c r="AT193" s="149">
        <v>8</v>
      </c>
      <c r="AU193" s="128" t="b">
        <v>1</v>
      </c>
      <c r="AV193" s="124">
        <v>3</v>
      </c>
      <c r="AW193" s="146">
        <v>5</v>
      </c>
      <c r="AX193" s="124">
        <v>1</v>
      </c>
      <c r="AY193" s="128" t="b">
        <v>1</v>
      </c>
      <c r="AZ193" s="122" t="s">
        <v>1586</v>
      </c>
      <c r="BA193" s="122">
        <v>4</v>
      </c>
      <c r="BB193" s="126">
        <v>0.05</v>
      </c>
      <c r="BC193" s="126">
        <v>0.5</v>
      </c>
      <c r="BD193" s="129" t="b">
        <v>0</v>
      </c>
      <c r="BE193" s="122" t="s">
        <v>1873</v>
      </c>
      <c r="BF193" s="128" t="b">
        <v>1</v>
      </c>
      <c r="BG193" s="122" t="s">
        <v>1578</v>
      </c>
      <c r="BH193" s="133">
        <v>0.02</v>
      </c>
      <c r="BI193" s="156" t="s">
        <v>403</v>
      </c>
      <c r="BJ193" s="128" t="b">
        <v>1</v>
      </c>
      <c r="BK193" s="161">
        <v>1.5</v>
      </c>
      <c r="BL193" s="129" t="b">
        <v>0</v>
      </c>
      <c r="BM193" s="156" t="s">
        <v>412</v>
      </c>
      <c r="BN193" s="128" t="b">
        <v>1</v>
      </c>
      <c r="BO193" s="156" t="s">
        <v>1382</v>
      </c>
      <c r="BP193" s="157">
        <v>1</v>
      </c>
      <c r="BQ193" s="157">
        <v>0.5</v>
      </c>
      <c r="BR193" s="166" t="str">
        <f t="shared" si="264"/>
        <v>8/ 13/ 21/ 34</v>
      </c>
      <c r="BS193" s="166" t="str">
        <f t="shared" si="265"/>
        <v>8 / 13 / 8</v>
      </c>
      <c r="BT193" s="166" t="str">
        <f t="shared" si="266"/>
        <v>0.05 / 0.5</v>
      </c>
      <c r="BU193" s="66">
        <v>498</v>
      </c>
      <c r="BV193" s="66">
        <v>292</v>
      </c>
      <c r="BW193" s="66">
        <v>233</v>
      </c>
      <c r="BX193" s="99">
        <f t="shared" si="267"/>
        <v>59</v>
      </c>
      <c r="BY193" s="66">
        <v>64</v>
      </c>
      <c r="BZ193" s="92">
        <f t="shared" si="268"/>
        <v>142</v>
      </c>
      <c r="CA193" s="204">
        <f t="shared" ref="CA193:CA197" si="281">IF(BU193=0,0,BV193/BU193)</f>
        <v>0.58634538152610438</v>
      </c>
      <c r="CB193" s="205">
        <f t="shared" si="270"/>
        <v>0.12851405622489959</v>
      </c>
      <c r="CC193" s="87">
        <v>4.1100000000000003</v>
      </c>
      <c r="CD193" s="87">
        <v>25.2</v>
      </c>
      <c r="CE193" s="87">
        <v>0.38</v>
      </c>
      <c r="CF193" s="170">
        <f t="shared" si="271"/>
        <v>1.5</v>
      </c>
      <c r="CG193" s="87">
        <v>0.67</v>
      </c>
      <c r="CH193" s="87">
        <v>0.49</v>
      </c>
      <c r="CI193" s="93">
        <v>8367.1</v>
      </c>
      <c r="CJ193" s="87">
        <v>28.65</v>
      </c>
      <c r="CK193" s="87">
        <v>27.18</v>
      </c>
      <c r="CL193" s="87">
        <v>-5.48</v>
      </c>
      <c r="CM193" s="165">
        <v>1000</v>
      </c>
      <c r="CN193" s="93">
        <v>12549.72</v>
      </c>
      <c r="CO193" s="108">
        <f t="shared" si="272"/>
        <v>13549.72</v>
      </c>
      <c r="CP193" s="108">
        <f t="shared" si="273"/>
        <v>1254.972</v>
      </c>
      <c r="CR193" s="82">
        <f t="shared" si="274"/>
        <v>12</v>
      </c>
      <c r="CS193" s="80">
        <f t="shared" si="275"/>
        <v>697.25833333333333</v>
      </c>
      <c r="CT193" s="80">
        <f t="shared" si="276"/>
        <v>1045.81</v>
      </c>
      <c r="CU193" s="80">
        <f t="shared" si="277"/>
        <v>104.58099999999999</v>
      </c>
      <c r="CW193" s="80">
        <f t="shared" si="278"/>
        <v>8367.1</v>
      </c>
      <c r="CX193" s="80">
        <f t="shared" si="279"/>
        <v>12549.72</v>
      </c>
      <c r="CY193" s="80">
        <f t="shared" si="280"/>
        <v>1254.972</v>
      </c>
    </row>
    <row r="194" spans="1:103" hidden="1" outlineLevel="1" x14ac:dyDescent="0.2">
      <c r="A194" s="120"/>
      <c r="B194" s="72"/>
      <c r="C194" s="57" t="s">
        <v>1387</v>
      </c>
      <c r="D194" s="57" t="s">
        <v>1888</v>
      </c>
      <c r="E194" s="65" t="s">
        <v>1389</v>
      </c>
      <c r="F194" s="57" t="s">
        <v>1454</v>
      </c>
      <c r="G194" s="62" t="s">
        <v>1556</v>
      </c>
      <c r="H194" s="129" t="b">
        <v>0</v>
      </c>
      <c r="J194" s="123" t="s">
        <v>1866</v>
      </c>
      <c r="K194" s="123" t="s">
        <v>1866</v>
      </c>
      <c r="L194" s="123" t="s">
        <v>1866</v>
      </c>
      <c r="M194" s="137" t="b">
        <v>0</v>
      </c>
      <c r="Q194" s="128" t="b">
        <v>1</v>
      </c>
      <c r="R194" s="127" t="s">
        <v>1559</v>
      </c>
      <c r="S194" s="135" t="b">
        <v>1</v>
      </c>
      <c r="T194" s="126">
        <v>13</v>
      </c>
      <c r="U194" s="124">
        <v>1.4999999999999999E-2</v>
      </c>
      <c r="V194" s="126">
        <v>75</v>
      </c>
      <c r="W194" s="126">
        <v>-75</v>
      </c>
      <c r="X194" s="124">
        <v>50</v>
      </c>
      <c r="Y194" s="124">
        <v>5</v>
      </c>
      <c r="Z194" s="128" t="b">
        <v>1</v>
      </c>
      <c r="AA194" s="127" t="s">
        <v>1867</v>
      </c>
      <c r="AB194" s="133">
        <v>2</v>
      </c>
      <c r="AC194" s="137" t="b">
        <v>0</v>
      </c>
      <c r="AE194" s="137" t="b">
        <v>0</v>
      </c>
      <c r="AG194" s="135" t="b">
        <v>1</v>
      </c>
      <c r="AH194" s="125">
        <v>8</v>
      </c>
      <c r="AI194" s="125">
        <v>13</v>
      </c>
      <c r="AJ194" s="125">
        <v>21</v>
      </c>
      <c r="AK194" s="125">
        <v>34</v>
      </c>
      <c r="AL194" s="129" t="b">
        <v>0</v>
      </c>
      <c r="AM194" s="128" t="b">
        <v>1</v>
      </c>
      <c r="AN194" s="131" t="s">
        <v>1469</v>
      </c>
      <c r="AO194" s="141">
        <v>1.0000000000000001E-5</v>
      </c>
      <c r="AP194" s="128" t="b">
        <v>1</v>
      </c>
      <c r="AQ194" s="141">
        <v>1.0000000000000001E-5</v>
      </c>
      <c r="AR194" s="149">
        <v>8</v>
      </c>
      <c r="AS194" s="149">
        <v>13</v>
      </c>
      <c r="AT194" s="149">
        <v>11</v>
      </c>
      <c r="AU194" s="128" t="b">
        <v>1</v>
      </c>
      <c r="AV194" s="124">
        <v>3</v>
      </c>
      <c r="AW194" s="146">
        <v>5</v>
      </c>
      <c r="AX194" s="124">
        <v>1</v>
      </c>
      <c r="AY194" s="128" t="b">
        <v>1</v>
      </c>
      <c r="AZ194" s="122" t="s">
        <v>1586</v>
      </c>
      <c r="BA194" s="122">
        <v>4</v>
      </c>
      <c r="BB194" s="126">
        <v>0.05</v>
      </c>
      <c r="BC194" s="126">
        <v>0.5</v>
      </c>
      <c r="BD194" s="129" t="b">
        <v>0</v>
      </c>
      <c r="BE194" s="122" t="s">
        <v>1873</v>
      </c>
      <c r="BF194" s="128" t="b">
        <v>1</v>
      </c>
      <c r="BG194" s="122" t="s">
        <v>1578</v>
      </c>
      <c r="BH194" s="133">
        <v>0.02</v>
      </c>
      <c r="BI194" s="156" t="s">
        <v>403</v>
      </c>
      <c r="BJ194" s="128" t="b">
        <v>1</v>
      </c>
      <c r="BK194" s="161">
        <v>1.5</v>
      </c>
      <c r="BL194" s="129" t="b">
        <v>0</v>
      </c>
      <c r="BM194" s="156" t="s">
        <v>412</v>
      </c>
      <c r="BN194" s="128" t="b">
        <v>1</v>
      </c>
      <c r="BO194" s="156" t="s">
        <v>1382</v>
      </c>
      <c r="BP194" s="157">
        <v>1</v>
      </c>
      <c r="BQ194" s="157">
        <v>0.5</v>
      </c>
      <c r="BR194" s="166" t="str">
        <f t="shared" si="264"/>
        <v>8/ 13/ 21/ 34</v>
      </c>
      <c r="BS194" s="166" t="str">
        <f t="shared" si="265"/>
        <v>8 / 13 / 11</v>
      </c>
      <c r="BT194" s="166" t="str">
        <f t="shared" si="266"/>
        <v>0.05 / 0.5</v>
      </c>
      <c r="BU194" s="66">
        <v>495</v>
      </c>
      <c r="BV194" s="66">
        <v>292</v>
      </c>
      <c r="BW194" s="66">
        <v>234</v>
      </c>
      <c r="BX194" s="99">
        <f t="shared" si="267"/>
        <v>58</v>
      </c>
      <c r="BY194" s="66">
        <v>64</v>
      </c>
      <c r="BZ194" s="92">
        <f t="shared" si="268"/>
        <v>139</v>
      </c>
      <c r="CA194" s="204">
        <f t="shared" si="281"/>
        <v>0.58989898989898992</v>
      </c>
      <c r="CB194" s="205">
        <f t="shared" si="270"/>
        <v>0.12929292929292929</v>
      </c>
      <c r="CC194" s="87">
        <v>4.0999999999999996</v>
      </c>
      <c r="CD194" s="87">
        <v>25.32</v>
      </c>
      <c r="CE194" s="87">
        <v>0.38</v>
      </c>
      <c r="CF194" s="170">
        <f t="shared" si="271"/>
        <v>1.5</v>
      </c>
      <c r="CG194" s="87">
        <v>0.67</v>
      </c>
      <c r="CH194" s="87">
        <v>0.48</v>
      </c>
      <c r="CI194" s="93">
        <v>8326.5</v>
      </c>
      <c r="CJ194" s="87">
        <v>28.52</v>
      </c>
      <c r="CK194" s="87">
        <v>27.23</v>
      </c>
      <c r="CL194" s="87">
        <v>-5.48</v>
      </c>
      <c r="CM194" s="165">
        <v>1000</v>
      </c>
      <c r="CN194" s="93">
        <v>12532.7</v>
      </c>
      <c r="CO194" s="108">
        <f t="shared" si="272"/>
        <v>13532.7</v>
      </c>
      <c r="CP194" s="108">
        <f t="shared" si="273"/>
        <v>1253.27</v>
      </c>
      <c r="CR194" s="82">
        <f t="shared" si="274"/>
        <v>12</v>
      </c>
      <c r="CS194" s="80">
        <f t="shared" si="275"/>
        <v>693.875</v>
      </c>
      <c r="CT194" s="80">
        <f t="shared" si="276"/>
        <v>1044.3916666666667</v>
      </c>
      <c r="CU194" s="80">
        <f t="shared" si="277"/>
        <v>104.43916666666667</v>
      </c>
      <c r="CW194" s="80">
        <f t="shared" si="278"/>
        <v>8326.5</v>
      </c>
      <c r="CX194" s="80">
        <f t="shared" si="279"/>
        <v>12532.7</v>
      </c>
      <c r="CY194" s="80">
        <f t="shared" si="280"/>
        <v>1253.27</v>
      </c>
    </row>
    <row r="195" spans="1:103" hidden="1" outlineLevel="1" x14ac:dyDescent="0.2">
      <c r="A195" s="120"/>
      <c r="B195" s="72"/>
      <c r="C195" s="57" t="s">
        <v>1387</v>
      </c>
      <c r="D195" s="57" t="s">
        <v>1888</v>
      </c>
      <c r="E195" s="65" t="s">
        <v>1389</v>
      </c>
      <c r="F195" s="57" t="s">
        <v>1454</v>
      </c>
      <c r="G195" s="62" t="s">
        <v>1556</v>
      </c>
      <c r="H195" s="129" t="b">
        <v>0</v>
      </c>
      <c r="J195" s="123" t="s">
        <v>1866</v>
      </c>
      <c r="K195" s="123" t="s">
        <v>1866</v>
      </c>
      <c r="L195" s="123" t="s">
        <v>1866</v>
      </c>
      <c r="M195" s="137" t="b">
        <v>0</v>
      </c>
      <c r="Q195" s="128" t="b">
        <v>1</v>
      </c>
      <c r="R195" s="127" t="s">
        <v>1559</v>
      </c>
      <c r="S195" s="135" t="b">
        <v>1</v>
      </c>
      <c r="T195" s="126">
        <v>13</v>
      </c>
      <c r="U195" s="124">
        <v>1.4999999999999999E-2</v>
      </c>
      <c r="V195" s="126">
        <v>75</v>
      </c>
      <c r="W195" s="126">
        <v>-75</v>
      </c>
      <c r="X195" s="124">
        <v>50</v>
      </c>
      <c r="Y195" s="124">
        <v>5</v>
      </c>
      <c r="Z195" s="128" t="b">
        <v>1</v>
      </c>
      <c r="AA195" s="127" t="s">
        <v>1867</v>
      </c>
      <c r="AB195" s="133">
        <v>2</v>
      </c>
      <c r="AC195" s="137" t="b">
        <v>0</v>
      </c>
      <c r="AE195" s="137" t="b">
        <v>0</v>
      </c>
      <c r="AG195" s="135" t="b">
        <v>1</v>
      </c>
      <c r="AH195" s="125">
        <v>8</v>
      </c>
      <c r="AI195" s="125">
        <v>13</v>
      </c>
      <c r="AJ195" s="125">
        <v>21</v>
      </c>
      <c r="AK195" s="125">
        <v>34</v>
      </c>
      <c r="AL195" s="129" t="b">
        <v>0</v>
      </c>
      <c r="AM195" s="128" t="b">
        <v>1</v>
      </c>
      <c r="AN195" s="131" t="s">
        <v>1469</v>
      </c>
      <c r="AO195" s="141">
        <v>1.0000000000000001E-5</v>
      </c>
      <c r="AP195" s="128" t="b">
        <v>1</v>
      </c>
      <c r="AQ195" s="141">
        <v>1.0000000000000001E-5</v>
      </c>
      <c r="AR195" s="150">
        <v>8</v>
      </c>
      <c r="AS195" s="150">
        <v>17</v>
      </c>
      <c r="AT195" s="150">
        <v>9</v>
      </c>
      <c r="AU195" s="128" t="b">
        <v>1</v>
      </c>
      <c r="AV195" s="124">
        <v>3</v>
      </c>
      <c r="AW195" s="146">
        <v>5</v>
      </c>
      <c r="AX195" s="124">
        <v>1</v>
      </c>
      <c r="AY195" s="128" t="b">
        <v>1</v>
      </c>
      <c r="AZ195" s="122" t="s">
        <v>1586</v>
      </c>
      <c r="BA195" s="122">
        <v>4</v>
      </c>
      <c r="BB195" s="126">
        <v>0.05</v>
      </c>
      <c r="BC195" s="126">
        <v>0.5</v>
      </c>
      <c r="BD195" s="129" t="b">
        <v>0</v>
      </c>
      <c r="BE195" s="122" t="s">
        <v>1873</v>
      </c>
      <c r="BF195" s="128" t="b">
        <v>1</v>
      </c>
      <c r="BG195" s="122" t="s">
        <v>1578</v>
      </c>
      <c r="BH195" s="133">
        <v>0.02</v>
      </c>
      <c r="BI195" s="156" t="s">
        <v>403</v>
      </c>
      <c r="BJ195" s="128" t="b">
        <v>1</v>
      </c>
      <c r="BK195" s="161">
        <v>1.5</v>
      </c>
      <c r="BL195" s="129" t="b">
        <v>0</v>
      </c>
      <c r="BM195" s="156" t="s">
        <v>412</v>
      </c>
      <c r="BN195" s="128" t="b">
        <v>1</v>
      </c>
      <c r="BO195" s="156" t="s">
        <v>1382</v>
      </c>
      <c r="BP195" s="157">
        <v>1</v>
      </c>
      <c r="BQ195" s="157">
        <v>0.5</v>
      </c>
      <c r="BR195" s="166" t="str">
        <f t="shared" si="264"/>
        <v>8/ 13/ 21/ 34</v>
      </c>
      <c r="BS195" s="166" t="str">
        <f t="shared" si="265"/>
        <v>8 / 17 / 9</v>
      </c>
      <c r="BT195" s="166" t="str">
        <f t="shared" si="266"/>
        <v>0.05 / 0.5</v>
      </c>
      <c r="BU195" s="66">
        <v>495</v>
      </c>
      <c r="BV195" s="66">
        <v>294</v>
      </c>
      <c r="BW195" s="66">
        <v>237</v>
      </c>
      <c r="BX195" s="99">
        <f t="shared" si="267"/>
        <v>57</v>
      </c>
      <c r="BY195" s="66">
        <v>63</v>
      </c>
      <c r="BZ195" s="92">
        <f t="shared" si="268"/>
        <v>138</v>
      </c>
      <c r="CA195" s="204">
        <f t="shared" si="281"/>
        <v>0.59393939393939399</v>
      </c>
      <c r="CB195" s="205">
        <f t="shared" si="270"/>
        <v>0.12727272727272726</v>
      </c>
      <c r="CC195" s="87" t="s">
        <v>1902</v>
      </c>
      <c r="CD195" s="87">
        <v>25.69</v>
      </c>
      <c r="CE195" s="87">
        <v>0.38</v>
      </c>
      <c r="CF195" s="170">
        <f t="shared" si="271"/>
        <v>1.5</v>
      </c>
      <c r="CG195" s="87">
        <v>0.66</v>
      </c>
      <c r="CH195" s="87">
        <v>0.48</v>
      </c>
      <c r="CI195" s="93">
        <v>8307.7000000000007</v>
      </c>
      <c r="CJ195" s="87">
        <v>28.26</v>
      </c>
      <c r="CK195" s="87">
        <v>27.04</v>
      </c>
      <c r="CL195" s="87">
        <v>-5.48</v>
      </c>
      <c r="CM195" s="165">
        <v>1000</v>
      </c>
      <c r="CN195" s="93">
        <v>12717.75</v>
      </c>
      <c r="CO195" s="108">
        <f t="shared" si="272"/>
        <v>13717.75</v>
      </c>
      <c r="CP195" s="108">
        <f t="shared" si="273"/>
        <v>1271.7750000000001</v>
      </c>
      <c r="CR195" s="82">
        <f t="shared" si="274"/>
        <v>12</v>
      </c>
      <c r="CS195" s="80">
        <f t="shared" si="275"/>
        <v>692.30833333333339</v>
      </c>
      <c r="CT195" s="80">
        <f t="shared" si="276"/>
        <v>1059.8125</v>
      </c>
      <c r="CU195" s="80">
        <f t="shared" si="277"/>
        <v>105.98125</v>
      </c>
      <c r="CW195" s="80">
        <f t="shared" si="278"/>
        <v>8307.7000000000007</v>
      </c>
      <c r="CX195" s="80">
        <f t="shared" si="279"/>
        <v>12717.75</v>
      </c>
      <c r="CY195" s="80">
        <f t="shared" si="280"/>
        <v>1271.7750000000001</v>
      </c>
    </row>
    <row r="196" spans="1:103" hidden="1" outlineLevel="1" x14ac:dyDescent="0.2">
      <c r="A196" s="120"/>
      <c r="B196" s="72"/>
      <c r="C196" s="57" t="s">
        <v>1387</v>
      </c>
      <c r="D196" s="57" t="s">
        <v>1888</v>
      </c>
      <c r="E196" s="65" t="s">
        <v>1389</v>
      </c>
      <c r="F196" s="57" t="s">
        <v>1454</v>
      </c>
      <c r="G196" s="62" t="s">
        <v>1556</v>
      </c>
      <c r="H196" s="129" t="b">
        <v>0</v>
      </c>
      <c r="J196" s="123" t="s">
        <v>1866</v>
      </c>
      <c r="K196" s="123" t="s">
        <v>1866</v>
      </c>
      <c r="L196" s="123" t="s">
        <v>1866</v>
      </c>
      <c r="M196" s="137" t="b">
        <v>0</v>
      </c>
      <c r="Q196" s="128" t="b">
        <v>1</v>
      </c>
      <c r="R196" s="127" t="s">
        <v>1559</v>
      </c>
      <c r="S196" s="135" t="b">
        <v>1</v>
      </c>
      <c r="T196" s="126">
        <v>13</v>
      </c>
      <c r="U196" s="124">
        <v>1.4999999999999999E-2</v>
      </c>
      <c r="V196" s="126">
        <v>75</v>
      </c>
      <c r="W196" s="126">
        <v>-75</v>
      </c>
      <c r="X196" s="124">
        <v>50</v>
      </c>
      <c r="Y196" s="124">
        <v>5</v>
      </c>
      <c r="Z196" s="128" t="b">
        <v>1</v>
      </c>
      <c r="AA196" s="127" t="s">
        <v>1867</v>
      </c>
      <c r="AB196" s="133">
        <v>2</v>
      </c>
      <c r="AC196" s="137" t="b">
        <v>0</v>
      </c>
      <c r="AE196" s="137" t="b">
        <v>0</v>
      </c>
      <c r="AG196" s="135" t="b">
        <v>1</v>
      </c>
      <c r="AH196" s="125">
        <v>8</v>
      </c>
      <c r="AI196" s="125">
        <v>13</v>
      </c>
      <c r="AJ196" s="125">
        <v>21</v>
      </c>
      <c r="AK196" s="125">
        <v>34</v>
      </c>
      <c r="AL196" s="129" t="b">
        <v>0</v>
      </c>
      <c r="AM196" s="128" t="b">
        <v>1</v>
      </c>
      <c r="AN196" s="131" t="s">
        <v>1469</v>
      </c>
      <c r="AO196" s="141">
        <v>1.0000000000000001E-5</v>
      </c>
      <c r="AP196" s="128" t="b">
        <v>1</v>
      </c>
      <c r="AQ196" s="141">
        <v>1.0000000000000001E-5</v>
      </c>
      <c r="AR196" s="152">
        <v>12</v>
      </c>
      <c r="AS196" s="152">
        <v>26</v>
      </c>
      <c r="AT196" s="152">
        <v>9</v>
      </c>
      <c r="AU196" s="128" t="b">
        <v>1</v>
      </c>
      <c r="AV196" s="124">
        <v>3</v>
      </c>
      <c r="AW196" s="146">
        <v>5</v>
      </c>
      <c r="AX196" s="124">
        <v>1</v>
      </c>
      <c r="AY196" s="128" t="b">
        <v>1</v>
      </c>
      <c r="AZ196" s="122" t="s">
        <v>1586</v>
      </c>
      <c r="BA196" s="122">
        <v>4</v>
      </c>
      <c r="BB196" s="126">
        <v>0.05</v>
      </c>
      <c r="BC196" s="126">
        <v>0.5</v>
      </c>
      <c r="BD196" s="129" t="b">
        <v>0</v>
      </c>
      <c r="BE196" s="122" t="s">
        <v>1873</v>
      </c>
      <c r="BF196" s="128" t="b">
        <v>1</v>
      </c>
      <c r="BG196" s="122" t="s">
        <v>1578</v>
      </c>
      <c r="BH196" s="133">
        <v>0.02</v>
      </c>
      <c r="BI196" s="156" t="s">
        <v>403</v>
      </c>
      <c r="BJ196" s="128" t="b">
        <v>1</v>
      </c>
      <c r="BK196" s="161">
        <v>1.5</v>
      </c>
      <c r="BL196" s="129" t="b">
        <v>0</v>
      </c>
      <c r="BM196" s="156" t="s">
        <v>412</v>
      </c>
      <c r="BN196" s="128" t="b">
        <v>1</v>
      </c>
      <c r="BO196" s="156" t="s">
        <v>1382</v>
      </c>
      <c r="BP196" s="157">
        <v>1</v>
      </c>
      <c r="BQ196" s="157">
        <v>0.5</v>
      </c>
      <c r="BR196" s="166" t="str">
        <f t="shared" si="264"/>
        <v>8/ 13/ 21/ 34</v>
      </c>
      <c r="BS196" s="166" t="str">
        <f t="shared" si="265"/>
        <v>12 / 26 / 9</v>
      </c>
      <c r="BT196" s="166" t="str">
        <f t="shared" si="266"/>
        <v>0.05 / 0.5</v>
      </c>
      <c r="BU196" s="66">
        <v>507</v>
      </c>
      <c r="BV196" s="66">
        <v>293</v>
      </c>
      <c r="BW196" s="66">
        <v>232</v>
      </c>
      <c r="BX196" s="99">
        <f t="shared" si="267"/>
        <v>61</v>
      </c>
      <c r="BY196" s="66">
        <v>67</v>
      </c>
      <c r="BZ196" s="92">
        <f t="shared" si="268"/>
        <v>147</v>
      </c>
      <c r="CA196" s="204">
        <f t="shared" si="281"/>
        <v>0.57790927021696248</v>
      </c>
      <c r="CB196" s="205">
        <f t="shared" si="270"/>
        <v>0.13214990138067062</v>
      </c>
      <c r="CC196" s="87">
        <v>3.92</v>
      </c>
      <c r="CD196" s="87">
        <v>26.07</v>
      </c>
      <c r="CE196" s="87">
        <v>0.37</v>
      </c>
      <c r="CF196" s="170">
        <f t="shared" si="271"/>
        <v>1.5</v>
      </c>
      <c r="CG196" s="87">
        <v>0.68</v>
      </c>
      <c r="CH196" s="87">
        <v>0.48</v>
      </c>
      <c r="CI196" s="93">
        <v>8239.4</v>
      </c>
      <c r="CJ196" s="87">
        <v>28.12</v>
      </c>
      <c r="CK196" s="87">
        <v>26.59</v>
      </c>
      <c r="CL196" s="87">
        <v>-5.65</v>
      </c>
      <c r="CM196" s="165">
        <v>1000</v>
      </c>
      <c r="CN196" s="208">
        <v>13217.99</v>
      </c>
      <c r="CO196" s="209">
        <f t="shared" si="272"/>
        <v>14217.99</v>
      </c>
      <c r="CP196" s="209">
        <f t="shared" si="273"/>
        <v>1321.799</v>
      </c>
      <c r="CR196" s="82">
        <f t="shared" si="274"/>
        <v>12</v>
      </c>
      <c r="CS196" s="80">
        <f t="shared" si="275"/>
        <v>686.61666666666667</v>
      </c>
      <c r="CT196" s="80">
        <f t="shared" si="276"/>
        <v>1101.4991666666667</v>
      </c>
      <c r="CU196" s="80">
        <f t="shared" si="277"/>
        <v>110.14991666666667</v>
      </c>
      <c r="CW196" s="80">
        <f t="shared" si="278"/>
        <v>8239.4</v>
      </c>
      <c r="CX196" s="80">
        <f t="shared" si="279"/>
        <v>13217.99</v>
      </c>
      <c r="CY196" s="80">
        <f t="shared" si="280"/>
        <v>1321.799</v>
      </c>
    </row>
    <row r="197" spans="1:103" hidden="1" outlineLevel="1" x14ac:dyDescent="0.2">
      <c r="A197" s="120"/>
      <c r="B197" s="72"/>
      <c r="C197" s="57" t="s">
        <v>1387</v>
      </c>
      <c r="D197" s="57" t="s">
        <v>1888</v>
      </c>
      <c r="E197" s="65" t="s">
        <v>1389</v>
      </c>
      <c r="F197" s="57" t="s">
        <v>1454</v>
      </c>
      <c r="G197" s="62" t="s">
        <v>1556</v>
      </c>
      <c r="H197" s="129" t="b">
        <v>0</v>
      </c>
      <c r="J197" s="123" t="s">
        <v>1866</v>
      </c>
      <c r="K197" s="123" t="s">
        <v>1866</v>
      </c>
      <c r="L197" s="123" t="s">
        <v>1866</v>
      </c>
      <c r="M197" s="137" t="b">
        <v>0</v>
      </c>
      <c r="Q197" s="128" t="b">
        <v>1</v>
      </c>
      <c r="R197" s="127" t="s">
        <v>1559</v>
      </c>
      <c r="S197" s="135" t="b">
        <v>1</v>
      </c>
      <c r="T197" s="126">
        <v>13</v>
      </c>
      <c r="U197" s="124">
        <v>1.4999999999999999E-2</v>
      </c>
      <c r="V197" s="126">
        <v>75</v>
      </c>
      <c r="W197" s="126">
        <v>-75</v>
      </c>
      <c r="X197" s="124">
        <v>50</v>
      </c>
      <c r="Y197" s="124">
        <v>5</v>
      </c>
      <c r="Z197" s="128" t="b">
        <v>1</v>
      </c>
      <c r="AA197" s="127" t="s">
        <v>1867</v>
      </c>
      <c r="AB197" s="133">
        <v>2</v>
      </c>
      <c r="AC197" s="137" t="b">
        <v>0</v>
      </c>
      <c r="AE197" s="137" t="b">
        <v>0</v>
      </c>
      <c r="AG197" s="135" t="b">
        <v>1</v>
      </c>
      <c r="AH197" s="125">
        <v>8</v>
      </c>
      <c r="AI197" s="125">
        <v>13</v>
      </c>
      <c r="AJ197" s="125">
        <v>21</v>
      </c>
      <c r="AK197" s="125">
        <v>34</v>
      </c>
      <c r="AL197" s="129" t="b">
        <v>0</v>
      </c>
      <c r="AM197" s="128" t="b">
        <v>1</v>
      </c>
      <c r="AN197" s="131" t="s">
        <v>1469</v>
      </c>
      <c r="AO197" s="141">
        <v>1.0000000000000001E-5</v>
      </c>
      <c r="AP197" s="128" t="b">
        <v>1</v>
      </c>
      <c r="AQ197" s="141">
        <v>1.0000000000000001E-5</v>
      </c>
      <c r="AR197" s="137">
        <v>21</v>
      </c>
      <c r="AS197" s="137">
        <v>34</v>
      </c>
      <c r="AT197" s="137">
        <v>9</v>
      </c>
      <c r="AU197" s="128" t="b">
        <v>1</v>
      </c>
      <c r="AV197" s="124">
        <v>3</v>
      </c>
      <c r="AW197" s="146">
        <v>5</v>
      </c>
      <c r="AX197" s="124">
        <v>1</v>
      </c>
      <c r="AY197" s="128" t="b">
        <v>1</v>
      </c>
      <c r="AZ197" s="122" t="s">
        <v>1586</v>
      </c>
      <c r="BA197" s="122">
        <v>4</v>
      </c>
      <c r="BB197" s="126">
        <v>0.05</v>
      </c>
      <c r="BC197" s="126">
        <v>0.5</v>
      </c>
      <c r="BD197" s="129" t="b">
        <v>0</v>
      </c>
      <c r="BE197" s="122" t="s">
        <v>1873</v>
      </c>
      <c r="BF197" s="128" t="b">
        <v>1</v>
      </c>
      <c r="BG197" s="122" t="s">
        <v>1578</v>
      </c>
      <c r="BH197" s="133">
        <v>0.02</v>
      </c>
      <c r="BI197" s="156" t="s">
        <v>403</v>
      </c>
      <c r="BJ197" s="128" t="b">
        <v>1</v>
      </c>
      <c r="BK197" s="161">
        <v>1.5</v>
      </c>
      <c r="BL197" s="129" t="b">
        <v>0</v>
      </c>
      <c r="BM197" s="156" t="s">
        <v>412</v>
      </c>
      <c r="BN197" s="128" t="b">
        <v>1</v>
      </c>
      <c r="BO197" s="156" t="s">
        <v>1382</v>
      </c>
      <c r="BP197" s="157">
        <v>1</v>
      </c>
      <c r="BQ197" s="157">
        <v>0.5</v>
      </c>
      <c r="BR197" s="166" t="str">
        <f t="shared" si="264"/>
        <v>8/ 13/ 21/ 34</v>
      </c>
      <c r="BS197" s="166" t="str">
        <f t="shared" si="265"/>
        <v>21 / 34 / 9</v>
      </c>
      <c r="BT197" s="166" t="str">
        <f t="shared" si="266"/>
        <v>0.05 / 0.5</v>
      </c>
      <c r="BU197" s="66">
        <v>510</v>
      </c>
      <c r="BV197" s="66">
        <v>286</v>
      </c>
      <c r="BW197" s="66">
        <v>226</v>
      </c>
      <c r="BX197" s="99">
        <f t="shared" si="267"/>
        <v>60</v>
      </c>
      <c r="BY197" s="66">
        <v>69</v>
      </c>
      <c r="BZ197" s="92">
        <f t="shared" si="268"/>
        <v>155</v>
      </c>
      <c r="CA197" s="204">
        <f t="shared" si="281"/>
        <v>0.5607843137254902</v>
      </c>
      <c r="CB197" s="205">
        <f t="shared" si="270"/>
        <v>0.13529411764705881</v>
      </c>
      <c r="CC197" s="87">
        <v>3.65</v>
      </c>
      <c r="CD197" s="87">
        <v>24.81</v>
      </c>
      <c r="CE197" s="87">
        <v>0.35</v>
      </c>
      <c r="CF197" s="170">
        <f t="shared" si="271"/>
        <v>1.5</v>
      </c>
      <c r="CG197" s="87">
        <v>0.69</v>
      </c>
      <c r="CH197" s="87">
        <v>0.51</v>
      </c>
      <c r="CI197" s="93">
        <v>8076.4</v>
      </c>
      <c r="CJ197" s="87">
        <v>28.24</v>
      </c>
      <c r="CK197" s="87">
        <v>27.07</v>
      </c>
      <c r="CL197" s="87">
        <v>-5.72</v>
      </c>
      <c r="CM197" s="165">
        <v>1000</v>
      </c>
      <c r="CN197" s="93">
        <v>12654</v>
      </c>
      <c r="CO197" s="108">
        <f t="shared" si="272"/>
        <v>13654</v>
      </c>
      <c r="CP197" s="108">
        <f t="shared" si="273"/>
        <v>1265.4000000000001</v>
      </c>
      <c r="CR197" s="82">
        <f t="shared" si="274"/>
        <v>12</v>
      </c>
      <c r="CS197" s="80">
        <f t="shared" si="275"/>
        <v>673.0333333333333</v>
      </c>
      <c r="CT197" s="80">
        <f t="shared" si="276"/>
        <v>1054.5</v>
      </c>
      <c r="CU197" s="80">
        <f t="shared" si="277"/>
        <v>105.45</v>
      </c>
      <c r="CW197" s="80">
        <f t="shared" si="278"/>
        <v>8076.4</v>
      </c>
      <c r="CX197" s="80">
        <f t="shared" si="279"/>
        <v>12654</v>
      </c>
      <c r="CY197" s="80">
        <f t="shared" si="280"/>
        <v>1265.4000000000001</v>
      </c>
    </row>
    <row r="198" spans="1:103" hidden="1" outlineLevel="1" x14ac:dyDescent="0.2"/>
    <row r="199" spans="1:103" collapsed="1" x14ac:dyDescent="0.2">
      <c r="A199" s="120"/>
      <c r="B199" s="72" t="s">
        <v>1900</v>
      </c>
      <c r="C199" s="57" t="s">
        <v>1387</v>
      </c>
      <c r="D199" s="57" t="s">
        <v>1888</v>
      </c>
      <c r="E199" s="65" t="s">
        <v>1389</v>
      </c>
      <c r="F199" s="57" t="s">
        <v>1454</v>
      </c>
      <c r="G199" s="62" t="s">
        <v>1556</v>
      </c>
      <c r="H199" s="129" t="b">
        <v>0</v>
      </c>
      <c r="J199" s="123" t="s">
        <v>1866</v>
      </c>
      <c r="K199" s="123" t="s">
        <v>1866</v>
      </c>
      <c r="L199" s="123" t="s">
        <v>1866</v>
      </c>
      <c r="M199" s="137" t="b">
        <v>0</v>
      </c>
      <c r="Q199" s="128" t="b">
        <v>1</v>
      </c>
      <c r="R199" s="127" t="s">
        <v>1559</v>
      </c>
      <c r="S199" s="135" t="b">
        <v>1</v>
      </c>
      <c r="T199" s="126">
        <v>13</v>
      </c>
      <c r="U199" s="124">
        <v>1.4999999999999999E-2</v>
      </c>
      <c r="V199" s="126">
        <v>75</v>
      </c>
      <c r="W199" s="126">
        <v>-75</v>
      </c>
      <c r="X199" s="124">
        <v>50</v>
      </c>
      <c r="Y199" s="124">
        <v>5</v>
      </c>
      <c r="Z199" s="128" t="b">
        <v>1</v>
      </c>
      <c r="AA199" s="127" t="s">
        <v>1867</v>
      </c>
      <c r="AB199" s="133">
        <v>2</v>
      </c>
      <c r="AC199" s="137" t="b">
        <v>0</v>
      </c>
      <c r="AE199" s="137" t="b">
        <v>0</v>
      </c>
      <c r="AG199" s="135" t="b">
        <v>1</v>
      </c>
      <c r="AH199" s="125">
        <v>8</v>
      </c>
      <c r="AI199" s="125">
        <v>13</v>
      </c>
      <c r="AJ199" s="125">
        <v>21</v>
      </c>
      <c r="AK199" s="125">
        <v>55</v>
      </c>
      <c r="AL199" s="129" t="b">
        <v>0</v>
      </c>
      <c r="AM199" s="128" t="b">
        <v>1</v>
      </c>
      <c r="AN199" s="131" t="s">
        <v>1469</v>
      </c>
      <c r="AO199" s="141">
        <v>1.0000000000000001E-5</v>
      </c>
      <c r="AP199" s="128" t="b">
        <v>1</v>
      </c>
      <c r="AQ199" s="141">
        <v>1.0000000000000001E-5</v>
      </c>
      <c r="AR199" s="126">
        <v>5</v>
      </c>
      <c r="AS199" s="126">
        <v>8</v>
      </c>
      <c r="AT199" s="126">
        <v>5</v>
      </c>
      <c r="AU199" s="128" t="b">
        <v>1</v>
      </c>
      <c r="AV199" s="124">
        <v>3</v>
      </c>
      <c r="AW199" s="146">
        <v>5</v>
      </c>
      <c r="AX199" s="124">
        <v>1</v>
      </c>
      <c r="AY199" s="128" t="b">
        <v>1</v>
      </c>
      <c r="AZ199" s="122" t="s">
        <v>1586</v>
      </c>
      <c r="BA199" s="122">
        <v>4</v>
      </c>
      <c r="BB199" s="126">
        <v>0.05</v>
      </c>
      <c r="BC199" s="126">
        <v>0.5</v>
      </c>
      <c r="BD199" s="129" t="b">
        <v>0</v>
      </c>
      <c r="BE199" s="122" t="s">
        <v>1873</v>
      </c>
      <c r="BF199" s="128" t="b">
        <v>1</v>
      </c>
      <c r="BG199" s="122" t="s">
        <v>1578</v>
      </c>
      <c r="BH199" s="133">
        <v>0.02</v>
      </c>
      <c r="BI199" s="156" t="s">
        <v>403</v>
      </c>
      <c r="BJ199" s="128" t="b">
        <v>1</v>
      </c>
      <c r="BK199" s="161">
        <v>1.5</v>
      </c>
      <c r="BL199" s="129" t="b">
        <v>0</v>
      </c>
      <c r="BM199" s="156" t="s">
        <v>412</v>
      </c>
      <c r="BN199" s="128" t="b">
        <v>1</v>
      </c>
      <c r="BO199" s="156" t="s">
        <v>1382</v>
      </c>
      <c r="BP199" s="157">
        <v>1</v>
      </c>
      <c r="BQ199" s="157">
        <v>0.5</v>
      </c>
      <c r="BR199" s="166" t="str">
        <f t="shared" ref="BR199:BR206" si="282">AH199&amp;"/ "&amp;AI199&amp;"/ "&amp;AJ199&amp;"/ "&amp;AK199</f>
        <v>8/ 13/ 21/ 55</v>
      </c>
      <c r="BS199" s="166" t="str">
        <f t="shared" ref="BS199:BS206" si="283">AR199&amp;" / "&amp;AS199&amp;" / "&amp;AT199</f>
        <v>5 / 8 / 5</v>
      </c>
      <c r="BT199" s="166" t="str">
        <f t="shared" ref="BT199:BT206" si="284">BB199&amp;" / "&amp;BC199</f>
        <v>0.05 / 0.5</v>
      </c>
      <c r="BU199" s="66">
        <v>451</v>
      </c>
      <c r="BV199" s="66">
        <v>272</v>
      </c>
      <c r="BW199" s="66">
        <v>216</v>
      </c>
      <c r="BX199" s="99">
        <f t="shared" ref="BX199:BX206" si="285">BV199-BW199</f>
        <v>56</v>
      </c>
      <c r="BY199" s="66">
        <v>46</v>
      </c>
      <c r="BZ199" s="92">
        <f t="shared" ref="BZ199:BZ206" si="286">BU199-SUM(BW199:BY199)</f>
        <v>133</v>
      </c>
      <c r="CA199" s="204">
        <f>IF(BU199=0,0,BV199/BU199)</f>
        <v>0.60310421286031046</v>
      </c>
      <c r="CB199" s="205">
        <f>IF(BU199=0,0,BY199/BU199)</f>
        <v>0.10199556541019955</v>
      </c>
      <c r="CC199" s="87">
        <v>6.04</v>
      </c>
      <c r="CD199" s="87">
        <v>30.01</v>
      </c>
      <c r="CE199" s="87">
        <v>0.45</v>
      </c>
      <c r="CF199" s="170">
        <f t="shared" ref="CF199:CF206" si="287">BK199</f>
        <v>1.5</v>
      </c>
      <c r="CG199" s="87">
        <v>0.69</v>
      </c>
      <c r="CH199" s="87">
        <v>0.51</v>
      </c>
      <c r="CI199" s="93">
        <v>7896.5</v>
      </c>
      <c r="CJ199" s="87">
        <v>29.03</v>
      </c>
      <c r="CK199" s="87">
        <v>27.03</v>
      </c>
      <c r="CL199" s="87">
        <v>-3.96</v>
      </c>
      <c r="CM199" s="165">
        <v>1000</v>
      </c>
      <c r="CN199" s="93">
        <v>13534.93</v>
      </c>
      <c r="CO199" s="108">
        <f t="shared" ref="CO199:CO206" si="288">CM199+CN199</f>
        <v>14534.93</v>
      </c>
      <c r="CP199" s="108">
        <f t="shared" ref="CP199:CP206" si="289">CN199/10</f>
        <v>1353.4929999999999</v>
      </c>
      <c r="CR199" s="82">
        <f t="shared" ref="CR199:CR206" si="290">CR$4</f>
        <v>12</v>
      </c>
      <c r="CS199" s="80">
        <f t="shared" ref="CS199:CS206" si="291">CI199/CR199</f>
        <v>658.04166666666663</v>
      </c>
      <c r="CT199" s="80">
        <f t="shared" ref="CT199:CT206" si="292">CN199/CR199</f>
        <v>1127.9108333333334</v>
      </c>
      <c r="CU199" s="80">
        <f t="shared" ref="CU199:CU206" si="293">CT199/10</f>
        <v>112.79108333333333</v>
      </c>
      <c r="CW199" s="80">
        <f t="shared" ref="CW199:CW206" si="294">CI199</f>
        <v>7896.5</v>
      </c>
      <c r="CX199" s="80">
        <f t="shared" ref="CX199:CX206" si="295">CN199</f>
        <v>13534.93</v>
      </c>
      <c r="CY199" s="80">
        <f t="shared" ref="CY199:CY206" si="296">CP199</f>
        <v>1353.4929999999999</v>
      </c>
    </row>
    <row r="200" spans="1:103" hidden="1" outlineLevel="1" x14ac:dyDescent="0.2">
      <c r="A200" s="120"/>
      <c r="B200" s="72"/>
      <c r="C200" s="57" t="s">
        <v>1387</v>
      </c>
      <c r="D200" s="57" t="s">
        <v>1888</v>
      </c>
      <c r="E200" s="65" t="s">
        <v>1389</v>
      </c>
      <c r="F200" s="57" t="s">
        <v>1454</v>
      </c>
      <c r="G200" s="62" t="s">
        <v>1556</v>
      </c>
      <c r="H200" s="129" t="b">
        <v>0</v>
      </c>
      <c r="J200" s="123" t="s">
        <v>1866</v>
      </c>
      <c r="K200" s="123" t="s">
        <v>1866</v>
      </c>
      <c r="L200" s="123" t="s">
        <v>1866</v>
      </c>
      <c r="M200" s="137" t="b">
        <v>0</v>
      </c>
      <c r="Q200" s="128" t="b">
        <v>1</v>
      </c>
      <c r="R200" s="127" t="s">
        <v>1559</v>
      </c>
      <c r="S200" s="135" t="b">
        <v>1</v>
      </c>
      <c r="T200" s="126">
        <v>13</v>
      </c>
      <c r="U200" s="124">
        <v>1.4999999999999999E-2</v>
      </c>
      <c r="V200" s="126">
        <v>75</v>
      </c>
      <c r="W200" s="126">
        <v>-75</v>
      </c>
      <c r="X200" s="124">
        <v>50</v>
      </c>
      <c r="Y200" s="124">
        <v>5</v>
      </c>
      <c r="Z200" s="128" t="b">
        <v>1</v>
      </c>
      <c r="AA200" s="127" t="s">
        <v>1867</v>
      </c>
      <c r="AB200" s="133">
        <v>2</v>
      </c>
      <c r="AC200" s="137" t="b">
        <v>0</v>
      </c>
      <c r="AE200" s="137" t="b">
        <v>0</v>
      </c>
      <c r="AG200" s="135" t="b">
        <v>1</v>
      </c>
      <c r="AH200" s="125">
        <v>8</v>
      </c>
      <c r="AI200" s="125">
        <v>13</v>
      </c>
      <c r="AJ200" s="125">
        <v>21</v>
      </c>
      <c r="AK200" s="125">
        <v>55</v>
      </c>
      <c r="AL200" s="129" t="b">
        <v>0</v>
      </c>
      <c r="AM200" s="128" t="b">
        <v>1</v>
      </c>
      <c r="AN200" s="131" t="s">
        <v>1469</v>
      </c>
      <c r="AO200" s="141">
        <v>1.0000000000000001E-5</v>
      </c>
      <c r="AP200" s="128" t="b">
        <v>1</v>
      </c>
      <c r="AQ200" s="141">
        <v>1.0000000000000001E-5</v>
      </c>
      <c r="AR200" s="137">
        <v>5</v>
      </c>
      <c r="AS200" s="137">
        <v>13</v>
      </c>
      <c r="AT200" s="137">
        <v>5</v>
      </c>
      <c r="AU200" s="128" t="b">
        <v>1</v>
      </c>
      <c r="AV200" s="124">
        <v>3</v>
      </c>
      <c r="AW200" s="146">
        <v>5</v>
      </c>
      <c r="AX200" s="124">
        <v>1</v>
      </c>
      <c r="AY200" s="128" t="b">
        <v>1</v>
      </c>
      <c r="AZ200" s="122" t="s">
        <v>1586</v>
      </c>
      <c r="BA200" s="122">
        <v>4</v>
      </c>
      <c r="BB200" s="126">
        <v>0.05</v>
      </c>
      <c r="BC200" s="126">
        <v>0.5</v>
      </c>
      <c r="BD200" s="129" t="b">
        <v>0</v>
      </c>
      <c r="BE200" s="122" t="s">
        <v>1873</v>
      </c>
      <c r="BF200" s="128" t="b">
        <v>1</v>
      </c>
      <c r="BG200" s="122" t="s">
        <v>1578</v>
      </c>
      <c r="BH200" s="133">
        <v>0.02</v>
      </c>
      <c r="BI200" s="156" t="s">
        <v>403</v>
      </c>
      <c r="BJ200" s="128" t="b">
        <v>1</v>
      </c>
      <c r="BK200" s="161">
        <v>1.5</v>
      </c>
      <c r="BL200" s="129" t="b">
        <v>0</v>
      </c>
      <c r="BM200" s="156" t="s">
        <v>412</v>
      </c>
      <c r="BN200" s="128" t="b">
        <v>1</v>
      </c>
      <c r="BO200" s="156" t="s">
        <v>1382</v>
      </c>
      <c r="BP200" s="157">
        <v>1</v>
      </c>
      <c r="BQ200" s="157">
        <v>0.5</v>
      </c>
      <c r="BR200" s="166" t="str">
        <f t="shared" si="282"/>
        <v>8/ 13/ 21/ 55</v>
      </c>
      <c r="BS200" s="166" t="str">
        <f t="shared" si="283"/>
        <v>5 / 13 / 5</v>
      </c>
      <c r="BT200" s="166" t="str">
        <f t="shared" si="284"/>
        <v>0.05 / 0.5</v>
      </c>
      <c r="BU200" s="66">
        <v>465</v>
      </c>
      <c r="BV200" s="66">
        <v>275</v>
      </c>
      <c r="BW200" s="66">
        <v>219</v>
      </c>
      <c r="BX200" s="99">
        <f t="shared" si="285"/>
        <v>56</v>
      </c>
      <c r="BY200" s="66">
        <v>55</v>
      </c>
      <c r="BZ200" s="92">
        <f t="shared" si="286"/>
        <v>135</v>
      </c>
      <c r="CA200" s="204">
        <f t="shared" ref="CA200:CA206" si="297">IF(BU200=0,0,BV200/BU200)</f>
        <v>0.59139784946236562</v>
      </c>
      <c r="CB200" s="205">
        <f t="shared" ref="CB200:CB206" si="298">IF(BU200=0,0,BY200/BU200)</f>
        <v>0.11827956989247312</v>
      </c>
      <c r="CC200" s="87">
        <v>4.92</v>
      </c>
      <c r="CD200" s="87">
        <v>28.11</v>
      </c>
      <c r="CE200" s="87">
        <v>0.42</v>
      </c>
      <c r="CF200" s="170">
        <f t="shared" si="287"/>
        <v>1.5</v>
      </c>
      <c r="CG200" s="87">
        <v>0.7</v>
      </c>
      <c r="CH200" s="87">
        <v>0.52</v>
      </c>
      <c r="CI200" s="93">
        <v>8022.2</v>
      </c>
      <c r="CJ200" s="87">
        <v>29.17</v>
      </c>
      <c r="CK200" s="87">
        <v>26.92</v>
      </c>
      <c r="CL200" s="87">
        <v>-3.96</v>
      </c>
      <c r="CM200" s="165">
        <v>1000</v>
      </c>
      <c r="CN200" s="93">
        <v>13072.76</v>
      </c>
      <c r="CO200" s="108">
        <f t="shared" si="288"/>
        <v>14072.76</v>
      </c>
      <c r="CP200" s="108">
        <f t="shared" si="289"/>
        <v>1307.2760000000001</v>
      </c>
      <c r="CR200" s="82">
        <f t="shared" si="290"/>
        <v>12</v>
      </c>
      <c r="CS200" s="80">
        <f t="shared" si="291"/>
        <v>668.51666666666665</v>
      </c>
      <c r="CT200" s="80">
        <f t="shared" si="292"/>
        <v>1089.3966666666668</v>
      </c>
      <c r="CU200" s="80">
        <f t="shared" si="293"/>
        <v>108.93966666666668</v>
      </c>
      <c r="CW200" s="80">
        <f t="shared" si="294"/>
        <v>8022.2</v>
      </c>
      <c r="CX200" s="80">
        <f t="shared" si="295"/>
        <v>13072.76</v>
      </c>
      <c r="CY200" s="80">
        <f t="shared" si="296"/>
        <v>1307.2760000000001</v>
      </c>
    </row>
    <row r="201" spans="1:103" hidden="1" outlineLevel="1" x14ac:dyDescent="0.2">
      <c r="A201" s="120"/>
      <c r="B201" s="72"/>
      <c r="C201" s="57" t="s">
        <v>1387</v>
      </c>
      <c r="D201" s="57" t="s">
        <v>1888</v>
      </c>
      <c r="E201" s="65" t="s">
        <v>1389</v>
      </c>
      <c r="F201" s="57" t="s">
        <v>1454</v>
      </c>
      <c r="G201" s="62" t="s">
        <v>1556</v>
      </c>
      <c r="H201" s="129" t="b">
        <v>0</v>
      </c>
      <c r="J201" s="123" t="s">
        <v>1866</v>
      </c>
      <c r="K201" s="123" t="s">
        <v>1866</v>
      </c>
      <c r="L201" s="123" t="s">
        <v>1866</v>
      </c>
      <c r="M201" s="137" t="b">
        <v>0</v>
      </c>
      <c r="Q201" s="128" t="b">
        <v>1</v>
      </c>
      <c r="R201" s="127" t="s">
        <v>1559</v>
      </c>
      <c r="S201" s="135" t="b">
        <v>1</v>
      </c>
      <c r="T201" s="126">
        <v>13</v>
      </c>
      <c r="U201" s="124">
        <v>1.4999999999999999E-2</v>
      </c>
      <c r="V201" s="126">
        <v>75</v>
      </c>
      <c r="W201" s="126">
        <v>-75</v>
      </c>
      <c r="X201" s="124">
        <v>50</v>
      </c>
      <c r="Y201" s="124">
        <v>5</v>
      </c>
      <c r="Z201" s="128" t="b">
        <v>1</v>
      </c>
      <c r="AA201" s="127" t="s">
        <v>1867</v>
      </c>
      <c r="AB201" s="133">
        <v>2</v>
      </c>
      <c r="AC201" s="137" t="b">
        <v>0</v>
      </c>
      <c r="AE201" s="137" t="b">
        <v>0</v>
      </c>
      <c r="AG201" s="135" t="b">
        <v>1</v>
      </c>
      <c r="AH201" s="125">
        <v>8</v>
      </c>
      <c r="AI201" s="125">
        <v>13</v>
      </c>
      <c r="AJ201" s="125">
        <v>21</v>
      </c>
      <c r="AK201" s="125">
        <v>55</v>
      </c>
      <c r="AL201" s="129" t="b">
        <v>0</v>
      </c>
      <c r="AM201" s="128" t="b">
        <v>1</v>
      </c>
      <c r="AN201" s="131" t="s">
        <v>1469</v>
      </c>
      <c r="AO201" s="141">
        <v>1.0000000000000001E-5</v>
      </c>
      <c r="AP201" s="128" t="b">
        <v>1</v>
      </c>
      <c r="AQ201" s="141">
        <v>1.0000000000000001E-5</v>
      </c>
      <c r="AR201" s="137">
        <v>5</v>
      </c>
      <c r="AS201" s="137">
        <v>13</v>
      </c>
      <c r="AT201" s="137">
        <v>8</v>
      </c>
      <c r="AU201" s="128" t="b">
        <v>1</v>
      </c>
      <c r="AV201" s="124">
        <v>3</v>
      </c>
      <c r="AW201" s="146">
        <v>5</v>
      </c>
      <c r="AX201" s="124">
        <v>1</v>
      </c>
      <c r="AY201" s="128" t="b">
        <v>1</v>
      </c>
      <c r="AZ201" s="122" t="s">
        <v>1586</v>
      </c>
      <c r="BA201" s="122">
        <v>4</v>
      </c>
      <c r="BB201" s="126">
        <v>0.05</v>
      </c>
      <c r="BC201" s="126">
        <v>0.5</v>
      </c>
      <c r="BD201" s="129" t="b">
        <v>0</v>
      </c>
      <c r="BE201" s="122" t="s">
        <v>1873</v>
      </c>
      <c r="BF201" s="128" t="b">
        <v>1</v>
      </c>
      <c r="BG201" s="122" t="s">
        <v>1578</v>
      </c>
      <c r="BH201" s="133">
        <v>0.02</v>
      </c>
      <c r="BI201" s="156" t="s">
        <v>403</v>
      </c>
      <c r="BJ201" s="128" t="b">
        <v>1</v>
      </c>
      <c r="BK201" s="161">
        <v>1.5</v>
      </c>
      <c r="BL201" s="129" t="b">
        <v>0</v>
      </c>
      <c r="BM201" s="156" t="s">
        <v>412</v>
      </c>
      <c r="BN201" s="128" t="b">
        <v>1</v>
      </c>
      <c r="BO201" s="156" t="s">
        <v>1382</v>
      </c>
      <c r="BP201" s="157">
        <v>1</v>
      </c>
      <c r="BQ201" s="157">
        <v>0.5</v>
      </c>
      <c r="BR201" s="166" t="str">
        <f t="shared" si="282"/>
        <v>8/ 13/ 21/ 55</v>
      </c>
      <c r="BS201" s="166" t="str">
        <f t="shared" si="283"/>
        <v>5 / 13 / 8</v>
      </c>
      <c r="BT201" s="166" t="str">
        <f t="shared" si="284"/>
        <v>0.05 / 0.5</v>
      </c>
      <c r="BU201" s="66">
        <v>464</v>
      </c>
      <c r="BV201" s="66">
        <v>278</v>
      </c>
      <c r="BW201" s="66">
        <v>220</v>
      </c>
      <c r="BX201" s="99">
        <f t="shared" si="285"/>
        <v>58</v>
      </c>
      <c r="BY201" s="66">
        <v>55</v>
      </c>
      <c r="BZ201" s="92">
        <f t="shared" si="286"/>
        <v>131</v>
      </c>
      <c r="CA201" s="204">
        <f t="shared" si="297"/>
        <v>0.59913793103448276</v>
      </c>
      <c r="CB201" s="205">
        <f t="shared" si="298"/>
        <v>0.11853448275862069</v>
      </c>
      <c r="CC201" s="87">
        <v>5</v>
      </c>
      <c r="CD201" s="87">
        <v>28.88</v>
      </c>
      <c r="CE201" s="87">
        <v>0.42</v>
      </c>
      <c r="CF201" s="170">
        <f t="shared" si="287"/>
        <v>1.5</v>
      </c>
      <c r="CG201" s="87">
        <v>0.7</v>
      </c>
      <c r="CH201" s="87">
        <v>0.51</v>
      </c>
      <c r="CI201" s="93">
        <v>8134.9</v>
      </c>
      <c r="CJ201" s="87">
        <v>29.26</v>
      </c>
      <c r="CK201" s="87">
        <v>27.42</v>
      </c>
      <c r="CL201" s="87">
        <v>-3.96</v>
      </c>
      <c r="CM201" s="165">
        <v>1000</v>
      </c>
      <c r="CN201" s="93">
        <v>13402.04</v>
      </c>
      <c r="CO201" s="108">
        <f t="shared" si="288"/>
        <v>14402.04</v>
      </c>
      <c r="CP201" s="108">
        <f t="shared" si="289"/>
        <v>1340.2040000000002</v>
      </c>
      <c r="CR201" s="82">
        <f t="shared" si="290"/>
        <v>12</v>
      </c>
      <c r="CS201" s="80">
        <f t="shared" si="291"/>
        <v>677.9083333333333</v>
      </c>
      <c r="CT201" s="80">
        <f t="shared" si="292"/>
        <v>1116.8366666666668</v>
      </c>
      <c r="CU201" s="80">
        <f t="shared" si="293"/>
        <v>111.68366666666668</v>
      </c>
      <c r="CW201" s="80">
        <f t="shared" si="294"/>
        <v>8134.9</v>
      </c>
      <c r="CX201" s="80">
        <f t="shared" si="295"/>
        <v>13402.04</v>
      </c>
      <c r="CY201" s="80">
        <f t="shared" si="296"/>
        <v>1340.2040000000002</v>
      </c>
    </row>
    <row r="202" spans="1:103" hidden="1" outlineLevel="1" x14ac:dyDescent="0.2">
      <c r="A202" s="120"/>
      <c r="B202" s="72"/>
      <c r="C202" s="57" t="s">
        <v>1387</v>
      </c>
      <c r="D202" s="57" t="s">
        <v>1888</v>
      </c>
      <c r="E202" s="65" t="s">
        <v>1389</v>
      </c>
      <c r="F202" s="57" t="s">
        <v>1454</v>
      </c>
      <c r="G202" s="62" t="s">
        <v>1556</v>
      </c>
      <c r="H202" s="129" t="b">
        <v>0</v>
      </c>
      <c r="J202" s="123" t="s">
        <v>1866</v>
      </c>
      <c r="K202" s="123" t="s">
        <v>1866</v>
      </c>
      <c r="L202" s="123" t="s">
        <v>1866</v>
      </c>
      <c r="M202" s="137" t="b">
        <v>0</v>
      </c>
      <c r="Q202" s="128" t="b">
        <v>1</v>
      </c>
      <c r="R202" s="127" t="s">
        <v>1559</v>
      </c>
      <c r="S202" s="135" t="b">
        <v>1</v>
      </c>
      <c r="T202" s="126">
        <v>13</v>
      </c>
      <c r="U202" s="124">
        <v>1.4999999999999999E-2</v>
      </c>
      <c r="V202" s="126">
        <v>75</v>
      </c>
      <c r="W202" s="126">
        <v>-75</v>
      </c>
      <c r="X202" s="124">
        <v>50</v>
      </c>
      <c r="Y202" s="124">
        <v>5</v>
      </c>
      <c r="Z202" s="128" t="b">
        <v>1</v>
      </c>
      <c r="AA202" s="127" t="s">
        <v>1867</v>
      </c>
      <c r="AB202" s="133">
        <v>2</v>
      </c>
      <c r="AC202" s="137" t="b">
        <v>0</v>
      </c>
      <c r="AE202" s="137" t="b">
        <v>0</v>
      </c>
      <c r="AG202" s="135" t="b">
        <v>1</v>
      </c>
      <c r="AH202" s="125">
        <v>8</v>
      </c>
      <c r="AI202" s="125">
        <v>13</v>
      </c>
      <c r="AJ202" s="125">
        <v>21</v>
      </c>
      <c r="AK202" s="125">
        <v>55</v>
      </c>
      <c r="AL202" s="129" t="b">
        <v>0</v>
      </c>
      <c r="AM202" s="128" t="b">
        <v>1</v>
      </c>
      <c r="AN202" s="131" t="s">
        <v>1469</v>
      </c>
      <c r="AO202" s="141">
        <v>1.0000000000000001E-5</v>
      </c>
      <c r="AP202" s="128" t="b">
        <v>1</v>
      </c>
      <c r="AQ202" s="141">
        <v>1.0000000000000001E-5</v>
      </c>
      <c r="AR202" s="149">
        <v>8</v>
      </c>
      <c r="AS202" s="149">
        <v>13</v>
      </c>
      <c r="AT202" s="149">
        <v>8</v>
      </c>
      <c r="AU202" s="128" t="b">
        <v>1</v>
      </c>
      <c r="AV202" s="124">
        <v>3</v>
      </c>
      <c r="AW202" s="146">
        <v>5</v>
      </c>
      <c r="AX202" s="124">
        <v>1</v>
      </c>
      <c r="AY202" s="128" t="b">
        <v>1</v>
      </c>
      <c r="AZ202" s="122" t="s">
        <v>1586</v>
      </c>
      <c r="BA202" s="122">
        <v>4</v>
      </c>
      <c r="BB202" s="126">
        <v>0.05</v>
      </c>
      <c r="BC202" s="126">
        <v>0.5</v>
      </c>
      <c r="BD202" s="129" t="b">
        <v>0</v>
      </c>
      <c r="BE202" s="122" t="s">
        <v>1873</v>
      </c>
      <c r="BF202" s="128" t="b">
        <v>1</v>
      </c>
      <c r="BG202" s="122" t="s">
        <v>1578</v>
      </c>
      <c r="BH202" s="133">
        <v>0.02</v>
      </c>
      <c r="BI202" s="156" t="s">
        <v>403</v>
      </c>
      <c r="BJ202" s="128" t="b">
        <v>1</v>
      </c>
      <c r="BK202" s="161">
        <v>1.5</v>
      </c>
      <c r="BL202" s="129" t="b">
        <v>0</v>
      </c>
      <c r="BM202" s="156" t="s">
        <v>412</v>
      </c>
      <c r="BN202" s="128" t="b">
        <v>1</v>
      </c>
      <c r="BO202" s="156" t="s">
        <v>1382</v>
      </c>
      <c r="BP202" s="157">
        <v>1</v>
      </c>
      <c r="BQ202" s="157">
        <v>0.5</v>
      </c>
      <c r="BR202" s="166" t="str">
        <f t="shared" si="282"/>
        <v>8/ 13/ 21/ 55</v>
      </c>
      <c r="BS202" s="166" t="str">
        <f t="shared" si="283"/>
        <v>8 / 13 / 8</v>
      </c>
      <c r="BT202" s="166" t="str">
        <f t="shared" si="284"/>
        <v>0.05 / 0.5</v>
      </c>
      <c r="BU202" s="66">
        <v>455</v>
      </c>
      <c r="BV202" s="66">
        <v>273</v>
      </c>
      <c r="BW202" s="66">
        <v>216</v>
      </c>
      <c r="BX202" s="99">
        <f t="shared" si="285"/>
        <v>57</v>
      </c>
      <c r="BY202" s="66">
        <v>53</v>
      </c>
      <c r="BZ202" s="92">
        <f t="shared" si="286"/>
        <v>129</v>
      </c>
      <c r="CA202" s="204">
        <f t="shared" si="297"/>
        <v>0.6</v>
      </c>
      <c r="CB202" s="205">
        <f t="shared" si="298"/>
        <v>0.11648351648351649</v>
      </c>
      <c r="CC202" s="87">
        <v>5.19</v>
      </c>
      <c r="CD202" s="87">
        <v>29.47</v>
      </c>
      <c r="CE202" s="87">
        <v>0.43</v>
      </c>
      <c r="CF202" s="170">
        <f t="shared" si="287"/>
        <v>1.5</v>
      </c>
      <c r="CG202" s="87">
        <v>0.7</v>
      </c>
      <c r="CH202" s="87">
        <v>0.52</v>
      </c>
      <c r="CI202" s="93">
        <v>8015.5</v>
      </c>
      <c r="CJ202" s="87">
        <v>29.36</v>
      </c>
      <c r="CK202" s="87">
        <v>27.1</v>
      </c>
      <c r="CL202" s="87">
        <v>-3.96</v>
      </c>
      <c r="CM202" s="165">
        <v>1000</v>
      </c>
      <c r="CN202" s="93">
        <v>13410.27</v>
      </c>
      <c r="CO202" s="108">
        <f t="shared" si="288"/>
        <v>14410.27</v>
      </c>
      <c r="CP202" s="108">
        <f t="shared" si="289"/>
        <v>1341.027</v>
      </c>
      <c r="CR202" s="82">
        <f t="shared" si="290"/>
        <v>12</v>
      </c>
      <c r="CS202" s="80">
        <f t="shared" si="291"/>
        <v>667.95833333333337</v>
      </c>
      <c r="CT202" s="80">
        <f t="shared" si="292"/>
        <v>1117.5225</v>
      </c>
      <c r="CU202" s="80">
        <f t="shared" si="293"/>
        <v>111.75225</v>
      </c>
      <c r="CW202" s="80">
        <f t="shared" si="294"/>
        <v>8015.5</v>
      </c>
      <c r="CX202" s="80">
        <f t="shared" si="295"/>
        <v>13410.27</v>
      </c>
      <c r="CY202" s="80">
        <f t="shared" si="296"/>
        <v>1341.027</v>
      </c>
    </row>
    <row r="203" spans="1:103" hidden="1" outlineLevel="1" x14ac:dyDescent="0.2">
      <c r="A203" s="120"/>
      <c r="B203" s="72"/>
      <c r="C203" s="57" t="s">
        <v>1387</v>
      </c>
      <c r="D203" s="57" t="s">
        <v>1888</v>
      </c>
      <c r="E203" s="65" t="s">
        <v>1389</v>
      </c>
      <c r="F203" s="57" t="s">
        <v>1454</v>
      </c>
      <c r="G203" s="62" t="s">
        <v>1556</v>
      </c>
      <c r="H203" s="129" t="b">
        <v>0</v>
      </c>
      <c r="J203" s="123" t="s">
        <v>1866</v>
      </c>
      <c r="K203" s="123" t="s">
        <v>1866</v>
      </c>
      <c r="L203" s="123" t="s">
        <v>1866</v>
      </c>
      <c r="M203" s="137" t="b">
        <v>0</v>
      </c>
      <c r="Q203" s="128" t="b">
        <v>1</v>
      </c>
      <c r="R203" s="127" t="s">
        <v>1559</v>
      </c>
      <c r="S203" s="135" t="b">
        <v>1</v>
      </c>
      <c r="T203" s="126">
        <v>13</v>
      </c>
      <c r="U203" s="124">
        <v>1.4999999999999999E-2</v>
      </c>
      <c r="V203" s="126">
        <v>75</v>
      </c>
      <c r="W203" s="126">
        <v>-75</v>
      </c>
      <c r="X203" s="124">
        <v>50</v>
      </c>
      <c r="Y203" s="124">
        <v>5</v>
      </c>
      <c r="Z203" s="128" t="b">
        <v>1</v>
      </c>
      <c r="AA203" s="127" t="s">
        <v>1867</v>
      </c>
      <c r="AB203" s="133">
        <v>2</v>
      </c>
      <c r="AC203" s="137" t="b">
        <v>0</v>
      </c>
      <c r="AE203" s="137" t="b">
        <v>0</v>
      </c>
      <c r="AG203" s="135" t="b">
        <v>1</v>
      </c>
      <c r="AH203" s="125">
        <v>8</v>
      </c>
      <c r="AI203" s="125">
        <v>13</v>
      </c>
      <c r="AJ203" s="125">
        <v>21</v>
      </c>
      <c r="AK203" s="125">
        <v>55</v>
      </c>
      <c r="AL203" s="129" t="b">
        <v>0</v>
      </c>
      <c r="AM203" s="128" t="b">
        <v>1</v>
      </c>
      <c r="AN203" s="131" t="s">
        <v>1469</v>
      </c>
      <c r="AO203" s="141">
        <v>1.0000000000000001E-5</v>
      </c>
      <c r="AP203" s="128" t="b">
        <v>1</v>
      </c>
      <c r="AQ203" s="141">
        <v>1.0000000000000001E-5</v>
      </c>
      <c r="AR203" s="149">
        <v>8</v>
      </c>
      <c r="AS203" s="149">
        <v>13</v>
      </c>
      <c r="AT203" s="149">
        <v>11</v>
      </c>
      <c r="AU203" s="128" t="b">
        <v>1</v>
      </c>
      <c r="AV203" s="124">
        <v>3</v>
      </c>
      <c r="AW203" s="146">
        <v>5</v>
      </c>
      <c r="AX203" s="124">
        <v>1</v>
      </c>
      <c r="AY203" s="128" t="b">
        <v>1</v>
      </c>
      <c r="AZ203" s="122" t="s">
        <v>1586</v>
      </c>
      <c r="BA203" s="122">
        <v>4</v>
      </c>
      <c r="BB203" s="126">
        <v>0.05</v>
      </c>
      <c r="BC203" s="126">
        <v>0.5</v>
      </c>
      <c r="BD203" s="129" t="b">
        <v>0</v>
      </c>
      <c r="BE203" s="122" t="s">
        <v>1873</v>
      </c>
      <c r="BF203" s="128" t="b">
        <v>1</v>
      </c>
      <c r="BG203" s="122" t="s">
        <v>1578</v>
      </c>
      <c r="BH203" s="133">
        <v>0.02</v>
      </c>
      <c r="BI203" s="156" t="s">
        <v>403</v>
      </c>
      <c r="BJ203" s="128" t="b">
        <v>1</v>
      </c>
      <c r="BK203" s="161">
        <v>1.5</v>
      </c>
      <c r="BL203" s="129" t="b">
        <v>0</v>
      </c>
      <c r="BM203" s="156" t="s">
        <v>412</v>
      </c>
      <c r="BN203" s="128" t="b">
        <v>1</v>
      </c>
      <c r="BO203" s="156" t="s">
        <v>1382</v>
      </c>
      <c r="BP203" s="157">
        <v>1</v>
      </c>
      <c r="BQ203" s="157">
        <v>0.5</v>
      </c>
      <c r="BR203" s="166" t="str">
        <f t="shared" si="282"/>
        <v>8/ 13/ 21/ 55</v>
      </c>
      <c r="BS203" s="166" t="str">
        <f t="shared" si="283"/>
        <v>8 / 13 / 11</v>
      </c>
      <c r="BT203" s="166" t="str">
        <f t="shared" si="284"/>
        <v>0.05 / 0.5</v>
      </c>
      <c r="BU203" s="66">
        <v>450</v>
      </c>
      <c r="BV203" s="66">
        <v>272</v>
      </c>
      <c r="BW203" s="66">
        <v>217</v>
      </c>
      <c r="BX203" s="99">
        <f t="shared" si="285"/>
        <v>55</v>
      </c>
      <c r="BY203" s="66">
        <v>53</v>
      </c>
      <c r="BZ203" s="92">
        <f t="shared" si="286"/>
        <v>125</v>
      </c>
      <c r="CA203" s="204">
        <f t="shared" si="297"/>
        <v>0.60444444444444445</v>
      </c>
      <c r="CB203" s="205">
        <f t="shared" si="298"/>
        <v>0.11777777777777777</v>
      </c>
      <c r="CC203" s="87">
        <v>5.15</v>
      </c>
      <c r="CD203" s="87">
        <v>29.1</v>
      </c>
      <c r="CE203" s="87">
        <v>0.43</v>
      </c>
      <c r="CF203" s="170">
        <f t="shared" si="287"/>
        <v>1.5</v>
      </c>
      <c r="CG203" s="87">
        <v>0.69</v>
      </c>
      <c r="CH203" s="87">
        <v>0.52</v>
      </c>
      <c r="CI203" s="93">
        <v>7937.9</v>
      </c>
      <c r="CJ203" s="87">
        <v>29.18</v>
      </c>
      <c r="CK203" s="87">
        <v>27.2</v>
      </c>
      <c r="CL203" s="87">
        <v>-4.3</v>
      </c>
      <c r="CM203" s="165">
        <v>1000</v>
      </c>
      <c r="CN203" s="93">
        <v>13094.83</v>
      </c>
      <c r="CO203" s="108">
        <f t="shared" si="288"/>
        <v>14094.83</v>
      </c>
      <c r="CP203" s="108">
        <f t="shared" si="289"/>
        <v>1309.4829999999999</v>
      </c>
      <c r="CR203" s="82">
        <f t="shared" si="290"/>
        <v>12</v>
      </c>
      <c r="CS203" s="80">
        <f t="shared" si="291"/>
        <v>661.49166666666667</v>
      </c>
      <c r="CT203" s="80">
        <f t="shared" si="292"/>
        <v>1091.2358333333334</v>
      </c>
      <c r="CU203" s="80">
        <f t="shared" si="293"/>
        <v>109.12358333333334</v>
      </c>
      <c r="CW203" s="80">
        <f t="shared" si="294"/>
        <v>7937.9</v>
      </c>
      <c r="CX203" s="80">
        <f t="shared" si="295"/>
        <v>13094.83</v>
      </c>
      <c r="CY203" s="80">
        <f t="shared" si="296"/>
        <v>1309.4829999999999</v>
      </c>
    </row>
    <row r="204" spans="1:103" hidden="1" outlineLevel="1" x14ac:dyDescent="0.2">
      <c r="A204" s="120"/>
      <c r="B204" s="72"/>
      <c r="C204" s="57" t="s">
        <v>1387</v>
      </c>
      <c r="D204" s="57" t="s">
        <v>1888</v>
      </c>
      <c r="E204" s="65" t="s">
        <v>1389</v>
      </c>
      <c r="F204" s="57" t="s">
        <v>1454</v>
      </c>
      <c r="G204" s="62" t="s">
        <v>1556</v>
      </c>
      <c r="H204" s="129" t="b">
        <v>0</v>
      </c>
      <c r="J204" s="123" t="s">
        <v>1866</v>
      </c>
      <c r="K204" s="123" t="s">
        <v>1866</v>
      </c>
      <c r="L204" s="123" t="s">
        <v>1866</v>
      </c>
      <c r="M204" s="137" t="b">
        <v>0</v>
      </c>
      <c r="Q204" s="128" t="b">
        <v>1</v>
      </c>
      <c r="R204" s="127" t="s">
        <v>1559</v>
      </c>
      <c r="S204" s="135" t="b">
        <v>1</v>
      </c>
      <c r="T204" s="126">
        <v>13</v>
      </c>
      <c r="U204" s="124">
        <v>1.4999999999999999E-2</v>
      </c>
      <c r="V204" s="126">
        <v>75</v>
      </c>
      <c r="W204" s="126">
        <v>-75</v>
      </c>
      <c r="X204" s="124">
        <v>50</v>
      </c>
      <c r="Y204" s="124">
        <v>5</v>
      </c>
      <c r="Z204" s="128" t="b">
        <v>1</v>
      </c>
      <c r="AA204" s="127" t="s">
        <v>1867</v>
      </c>
      <c r="AB204" s="133">
        <v>2</v>
      </c>
      <c r="AC204" s="137" t="b">
        <v>0</v>
      </c>
      <c r="AE204" s="137" t="b">
        <v>0</v>
      </c>
      <c r="AG204" s="135" t="b">
        <v>1</v>
      </c>
      <c r="AH204" s="125">
        <v>8</v>
      </c>
      <c r="AI204" s="125">
        <v>13</v>
      </c>
      <c r="AJ204" s="125">
        <v>21</v>
      </c>
      <c r="AK204" s="125">
        <v>55</v>
      </c>
      <c r="AL204" s="129" t="b">
        <v>0</v>
      </c>
      <c r="AM204" s="128" t="b">
        <v>1</v>
      </c>
      <c r="AN204" s="131" t="s">
        <v>1469</v>
      </c>
      <c r="AO204" s="141">
        <v>1.0000000000000001E-5</v>
      </c>
      <c r="AP204" s="128" t="b">
        <v>1</v>
      </c>
      <c r="AQ204" s="141">
        <v>1.0000000000000001E-5</v>
      </c>
      <c r="AR204" s="150">
        <v>8</v>
      </c>
      <c r="AS204" s="150">
        <v>17</v>
      </c>
      <c r="AT204" s="150">
        <v>9</v>
      </c>
      <c r="AU204" s="128" t="b">
        <v>1</v>
      </c>
      <c r="AV204" s="124">
        <v>3</v>
      </c>
      <c r="AW204" s="146">
        <v>5</v>
      </c>
      <c r="AX204" s="124">
        <v>1</v>
      </c>
      <c r="AY204" s="128" t="b">
        <v>1</v>
      </c>
      <c r="AZ204" s="122" t="s">
        <v>1586</v>
      </c>
      <c r="BA204" s="122">
        <v>4</v>
      </c>
      <c r="BB204" s="126">
        <v>0.05</v>
      </c>
      <c r="BC204" s="126">
        <v>0.5</v>
      </c>
      <c r="BD204" s="129" t="b">
        <v>0</v>
      </c>
      <c r="BE204" s="122" t="s">
        <v>1873</v>
      </c>
      <c r="BF204" s="128" t="b">
        <v>1</v>
      </c>
      <c r="BG204" s="122" t="s">
        <v>1578</v>
      </c>
      <c r="BH204" s="133">
        <v>0.02</v>
      </c>
      <c r="BI204" s="156" t="s">
        <v>403</v>
      </c>
      <c r="BJ204" s="128" t="b">
        <v>1</v>
      </c>
      <c r="BK204" s="161">
        <v>1.5</v>
      </c>
      <c r="BL204" s="129" t="b">
        <v>0</v>
      </c>
      <c r="BM204" s="156" t="s">
        <v>412</v>
      </c>
      <c r="BN204" s="128" t="b">
        <v>1</v>
      </c>
      <c r="BO204" s="156" t="s">
        <v>1382</v>
      </c>
      <c r="BP204" s="157">
        <v>1</v>
      </c>
      <c r="BQ204" s="157">
        <v>0.5</v>
      </c>
      <c r="BR204" s="166" t="str">
        <f t="shared" si="282"/>
        <v>8/ 13/ 21/ 55</v>
      </c>
      <c r="BS204" s="166" t="str">
        <f t="shared" si="283"/>
        <v>8 / 17 / 9</v>
      </c>
      <c r="BT204" s="166" t="str">
        <f t="shared" si="284"/>
        <v>0.05 / 0.5</v>
      </c>
      <c r="BU204" s="66">
        <v>450</v>
      </c>
      <c r="BV204" s="66">
        <v>274</v>
      </c>
      <c r="BW204" s="66">
        <v>220</v>
      </c>
      <c r="BX204" s="99">
        <f t="shared" si="285"/>
        <v>54</v>
      </c>
      <c r="BY204" s="66">
        <v>52</v>
      </c>
      <c r="BZ204" s="92">
        <f t="shared" si="286"/>
        <v>124</v>
      </c>
      <c r="CA204" s="204">
        <f t="shared" si="297"/>
        <v>0.60888888888888892</v>
      </c>
      <c r="CB204" s="205">
        <f t="shared" si="298"/>
        <v>0.11555555555555555</v>
      </c>
      <c r="CC204" s="87">
        <v>5.36</v>
      </c>
      <c r="CD204" s="87">
        <v>29.51</v>
      </c>
      <c r="CE204" s="87">
        <v>0.44</v>
      </c>
      <c r="CF204" s="170">
        <f t="shared" si="287"/>
        <v>1.5</v>
      </c>
      <c r="CG204" s="87">
        <v>0.69</v>
      </c>
      <c r="CH204" s="87">
        <v>0.51</v>
      </c>
      <c r="CI204" s="93">
        <v>7919.1</v>
      </c>
      <c r="CJ204" s="87">
        <v>28.9</v>
      </c>
      <c r="CK204" s="87">
        <v>27.01</v>
      </c>
      <c r="CL204" s="87">
        <v>-4.3</v>
      </c>
      <c r="CM204" s="165">
        <v>1000</v>
      </c>
      <c r="CN204" s="93">
        <v>13279.75</v>
      </c>
      <c r="CO204" s="108">
        <f t="shared" si="288"/>
        <v>14279.75</v>
      </c>
      <c r="CP204" s="108">
        <f t="shared" si="289"/>
        <v>1327.9749999999999</v>
      </c>
      <c r="CR204" s="82">
        <f t="shared" si="290"/>
        <v>12</v>
      </c>
      <c r="CS204" s="80">
        <f t="shared" si="291"/>
        <v>659.92500000000007</v>
      </c>
      <c r="CT204" s="80">
        <f t="shared" si="292"/>
        <v>1106.6458333333333</v>
      </c>
      <c r="CU204" s="80">
        <f t="shared" si="293"/>
        <v>110.66458333333333</v>
      </c>
      <c r="CW204" s="80">
        <f t="shared" si="294"/>
        <v>7919.1</v>
      </c>
      <c r="CX204" s="80">
        <f t="shared" si="295"/>
        <v>13279.75</v>
      </c>
      <c r="CY204" s="80">
        <f t="shared" si="296"/>
        <v>1327.9749999999999</v>
      </c>
    </row>
    <row r="205" spans="1:103" hidden="1" outlineLevel="1" x14ac:dyDescent="0.2">
      <c r="A205" s="120"/>
      <c r="B205" s="72"/>
      <c r="C205" s="57" t="s">
        <v>1387</v>
      </c>
      <c r="D205" s="57" t="s">
        <v>1888</v>
      </c>
      <c r="E205" s="65" t="s">
        <v>1389</v>
      </c>
      <c r="F205" s="57" t="s">
        <v>1454</v>
      </c>
      <c r="G205" s="62" t="s">
        <v>1556</v>
      </c>
      <c r="H205" s="129" t="b">
        <v>0</v>
      </c>
      <c r="J205" s="123" t="s">
        <v>1866</v>
      </c>
      <c r="K205" s="123" t="s">
        <v>1866</v>
      </c>
      <c r="L205" s="123" t="s">
        <v>1866</v>
      </c>
      <c r="M205" s="137" t="b">
        <v>0</v>
      </c>
      <c r="Q205" s="128" t="b">
        <v>1</v>
      </c>
      <c r="R205" s="127" t="s">
        <v>1559</v>
      </c>
      <c r="S205" s="135" t="b">
        <v>1</v>
      </c>
      <c r="T205" s="126">
        <v>13</v>
      </c>
      <c r="U205" s="124">
        <v>1.4999999999999999E-2</v>
      </c>
      <c r="V205" s="126">
        <v>75</v>
      </c>
      <c r="W205" s="126">
        <v>-75</v>
      </c>
      <c r="X205" s="124">
        <v>50</v>
      </c>
      <c r="Y205" s="124">
        <v>5</v>
      </c>
      <c r="Z205" s="128" t="b">
        <v>1</v>
      </c>
      <c r="AA205" s="127" t="s">
        <v>1867</v>
      </c>
      <c r="AB205" s="133">
        <v>2</v>
      </c>
      <c r="AC205" s="137" t="b">
        <v>0</v>
      </c>
      <c r="AE205" s="137" t="b">
        <v>0</v>
      </c>
      <c r="AG205" s="135" t="b">
        <v>1</v>
      </c>
      <c r="AH205" s="125">
        <v>8</v>
      </c>
      <c r="AI205" s="125">
        <v>13</v>
      </c>
      <c r="AJ205" s="125">
        <v>21</v>
      </c>
      <c r="AK205" s="125">
        <v>55</v>
      </c>
      <c r="AL205" s="129" t="b">
        <v>0</v>
      </c>
      <c r="AM205" s="128" t="b">
        <v>1</v>
      </c>
      <c r="AN205" s="131" t="s">
        <v>1469</v>
      </c>
      <c r="AO205" s="141">
        <v>1.0000000000000001E-5</v>
      </c>
      <c r="AP205" s="128" t="b">
        <v>1</v>
      </c>
      <c r="AQ205" s="141">
        <v>1.0000000000000001E-5</v>
      </c>
      <c r="AR205" s="152">
        <v>12</v>
      </c>
      <c r="AS205" s="152">
        <v>26</v>
      </c>
      <c r="AT205" s="152">
        <v>9</v>
      </c>
      <c r="AU205" s="128" t="b">
        <v>1</v>
      </c>
      <c r="AV205" s="124">
        <v>3</v>
      </c>
      <c r="AW205" s="146">
        <v>5</v>
      </c>
      <c r="AX205" s="124">
        <v>1</v>
      </c>
      <c r="AY205" s="128" t="b">
        <v>1</v>
      </c>
      <c r="AZ205" s="122" t="s">
        <v>1586</v>
      </c>
      <c r="BA205" s="122">
        <v>4</v>
      </c>
      <c r="BB205" s="126">
        <v>0.05</v>
      </c>
      <c r="BC205" s="126">
        <v>0.5</v>
      </c>
      <c r="BD205" s="129" t="b">
        <v>0</v>
      </c>
      <c r="BE205" s="122" t="s">
        <v>1873</v>
      </c>
      <c r="BF205" s="128" t="b">
        <v>1</v>
      </c>
      <c r="BG205" s="122" t="s">
        <v>1578</v>
      </c>
      <c r="BH205" s="133">
        <v>0.02</v>
      </c>
      <c r="BI205" s="156" t="s">
        <v>403</v>
      </c>
      <c r="BJ205" s="128" t="b">
        <v>1</v>
      </c>
      <c r="BK205" s="161">
        <v>1.5</v>
      </c>
      <c r="BL205" s="129" t="b">
        <v>0</v>
      </c>
      <c r="BM205" s="156" t="s">
        <v>412</v>
      </c>
      <c r="BN205" s="128" t="b">
        <v>1</v>
      </c>
      <c r="BO205" s="156" t="s">
        <v>1382</v>
      </c>
      <c r="BP205" s="157">
        <v>1</v>
      </c>
      <c r="BQ205" s="157">
        <v>0.5</v>
      </c>
      <c r="BR205" s="166" t="str">
        <f t="shared" si="282"/>
        <v>8/ 13/ 21/ 55</v>
      </c>
      <c r="BS205" s="166" t="str">
        <f t="shared" si="283"/>
        <v>12 / 26 / 9</v>
      </c>
      <c r="BT205" s="166" t="str">
        <f t="shared" si="284"/>
        <v>0.05 / 0.5</v>
      </c>
      <c r="BU205" s="66">
        <v>461</v>
      </c>
      <c r="BV205" s="66">
        <v>272</v>
      </c>
      <c r="BW205" s="66">
        <v>214</v>
      </c>
      <c r="BX205" s="99">
        <f t="shared" si="285"/>
        <v>58</v>
      </c>
      <c r="BY205" s="66">
        <v>56</v>
      </c>
      <c r="BZ205" s="92">
        <f t="shared" si="286"/>
        <v>133</v>
      </c>
      <c r="CA205" s="204">
        <f t="shared" si="297"/>
        <v>0.59002169197396959</v>
      </c>
      <c r="CB205" s="205">
        <f t="shared" si="298"/>
        <v>0.12147505422993492</v>
      </c>
      <c r="CC205" s="87">
        <v>4.82</v>
      </c>
      <c r="CD205" s="87">
        <v>29.86</v>
      </c>
      <c r="CE205" s="87">
        <v>0.42</v>
      </c>
      <c r="CF205" s="170">
        <f t="shared" si="287"/>
        <v>1.5</v>
      </c>
      <c r="CG205" s="87">
        <v>0.71</v>
      </c>
      <c r="CH205" s="87">
        <v>0.52</v>
      </c>
      <c r="CI205" s="93">
        <v>7847.6</v>
      </c>
      <c r="CJ205" s="87">
        <v>28.85</v>
      </c>
      <c r="CK205" s="87">
        <v>26.53</v>
      </c>
      <c r="CL205" s="87">
        <v>-4.84</v>
      </c>
      <c r="CM205" s="165">
        <v>1000</v>
      </c>
      <c r="CN205" s="208">
        <v>13763.13</v>
      </c>
      <c r="CO205" s="209">
        <f t="shared" si="288"/>
        <v>14763.13</v>
      </c>
      <c r="CP205" s="209">
        <f t="shared" si="289"/>
        <v>1376.3129999999999</v>
      </c>
      <c r="CR205" s="82">
        <f t="shared" si="290"/>
        <v>12</v>
      </c>
      <c r="CS205" s="80">
        <f t="shared" si="291"/>
        <v>653.9666666666667</v>
      </c>
      <c r="CT205" s="80">
        <f t="shared" si="292"/>
        <v>1146.9275</v>
      </c>
      <c r="CU205" s="80">
        <f t="shared" si="293"/>
        <v>114.69275</v>
      </c>
      <c r="CW205" s="80">
        <f t="shared" si="294"/>
        <v>7847.6</v>
      </c>
      <c r="CX205" s="80">
        <f t="shared" si="295"/>
        <v>13763.13</v>
      </c>
      <c r="CY205" s="80">
        <f t="shared" si="296"/>
        <v>1376.3129999999999</v>
      </c>
    </row>
    <row r="206" spans="1:103" hidden="1" outlineLevel="1" x14ac:dyDescent="0.2">
      <c r="A206" s="120"/>
      <c r="B206" s="72"/>
      <c r="C206" s="57" t="s">
        <v>1387</v>
      </c>
      <c r="D206" s="57" t="s">
        <v>1888</v>
      </c>
      <c r="E206" s="65" t="s">
        <v>1389</v>
      </c>
      <c r="F206" s="57" t="s">
        <v>1454</v>
      </c>
      <c r="G206" s="62" t="s">
        <v>1556</v>
      </c>
      <c r="H206" s="129" t="b">
        <v>0</v>
      </c>
      <c r="J206" s="123" t="s">
        <v>1866</v>
      </c>
      <c r="K206" s="123" t="s">
        <v>1866</v>
      </c>
      <c r="L206" s="123" t="s">
        <v>1866</v>
      </c>
      <c r="M206" s="137" t="b">
        <v>0</v>
      </c>
      <c r="Q206" s="128" t="b">
        <v>1</v>
      </c>
      <c r="R206" s="127" t="s">
        <v>1559</v>
      </c>
      <c r="S206" s="135" t="b">
        <v>1</v>
      </c>
      <c r="T206" s="126">
        <v>13</v>
      </c>
      <c r="U206" s="124">
        <v>1.4999999999999999E-2</v>
      </c>
      <c r="V206" s="126">
        <v>75</v>
      </c>
      <c r="W206" s="126">
        <v>-75</v>
      </c>
      <c r="X206" s="124">
        <v>50</v>
      </c>
      <c r="Y206" s="124">
        <v>5</v>
      </c>
      <c r="Z206" s="128" t="b">
        <v>1</v>
      </c>
      <c r="AA206" s="127" t="s">
        <v>1867</v>
      </c>
      <c r="AB206" s="133">
        <v>2</v>
      </c>
      <c r="AC206" s="137" t="b">
        <v>0</v>
      </c>
      <c r="AE206" s="137" t="b">
        <v>0</v>
      </c>
      <c r="AG206" s="135" t="b">
        <v>1</v>
      </c>
      <c r="AH206" s="125">
        <v>8</v>
      </c>
      <c r="AI206" s="125">
        <v>13</v>
      </c>
      <c r="AJ206" s="125">
        <v>21</v>
      </c>
      <c r="AK206" s="125">
        <v>55</v>
      </c>
      <c r="AL206" s="129" t="b">
        <v>0</v>
      </c>
      <c r="AM206" s="128" t="b">
        <v>1</v>
      </c>
      <c r="AN206" s="131" t="s">
        <v>1469</v>
      </c>
      <c r="AO206" s="141">
        <v>1.0000000000000001E-5</v>
      </c>
      <c r="AP206" s="128" t="b">
        <v>1</v>
      </c>
      <c r="AQ206" s="141">
        <v>1.0000000000000001E-5</v>
      </c>
      <c r="AR206" s="137">
        <v>21</v>
      </c>
      <c r="AS206" s="137">
        <v>34</v>
      </c>
      <c r="AT206" s="137">
        <v>9</v>
      </c>
      <c r="AU206" s="128" t="b">
        <v>1</v>
      </c>
      <c r="AV206" s="124">
        <v>3</v>
      </c>
      <c r="AW206" s="146">
        <v>5</v>
      </c>
      <c r="AX206" s="124">
        <v>1</v>
      </c>
      <c r="AY206" s="128" t="b">
        <v>1</v>
      </c>
      <c r="AZ206" s="122" t="s">
        <v>1586</v>
      </c>
      <c r="BA206" s="122">
        <v>4</v>
      </c>
      <c r="BB206" s="126">
        <v>0.05</v>
      </c>
      <c r="BC206" s="126">
        <v>0.5</v>
      </c>
      <c r="BD206" s="129" t="b">
        <v>0</v>
      </c>
      <c r="BE206" s="122" t="s">
        <v>1873</v>
      </c>
      <c r="BF206" s="128" t="b">
        <v>1</v>
      </c>
      <c r="BG206" s="122" t="s">
        <v>1578</v>
      </c>
      <c r="BH206" s="133">
        <v>0.02</v>
      </c>
      <c r="BI206" s="156" t="s">
        <v>403</v>
      </c>
      <c r="BJ206" s="128" t="b">
        <v>1</v>
      </c>
      <c r="BK206" s="161">
        <v>1.5</v>
      </c>
      <c r="BL206" s="129" t="b">
        <v>0</v>
      </c>
      <c r="BM206" s="156" t="s">
        <v>412</v>
      </c>
      <c r="BN206" s="128" t="b">
        <v>1</v>
      </c>
      <c r="BO206" s="156" t="s">
        <v>1382</v>
      </c>
      <c r="BP206" s="157">
        <v>1</v>
      </c>
      <c r="BQ206" s="157">
        <v>0.5</v>
      </c>
      <c r="BR206" s="166" t="str">
        <f t="shared" si="282"/>
        <v>8/ 13/ 21/ 55</v>
      </c>
      <c r="BS206" s="166" t="str">
        <f t="shared" si="283"/>
        <v>21 / 34 / 9</v>
      </c>
      <c r="BT206" s="166" t="str">
        <f t="shared" si="284"/>
        <v>0.05 / 0.5</v>
      </c>
      <c r="BU206" s="66">
        <v>464</v>
      </c>
      <c r="BV206" s="66">
        <v>265</v>
      </c>
      <c r="BW206" s="66">
        <v>208</v>
      </c>
      <c r="BX206" s="99">
        <f t="shared" si="285"/>
        <v>57</v>
      </c>
      <c r="BY206" s="66">
        <v>58</v>
      </c>
      <c r="BZ206" s="92">
        <f t="shared" si="286"/>
        <v>141</v>
      </c>
      <c r="CA206" s="204">
        <f t="shared" si="297"/>
        <v>0.57112068965517238</v>
      </c>
      <c r="CB206" s="205">
        <f t="shared" si="298"/>
        <v>0.125</v>
      </c>
      <c r="CC206" s="87">
        <v>4.4400000000000004</v>
      </c>
      <c r="CD206" s="87">
        <v>28.44</v>
      </c>
      <c r="CE206" s="87">
        <v>0.41</v>
      </c>
      <c r="CF206" s="170">
        <f t="shared" si="287"/>
        <v>1.5</v>
      </c>
      <c r="CG206" s="87">
        <v>0.72</v>
      </c>
      <c r="CH206" s="87">
        <v>0.56000000000000005</v>
      </c>
      <c r="CI206" s="93">
        <v>7688.6</v>
      </c>
      <c r="CJ206" s="87">
        <v>29</v>
      </c>
      <c r="CK206" s="87">
        <v>27.05</v>
      </c>
      <c r="CL206" s="87">
        <v>-4.84</v>
      </c>
      <c r="CM206" s="165">
        <v>1000</v>
      </c>
      <c r="CN206" s="93">
        <v>13196.4</v>
      </c>
      <c r="CO206" s="108">
        <f t="shared" si="288"/>
        <v>14196.4</v>
      </c>
      <c r="CP206" s="108">
        <f t="shared" si="289"/>
        <v>1319.6399999999999</v>
      </c>
      <c r="CR206" s="82">
        <f t="shared" si="290"/>
        <v>12</v>
      </c>
      <c r="CS206" s="80">
        <f t="shared" si="291"/>
        <v>640.7166666666667</v>
      </c>
      <c r="CT206" s="80">
        <f t="shared" si="292"/>
        <v>1099.7</v>
      </c>
      <c r="CU206" s="80">
        <f t="shared" si="293"/>
        <v>109.97</v>
      </c>
      <c r="CW206" s="80">
        <f t="shared" si="294"/>
        <v>7688.6</v>
      </c>
      <c r="CX206" s="80">
        <f t="shared" si="295"/>
        <v>13196.4</v>
      </c>
      <c r="CY206" s="80">
        <f t="shared" si="296"/>
        <v>1319.6399999999999</v>
      </c>
    </row>
    <row r="207" spans="1:103" hidden="1" outlineLevel="1" x14ac:dyDescent="0.2">
      <c r="B207" s="68"/>
    </row>
    <row r="208" spans="1:103" collapsed="1" x14ac:dyDescent="0.2">
      <c r="A208" s="120"/>
      <c r="B208" s="72" t="s">
        <v>1901</v>
      </c>
      <c r="C208" s="57" t="s">
        <v>1387</v>
      </c>
      <c r="D208" s="57" t="s">
        <v>1888</v>
      </c>
      <c r="E208" s="65" t="s">
        <v>1389</v>
      </c>
      <c r="F208" s="57" t="s">
        <v>1454</v>
      </c>
      <c r="G208" s="62" t="s">
        <v>1556</v>
      </c>
      <c r="H208" s="129" t="b">
        <v>0</v>
      </c>
      <c r="J208" s="123" t="s">
        <v>1866</v>
      </c>
      <c r="K208" s="123" t="s">
        <v>1866</v>
      </c>
      <c r="L208" s="123" t="s">
        <v>1866</v>
      </c>
      <c r="M208" s="137" t="b">
        <v>0</v>
      </c>
      <c r="Q208" s="128" t="b">
        <v>1</v>
      </c>
      <c r="R208" s="127" t="s">
        <v>1559</v>
      </c>
      <c r="S208" s="135" t="b">
        <v>1</v>
      </c>
      <c r="T208" s="126">
        <v>13</v>
      </c>
      <c r="U208" s="124">
        <v>1.4999999999999999E-2</v>
      </c>
      <c r="V208" s="126">
        <v>75</v>
      </c>
      <c r="W208" s="126">
        <v>-75</v>
      </c>
      <c r="X208" s="124">
        <v>50</v>
      </c>
      <c r="Y208" s="124">
        <v>5</v>
      </c>
      <c r="Z208" s="128" t="b">
        <v>1</v>
      </c>
      <c r="AA208" s="127" t="s">
        <v>1867</v>
      </c>
      <c r="AB208" s="133">
        <v>2</v>
      </c>
      <c r="AC208" s="137" t="b">
        <v>0</v>
      </c>
      <c r="AE208" s="137" t="b">
        <v>0</v>
      </c>
      <c r="AG208" s="135" t="b">
        <v>1</v>
      </c>
      <c r="AH208" s="125">
        <v>13</v>
      </c>
      <c r="AI208" s="125">
        <v>21</v>
      </c>
      <c r="AJ208" s="125">
        <v>34</v>
      </c>
      <c r="AK208" s="125">
        <v>55</v>
      </c>
      <c r="AL208" s="129" t="b">
        <v>0</v>
      </c>
      <c r="AM208" s="128" t="b">
        <v>1</v>
      </c>
      <c r="AN208" s="131" t="s">
        <v>1469</v>
      </c>
      <c r="AO208" s="141">
        <v>1.0000000000000001E-5</v>
      </c>
      <c r="AP208" s="128" t="b">
        <v>1</v>
      </c>
      <c r="AQ208" s="141">
        <v>1.0000000000000001E-5</v>
      </c>
      <c r="AR208" s="126">
        <v>5</v>
      </c>
      <c r="AS208" s="126">
        <v>8</v>
      </c>
      <c r="AT208" s="126">
        <v>5</v>
      </c>
      <c r="AU208" s="128" t="b">
        <v>1</v>
      </c>
      <c r="AV208" s="124">
        <v>3</v>
      </c>
      <c r="AW208" s="146">
        <v>5</v>
      </c>
      <c r="AX208" s="124">
        <v>1</v>
      </c>
      <c r="AY208" s="128" t="b">
        <v>1</v>
      </c>
      <c r="AZ208" s="122" t="s">
        <v>1586</v>
      </c>
      <c r="BA208" s="122">
        <v>4</v>
      </c>
      <c r="BB208" s="126">
        <v>0.05</v>
      </c>
      <c r="BC208" s="126">
        <v>0.5</v>
      </c>
      <c r="BD208" s="129" t="b">
        <v>0</v>
      </c>
      <c r="BE208" s="122" t="s">
        <v>1873</v>
      </c>
      <c r="BF208" s="128" t="b">
        <v>1</v>
      </c>
      <c r="BG208" s="122" t="s">
        <v>1578</v>
      </c>
      <c r="BH208" s="133">
        <v>0.02</v>
      </c>
      <c r="BI208" s="156" t="s">
        <v>403</v>
      </c>
      <c r="BJ208" s="128" t="b">
        <v>1</v>
      </c>
      <c r="BK208" s="161">
        <v>1.5</v>
      </c>
      <c r="BL208" s="129" t="b">
        <v>0</v>
      </c>
      <c r="BM208" s="156" t="s">
        <v>412</v>
      </c>
      <c r="BN208" s="128" t="b">
        <v>1</v>
      </c>
      <c r="BO208" s="156" t="s">
        <v>1382</v>
      </c>
      <c r="BP208" s="157">
        <v>1</v>
      </c>
      <c r="BQ208" s="157">
        <v>0.5</v>
      </c>
      <c r="BR208" s="166" t="str">
        <f t="shared" ref="BR208:BR215" si="299">AH208&amp;"/ "&amp;AI208&amp;"/ "&amp;AJ208&amp;"/ "&amp;AK208</f>
        <v>13/ 21/ 34/ 55</v>
      </c>
      <c r="BS208" s="166" t="str">
        <f t="shared" ref="BS208:BS215" si="300">AR208&amp;" / "&amp;AS208&amp;" / "&amp;AT208</f>
        <v>5 / 8 / 5</v>
      </c>
      <c r="BT208" s="166" t="str">
        <f t="shared" ref="BT208:BT215" si="301">BB208&amp;" / "&amp;BC208</f>
        <v>0.05 / 0.5</v>
      </c>
      <c r="BU208" s="66">
        <v>425</v>
      </c>
      <c r="BV208" s="66">
        <v>256</v>
      </c>
      <c r="BW208" s="66">
        <v>203</v>
      </c>
      <c r="BX208" s="99">
        <f t="shared" ref="BX208:BX215" si="302">BV208-BW208</f>
        <v>53</v>
      </c>
      <c r="BY208" s="66">
        <v>46</v>
      </c>
      <c r="BZ208" s="92">
        <f t="shared" ref="BZ208:BZ215" si="303">BU208-SUM(BW208:BY208)</f>
        <v>123</v>
      </c>
      <c r="CA208" s="204">
        <f>IF(BU208=0,0,BV208/BU208)</f>
        <v>0.60235294117647054</v>
      </c>
      <c r="CB208" s="205">
        <f>IF(BU208=0,0,BY208/BU208)</f>
        <v>0.10823529411764705</v>
      </c>
      <c r="CC208" s="87">
        <v>5.88</v>
      </c>
      <c r="CD208" s="87">
        <v>27.73</v>
      </c>
      <c r="CE208" s="87">
        <v>0.43</v>
      </c>
      <c r="CF208" s="170">
        <f t="shared" ref="CF208:CF215" si="304">BK208</f>
        <v>1.5</v>
      </c>
      <c r="CG208" s="87">
        <v>0.69</v>
      </c>
      <c r="CH208" s="87">
        <v>0.51</v>
      </c>
      <c r="CI208" s="93">
        <v>7517.6</v>
      </c>
      <c r="CJ208" s="87">
        <v>29.37</v>
      </c>
      <c r="CK208" s="87">
        <v>27.89</v>
      </c>
      <c r="CL208" s="87">
        <v>-4</v>
      </c>
      <c r="CM208" s="165">
        <v>1000</v>
      </c>
      <c r="CN208" s="93">
        <v>11786.82</v>
      </c>
      <c r="CO208" s="108">
        <f t="shared" ref="CO208:CO215" si="305">CM208+CN208</f>
        <v>12786.82</v>
      </c>
      <c r="CP208" s="108">
        <f t="shared" ref="CP208:CP215" si="306">CN208/10</f>
        <v>1178.682</v>
      </c>
      <c r="CR208" s="82">
        <f t="shared" ref="CR208:CR215" si="307">CR$4</f>
        <v>12</v>
      </c>
      <c r="CS208" s="80">
        <f t="shared" ref="CS208:CS215" si="308">CI208/CR208</f>
        <v>626.4666666666667</v>
      </c>
      <c r="CT208" s="80">
        <f t="shared" ref="CT208:CT215" si="309">CN208/CR208</f>
        <v>982.23500000000001</v>
      </c>
      <c r="CU208" s="80">
        <f t="shared" ref="CU208:CU215" si="310">CT208/10</f>
        <v>98.223500000000001</v>
      </c>
      <c r="CW208" s="80">
        <f t="shared" ref="CW208:CW215" si="311">CI208</f>
        <v>7517.6</v>
      </c>
      <c r="CX208" s="80">
        <f t="shared" ref="CX208:CX215" si="312">CN208</f>
        <v>11786.82</v>
      </c>
      <c r="CY208" s="80">
        <f t="shared" ref="CY208:CY215" si="313">CP208</f>
        <v>1178.682</v>
      </c>
    </row>
    <row r="209" spans="1:103" hidden="1" outlineLevel="1" x14ac:dyDescent="0.2">
      <c r="A209" s="120"/>
      <c r="B209" s="72"/>
      <c r="C209" s="57" t="s">
        <v>1387</v>
      </c>
      <c r="D209" s="57" t="s">
        <v>1888</v>
      </c>
      <c r="E209" s="65" t="s">
        <v>1389</v>
      </c>
      <c r="F209" s="57" t="s">
        <v>1454</v>
      </c>
      <c r="G209" s="62" t="s">
        <v>1556</v>
      </c>
      <c r="H209" s="129" t="b">
        <v>0</v>
      </c>
      <c r="J209" s="123" t="s">
        <v>1866</v>
      </c>
      <c r="K209" s="123" t="s">
        <v>1866</v>
      </c>
      <c r="L209" s="123" t="s">
        <v>1866</v>
      </c>
      <c r="M209" s="137" t="b">
        <v>0</v>
      </c>
      <c r="Q209" s="128" t="b">
        <v>1</v>
      </c>
      <c r="R209" s="127" t="s">
        <v>1559</v>
      </c>
      <c r="S209" s="135" t="b">
        <v>1</v>
      </c>
      <c r="T209" s="126">
        <v>13</v>
      </c>
      <c r="U209" s="124">
        <v>1.4999999999999999E-2</v>
      </c>
      <c r="V209" s="126">
        <v>75</v>
      </c>
      <c r="W209" s="126">
        <v>-75</v>
      </c>
      <c r="X209" s="124">
        <v>50</v>
      </c>
      <c r="Y209" s="124">
        <v>5</v>
      </c>
      <c r="Z209" s="128" t="b">
        <v>1</v>
      </c>
      <c r="AA209" s="127" t="s">
        <v>1867</v>
      </c>
      <c r="AB209" s="133">
        <v>2</v>
      </c>
      <c r="AC209" s="137" t="b">
        <v>0</v>
      </c>
      <c r="AE209" s="137" t="b">
        <v>0</v>
      </c>
      <c r="AG209" s="135" t="b">
        <v>1</v>
      </c>
      <c r="AH209" s="125">
        <v>13</v>
      </c>
      <c r="AI209" s="125">
        <v>21</v>
      </c>
      <c r="AJ209" s="125">
        <v>34</v>
      </c>
      <c r="AK209" s="125">
        <v>55</v>
      </c>
      <c r="AL209" s="129" t="b">
        <v>0</v>
      </c>
      <c r="AM209" s="128" t="b">
        <v>1</v>
      </c>
      <c r="AN209" s="131" t="s">
        <v>1469</v>
      </c>
      <c r="AO209" s="141">
        <v>1.0000000000000001E-5</v>
      </c>
      <c r="AP209" s="128" t="b">
        <v>1</v>
      </c>
      <c r="AQ209" s="141">
        <v>1.0000000000000001E-5</v>
      </c>
      <c r="AR209" s="137">
        <v>5</v>
      </c>
      <c r="AS209" s="137">
        <v>13</v>
      </c>
      <c r="AT209" s="137">
        <v>5</v>
      </c>
      <c r="AU209" s="128" t="b">
        <v>1</v>
      </c>
      <c r="AV209" s="124">
        <v>3</v>
      </c>
      <c r="AW209" s="146">
        <v>5</v>
      </c>
      <c r="AX209" s="124">
        <v>1</v>
      </c>
      <c r="AY209" s="128" t="b">
        <v>1</v>
      </c>
      <c r="AZ209" s="122" t="s">
        <v>1586</v>
      </c>
      <c r="BA209" s="122">
        <v>4</v>
      </c>
      <c r="BB209" s="126">
        <v>0.05</v>
      </c>
      <c r="BC209" s="126">
        <v>0.5</v>
      </c>
      <c r="BD209" s="129" t="b">
        <v>0</v>
      </c>
      <c r="BE209" s="122" t="s">
        <v>1873</v>
      </c>
      <c r="BF209" s="128" t="b">
        <v>1</v>
      </c>
      <c r="BG209" s="122" t="s">
        <v>1578</v>
      </c>
      <c r="BH209" s="133">
        <v>0.02</v>
      </c>
      <c r="BI209" s="156" t="s">
        <v>403</v>
      </c>
      <c r="BJ209" s="128" t="b">
        <v>1</v>
      </c>
      <c r="BK209" s="161">
        <v>1.5</v>
      </c>
      <c r="BL209" s="129" t="b">
        <v>0</v>
      </c>
      <c r="BM209" s="156" t="s">
        <v>412</v>
      </c>
      <c r="BN209" s="128" t="b">
        <v>1</v>
      </c>
      <c r="BO209" s="156" t="s">
        <v>1382</v>
      </c>
      <c r="BP209" s="157">
        <v>1</v>
      </c>
      <c r="BQ209" s="157">
        <v>0.5</v>
      </c>
      <c r="BR209" s="166" t="str">
        <f>AH209&amp;"/ "&amp;AI209&amp;"/ "&amp;AJ209&amp;"/ "&amp;AK209</f>
        <v>13/ 21/ 34/ 55</v>
      </c>
      <c r="BS209" s="166" t="str">
        <f t="shared" si="300"/>
        <v>5 / 13 / 5</v>
      </c>
      <c r="BT209" s="166" t="str">
        <f t="shared" si="301"/>
        <v>0.05 / 0.5</v>
      </c>
      <c r="BU209" s="66">
        <v>436</v>
      </c>
      <c r="BV209" s="66">
        <v>258</v>
      </c>
      <c r="BW209" s="66">
        <v>205</v>
      </c>
      <c r="BX209" s="99">
        <f t="shared" si="302"/>
        <v>53</v>
      </c>
      <c r="BY209" s="66">
        <v>54</v>
      </c>
      <c r="BZ209" s="92">
        <f t="shared" si="303"/>
        <v>124</v>
      </c>
      <c r="CA209" s="204">
        <f t="shared" ref="CA209:CA215" si="314">IF(BU209=0,0,BV209/BU209)</f>
        <v>0.59174311926605505</v>
      </c>
      <c r="CB209" s="205">
        <f>IF(BU209=0,0,BY209/BU209)</f>
        <v>0.12385321100917432</v>
      </c>
      <c r="CC209" s="87">
        <v>5.0199999999999996</v>
      </c>
      <c r="CD209" s="87">
        <v>26</v>
      </c>
      <c r="CE209" s="87">
        <v>0.41</v>
      </c>
      <c r="CF209" s="170">
        <f t="shared" si="304"/>
        <v>1.5</v>
      </c>
      <c r="CG209" s="87">
        <v>0.69</v>
      </c>
      <c r="CH209" s="87">
        <v>0.51</v>
      </c>
      <c r="CI209" s="93">
        <v>7640.9</v>
      </c>
      <c r="CJ209" s="87">
        <v>29.62</v>
      </c>
      <c r="CK209" s="87">
        <v>27.76</v>
      </c>
      <c r="CL209" s="87">
        <v>-4.62</v>
      </c>
      <c r="CM209" s="165">
        <v>1000</v>
      </c>
      <c r="CN209" s="93">
        <v>11336.39</v>
      </c>
      <c r="CO209" s="108">
        <f t="shared" si="305"/>
        <v>12336.39</v>
      </c>
      <c r="CP209" s="108">
        <f t="shared" si="306"/>
        <v>1133.6389999999999</v>
      </c>
      <c r="CR209" s="82">
        <f t="shared" si="307"/>
        <v>12</v>
      </c>
      <c r="CS209" s="80">
        <f t="shared" si="308"/>
        <v>636.74166666666667</v>
      </c>
      <c r="CT209" s="80">
        <f t="shared" si="309"/>
        <v>944.69916666666666</v>
      </c>
      <c r="CU209" s="80">
        <f t="shared" si="310"/>
        <v>94.469916666666663</v>
      </c>
      <c r="CW209" s="80">
        <f t="shared" si="311"/>
        <v>7640.9</v>
      </c>
      <c r="CX209" s="80">
        <f t="shared" si="312"/>
        <v>11336.39</v>
      </c>
      <c r="CY209" s="80">
        <f t="shared" si="313"/>
        <v>1133.6389999999999</v>
      </c>
    </row>
    <row r="210" spans="1:103" hidden="1" outlineLevel="1" x14ac:dyDescent="0.2">
      <c r="A210" s="120"/>
      <c r="B210" s="72"/>
      <c r="C210" s="57" t="s">
        <v>1387</v>
      </c>
      <c r="D210" s="57" t="s">
        <v>1888</v>
      </c>
      <c r="E210" s="65" t="s">
        <v>1389</v>
      </c>
      <c r="F210" s="57" t="s">
        <v>1454</v>
      </c>
      <c r="G210" s="62" t="s">
        <v>1556</v>
      </c>
      <c r="H210" s="129" t="b">
        <v>0</v>
      </c>
      <c r="J210" s="123" t="s">
        <v>1866</v>
      </c>
      <c r="K210" s="123" t="s">
        <v>1866</v>
      </c>
      <c r="L210" s="123" t="s">
        <v>1866</v>
      </c>
      <c r="M210" s="137" t="b">
        <v>0</v>
      </c>
      <c r="Q210" s="128" t="b">
        <v>1</v>
      </c>
      <c r="R210" s="127" t="s">
        <v>1559</v>
      </c>
      <c r="S210" s="135" t="b">
        <v>1</v>
      </c>
      <c r="T210" s="126">
        <v>13</v>
      </c>
      <c r="U210" s="124">
        <v>1.4999999999999999E-2</v>
      </c>
      <c r="V210" s="126">
        <v>75</v>
      </c>
      <c r="W210" s="126">
        <v>-75</v>
      </c>
      <c r="X210" s="124">
        <v>50</v>
      </c>
      <c r="Y210" s="124">
        <v>5</v>
      </c>
      <c r="Z210" s="128" t="b">
        <v>1</v>
      </c>
      <c r="AA210" s="127" t="s">
        <v>1867</v>
      </c>
      <c r="AB210" s="133">
        <v>2</v>
      </c>
      <c r="AC210" s="137" t="b">
        <v>0</v>
      </c>
      <c r="AE210" s="137" t="b">
        <v>0</v>
      </c>
      <c r="AG210" s="135" t="b">
        <v>1</v>
      </c>
      <c r="AH210" s="125">
        <v>13</v>
      </c>
      <c r="AI210" s="125">
        <v>21</v>
      </c>
      <c r="AJ210" s="125">
        <v>34</v>
      </c>
      <c r="AK210" s="125">
        <v>55</v>
      </c>
      <c r="AL210" s="129" t="b">
        <v>0</v>
      </c>
      <c r="AM210" s="128" t="b">
        <v>1</v>
      </c>
      <c r="AN210" s="131" t="s">
        <v>1469</v>
      </c>
      <c r="AO210" s="141">
        <v>1.0000000000000001E-5</v>
      </c>
      <c r="AP210" s="128" t="b">
        <v>1</v>
      </c>
      <c r="AQ210" s="141">
        <v>1.0000000000000001E-5</v>
      </c>
      <c r="AR210" s="137">
        <v>5</v>
      </c>
      <c r="AS210" s="137">
        <v>13</v>
      </c>
      <c r="AT210" s="137">
        <v>8</v>
      </c>
      <c r="AU210" s="128" t="b">
        <v>1</v>
      </c>
      <c r="AV210" s="124">
        <v>3</v>
      </c>
      <c r="AW210" s="146">
        <v>5</v>
      </c>
      <c r="AX210" s="124">
        <v>1</v>
      </c>
      <c r="AY210" s="128" t="b">
        <v>1</v>
      </c>
      <c r="AZ210" s="122" t="s">
        <v>1586</v>
      </c>
      <c r="BA210" s="122">
        <v>4</v>
      </c>
      <c r="BB210" s="126">
        <v>0.05</v>
      </c>
      <c r="BC210" s="126">
        <v>0.5</v>
      </c>
      <c r="BD210" s="129" t="b">
        <v>0</v>
      </c>
      <c r="BE210" s="122" t="s">
        <v>1873</v>
      </c>
      <c r="BF210" s="128" t="b">
        <v>1</v>
      </c>
      <c r="BG210" s="122" t="s">
        <v>1578</v>
      </c>
      <c r="BH210" s="133">
        <v>0.02</v>
      </c>
      <c r="BI210" s="156" t="s">
        <v>403</v>
      </c>
      <c r="BJ210" s="128" t="b">
        <v>1</v>
      </c>
      <c r="BK210" s="161">
        <v>1.5</v>
      </c>
      <c r="BL210" s="129" t="b">
        <v>0</v>
      </c>
      <c r="BM210" s="156" t="s">
        <v>412</v>
      </c>
      <c r="BN210" s="128" t="b">
        <v>1</v>
      </c>
      <c r="BO210" s="156" t="s">
        <v>1382</v>
      </c>
      <c r="BP210" s="157">
        <v>1</v>
      </c>
      <c r="BQ210" s="157">
        <v>0.5</v>
      </c>
      <c r="BR210" s="166" t="str">
        <f>AH210&amp;"/ "&amp;AI210&amp;"/ "&amp;AJ210&amp;"/ "&amp;AK210</f>
        <v>13/ 21/ 34/ 55</v>
      </c>
      <c r="BS210" s="166" t="str">
        <f t="shared" si="300"/>
        <v>5 / 13 / 8</v>
      </c>
      <c r="BT210" s="166" t="str">
        <f t="shared" si="301"/>
        <v>0.05 / 0.5</v>
      </c>
      <c r="BU210" s="66">
        <v>433</v>
      </c>
      <c r="BV210" s="66">
        <v>260</v>
      </c>
      <c r="BW210" s="66">
        <v>205</v>
      </c>
      <c r="BX210" s="99">
        <f t="shared" si="302"/>
        <v>55</v>
      </c>
      <c r="BY210" s="66">
        <v>53</v>
      </c>
      <c r="BZ210" s="92">
        <f t="shared" si="303"/>
        <v>120</v>
      </c>
      <c r="CA210" s="204">
        <f t="shared" si="314"/>
        <v>0.60046189376443415</v>
      </c>
      <c r="CB210" s="205">
        <f>IF(BU210=0,0,BY210/BU210)</f>
        <v>0.12240184757505773</v>
      </c>
      <c r="CC210" s="87">
        <v>5.16</v>
      </c>
      <c r="CD210" s="87">
        <v>27.23</v>
      </c>
      <c r="CE210" s="87">
        <v>0.42</v>
      </c>
      <c r="CF210" s="170">
        <f t="shared" si="304"/>
        <v>1.5</v>
      </c>
      <c r="CG210" s="87">
        <v>0.69</v>
      </c>
      <c r="CH210" s="87">
        <v>0.51</v>
      </c>
      <c r="CI210" s="93">
        <v>7750.7</v>
      </c>
      <c r="CJ210" s="87">
        <v>29.81</v>
      </c>
      <c r="CK210" s="87">
        <v>28.26</v>
      </c>
      <c r="CL210" s="87">
        <v>-4.62</v>
      </c>
      <c r="CM210" s="165">
        <v>1000</v>
      </c>
      <c r="CN210" s="208">
        <v>11791.78</v>
      </c>
      <c r="CO210" s="209">
        <f t="shared" si="305"/>
        <v>12791.78</v>
      </c>
      <c r="CP210" s="209">
        <f t="shared" si="306"/>
        <v>1179.1780000000001</v>
      </c>
      <c r="CR210" s="82">
        <f t="shared" si="307"/>
        <v>12</v>
      </c>
      <c r="CS210" s="80">
        <f t="shared" si="308"/>
        <v>645.89166666666665</v>
      </c>
      <c r="CT210" s="80">
        <f t="shared" si="309"/>
        <v>982.64833333333343</v>
      </c>
      <c r="CU210" s="80">
        <f t="shared" si="310"/>
        <v>98.264833333333343</v>
      </c>
      <c r="CW210" s="80">
        <f t="shared" si="311"/>
        <v>7750.7</v>
      </c>
      <c r="CX210" s="80">
        <f t="shared" si="312"/>
        <v>11791.78</v>
      </c>
      <c r="CY210" s="80">
        <f t="shared" si="313"/>
        <v>1179.1780000000001</v>
      </c>
    </row>
    <row r="211" spans="1:103" hidden="1" outlineLevel="1" x14ac:dyDescent="0.2">
      <c r="A211" s="120"/>
      <c r="B211" s="72"/>
      <c r="C211" s="57" t="s">
        <v>1387</v>
      </c>
      <c r="D211" s="57" t="s">
        <v>1888</v>
      </c>
      <c r="E211" s="65" t="s">
        <v>1389</v>
      </c>
      <c r="F211" s="57" t="s">
        <v>1454</v>
      </c>
      <c r="G211" s="62" t="s">
        <v>1556</v>
      </c>
      <c r="H211" s="129" t="b">
        <v>0</v>
      </c>
      <c r="J211" s="123" t="s">
        <v>1866</v>
      </c>
      <c r="K211" s="123" t="s">
        <v>1866</v>
      </c>
      <c r="L211" s="123" t="s">
        <v>1866</v>
      </c>
      <c r="M211" s="137" t="b">
        <v>0</v>
      </c>
      <c r="Q211" s="128" t="b">
        <v>1</v>
      </c>
      <c r="R211" s="127" t="s">
        <v>1559</v>
      </c>
      <c r="S211" s="135" t="b">
        <v>1</v>
      </c>
      <c r="T211" s="126">
        <v>13</v>
      </c>
      <c r="U211" s="124">
        <v>1.4999999999999999E-2</v>
      </c>
      <c r="V211" s="126">
        <v>75</v>
      </c>
      <c r="W211" s="126">
        <v>-75</v>
      </c>
      <c r="X211" s="124">
        <v>50</v>
      </c>
      <c r="Y211" s="124">
        <v>5</v>
      </c>
      <c r="Z211" s="128" t="b">
        <v>1</v>
      </c>
      <c r="AA211" s="127" t="s">
        <v>1867</v>
      </c>
      <c r="AB211" s="133">
        <v>2</v>
      </c>
      <c r="AC211" s="137" t="b">
        <v>0</v>
      </c>
      <c r="AE211" s="137" t="b">
        <v>0</v>
      </c>
      <c r="AG211" s="135" t="b">
        <v>1</v>
      </c>
      <c r="AH211" s="125">
        <v>13</v>
      </c>
      <c r="AI211" s="125">
        <v>21</v>
      </c>
      <c r="AJ211" s="125">
        <v>34</v>
      </c>
      <c r="AK211" s="125">
        <v>55</v>
      </c>
      <c r="AL211" s="129" t="b">
        <v>0</v>
      </c>
      <c r="AM211" s="128" t="b">
        <v>1</v>
      </c>
      <c r="AN211" s="131" t="s">
        <v>1469</v>
      </c>
      <c r="AO211" s="141">
        <v>1.0000000000000001E-5</v>
      </c>
      <c r="AP211" s="128" t="b">
        <v>1</v>
      </c>
      <c r="AQ211" s="141">
        <v>1.0000000000000001E-5</v>
      </c>
      <c r="AR211" s="149">
        <v>8</v>
      </c>
      <c r="AS211" s="149">
        <v>13</v>
      </c>
      <c r="AT211" s="149">
        <v>8</v>
      </c>
      <c r="AU211" s="128" t="b">
        <v>1</v>
      </c>
      <c r="AV211" s="124">
        <v>3</v>
      </c>
      <c r="AW211" s="146">
        <v>5</v>
      </c>
      <c r="AX211" s="124">
        <v>1</v>
      </c>
      <c r="AY211" s="128" t="b">
        <v>1</v>
      </c>
      <c r="AZ211" s="122" t="s">
        <v>1586</v>
      </c>
      <c r="BA211" s="122">
        <v>4</v>
      </c>
      <c r="BB211" s="126">
        <v>0.05</v>
      </c>
      <c r="BC211" s="126">
        <v>0.5</v>
      </c>
      <c r="BD211" s="129" t="b">
        <v>0</v>
      </c>
      <c r="BE211" s="122" t="s">
        <v>1873</v>
      </c>
      <c r="BF211" s="128" t="b">
        <v>1</v>
      </c>
      <c r="BG211" s="122" t="s">
        <v>1578</v>
      </c>
      <c r="BH211" s="133">
        <v>0.02</v>
      </c>
      <c r="BI211" s="156" t="s">
        <v>403</v>
      </c>
      <c r="BJ211" s="128" t="b">
        <v>1</v>
      </c>
      <c r="BK211" s="161">
        <v>1.5</v>
      </c>
      <c r="BL211" s="129" t="b">
        <v>0</v>
      </c>
      <c r="BM211" s="156" t="s">
        <v>412</v>
      </c>
      <c r="BN211" s="128" t="b">
        <v>1</v>
      </c>
      <c r="BO211" s="156" t="s">
        <v>1382</v>
      </c>
      <c r="BP211" s="157">
        <v>1</v>
      </c>
      <c r="BQ211" s="157">
        <v>0.5</v>
      </c>
      <c r="BR211" s="166" t="str">
        <f t="shared" si="299"/>
        <v>13/ 21/ 34/ 55</v>
      </c>
      <c r="BS211" s="166" t="str">
        <f t="shared" si="300"/>
        <v>8 / 13 / 8</v>
      </c>
      <c r="BT211" s="166" t="str">
        <f t="shared" si="301"/>
        <v>0.05 / 0.5</v>
      </c>
      <c r="BU211" s="66">
        <v>423</v>
      </c>
      <c r="BV211" s="66">
        <v>254</v>
      </c>
      <c r="BW211" s="66">
        <v>200</v>
      </c>
      <c r="BX211" s="99">
        <f t="shared" si="302"/>
        <v>54</v>
      </c>
      <c r="BY211" s="66">
        <v>51</v>
      </c>
      <c r="BZ211" s="92">
        <f t="shared" si="303"/>
        <v>118</v>
      </c>
      <c r="CA211" s="204">
        <f t="shared" si="314"/>
        <v>0.60047281323877066</v>
      </c>
      <c r="CB211" s="205">
        <f t="shared" ref="CB211:CB215" si="315">IF(BU211=0,0,BY211/BU211)</f>
        <v>0.12056737588652482</v>
      </c>
      <c r="CC211" s="87">
        <v>5.37</v>
      </c>
      <c r="CD211" s="87">
        <v>27.79</v>
      </c>
      <c r="CE211" s="87">
        <v>0.43</v>
      </c>
      <c r="CF211" s="170">
        <f t="shared" si="304"/>
        <v>1.5</v>
      </c>
      <c r="CG211" s="87">
        <v>0.7</v>
      </c>
      <c r="CH211" s="87">
        <v>0.52</v>
      </c>
      <c r="CI211" s="93">
        <v>7621.1</v>
      </c>
      <c r="CJ211" s="87">
        <v>30</v>
      </c>
      <c r="CK211" s="87">
        <v>27.98</v>
      </c>
      <c r="CL211" s="87">
        <v>-4.7</v>
      </c>
      <c r="CM211" s="165">
        <v>1000</v>
      </c>
      <c r="CN211" s="93">
        <v>11753.2</v>
      </c>
      <c r="CO211" s="108">
        <f t="shared" si="305"/>
        <v>12753.2</v>
      </c>
      <c r="CP211" s="108">
        <f t="shared" si="306"/>
        <v>1175.3200000000002</v>
      </c>
      <c r="CR211" s="82">
        <f t="shared" si="307"/>
        <v>12</v>
      </c>
      <c r="CS211" s="80">
        <f t="shared" si="308"/>
        <v>635.0916666666667</v>
      </c>
      <c r="CT211" s="80">
        <f t="shared" si="309"/>
        <v>979.43333333333339</v>
      </c>
      <c r="CU211" s="80">
        <f t="shared" si="310"/>
        <v>97.943333333333342</v>
      </c>
      <c r="CW211" s="80">
        <f t="shared" si="311"/>
        <v>7621.1</v>
      </c>
      <c r="CX211" s="80">
        <f t="shared" si="312"/>
        <v>11753.2</v>
      </c>
      <c r="CY211" s="80">
        <f t="shared" si="313"/>
        <v>1175.3200000000002</v>
      </c>
    </row>
    <row r="212" spans="1:103" hidden="1" outlineLevel="1" x14ac:dyDescent="0.2">
      <c r="A212" s="120"/>
      <c r="B212" s="72"/>
      <c r="C212" s="57" t="s">
        <v>1387</v>
      </c>
      <c r="D212" s="57" t="s">
        <v>1888</v>
      </c>
      <c r="E212" s="65" t="s">
        <v>1389</v>
      </c>
      <c r="F212" s="57" t="s">
        <v>1454</v>
      </c>
      <c r="G212" s="62" t="s">
        <v>1556</v>
      </c>
      <c r="H212" s="129" t="b">
        <v>0</v>
      </c>
      <c r="J212" s="123" t="s">
        <v>1866</v>
      </c>
      <c r="K212" s="123" t="s">
        <v>1866</v>
      </c>
      <c r="L212" s="123" t="s">
        <v>1866</v>
      </c>
      <c r="M212" s="137" t="b">
        <v>0</v>
      </c>
      <c r="Q212" s="128" t="b">
        <v>1</v>
      </c>
      <c r="R212" s="127" t="s">
        <v>1559</v>
      </c>
      <c r="S212" s="135" t="b">
        <v>1</v>
      </c>
      <c r="T212" s="126">
        <v>13</v>
      </c>
      <c r="U212" s="124">
        <v>1.4999999999999999E-2</v>
      </c>
      <c r="V212" s="126">
        <v>75</v>
      </c>
      <c r="W212" s="126">
        <v>-75</v>
      </c>
      <c r="X212" s="124">
        <v>50</v>
      </c>
      <c r="Y212" s="124">
        <v>5</v>
      </c>
      <c r="Z212" s="128" t="b">
        <v>1</v>
      </c>
      <c r="AA212" s="127" t="s">
        <v>1867</v>
      </c>
      <c r="AB212" s="133">
        <v>2</v>
      </c>
      <c r="AC212" s="137" t="b">
        <v>0</v>
      </c>
      <c r="AE212" s="137" t="b">
        <v>0</v>
      </c>
      <c r="AG212" s="135" t="b">
        <v>1</v>
      </c>
      <c r="AH212" s="125">
        <v>13</v>
      </c>
      <c r="AI212" s="125">
        <v>21</v>
      </c>
      <c r="AJ212" s="125">
        <v>34</v>
      </c>
      <c r="AK212" s="125">
        <v>55</v>
      </c>
      <c r="AL212" s="129" t="b">
        <v>0</v>
      </c>
      <c r="AM212" s="128" t="b">
        <v>1</v>
      </c>
      <c r="AN212" s="131" t="s">
        <v>1469</v>
      </c>
      <c r="AO212" s="141">
        <v>1.0000000000000001E-5</v>
      </c>
      <c r="AP212" s="128" t="b">
        <v>1</v>
      </c>
      <c r="AQ212" s="141">
        <v>1.0000000000000001E-5</v>
      </c>
      <c r="AR212" s="149">
        <v>8</v>
      </c>
      <c r="AS212" s="149">
        <v>13</v>
      </c>
      <c r="AT212" s="149">
        <v>11</v>
      </c>
      <c r="AU212" s="128" t="b">
        <v>1</v>
      </c>
      <c r="AV212" s="124">
        <v>3</v>
      </c>
      <c r="AW212" s="146">
        <v>5</v>
      </c>
      <c r="AX212" s="124">
        <v>1</v>
      </c>
      <c r="AY212" s="128" t="b">
        <v>1</v>
      </c>
      <c r="AZ212" s="122" t="s">
        <v>1586</v>
      </c>
      <c r="BA212" s="122">
        <v>4</v>
      </c>
      <c r="BB212" s="126">
        <v>0.05</v>
      </c>
      <c r="BC212" s="126">
        <v>0.5</v>
      </c>
      <c r="BD212" s="129" t="b">
        <v>0</v>
      </c>
      <c r="BE212" s="122" t="s">
        <v>1873</v>
      </c>
      <c r="BF212" s="128" t="b">
        <v>1</v>
      </c>
      <c r="BG212" s="122" t="s">
        <v>1578</v>
      </c>
      <c r="BH212" s="133">
        <v>0.02</v>
      </c>
      <c r="BI212" s="156" t="s">
        <v>403</v>
      </c>
      <c r="BJ212" s="128" t="b">
        <v>1</v>
      </c>
      <c r="BK212" s="161">
        <v>1.5</v>
      </c>
      <c r="BL212" s="129" t="b">
        <v>0</v>
      </c>
      <c r="BM212" s="156" t="s">
        <v>412</v>
      </c>
      <c r="BN212" s="128" t="b">
        <v>1</v>
      </c>
      <c r="BO212" s="156" t="s">
        <v>1382</v>
      </c>
      <c r="BP212" s="157">
        <v>1</v>
      </c>
      <c r="BQ212" s="157">
        <v>0.5</v>
      </c>
      <c r="BR212" s="166" t="str">
        <f t="shared" si="299"/>
        <v>13/ 21/ 34/ 55</v>
      </c>
      <c r="BS212" s="166" t="str">
        <f t="shared" si="300"/>
        <v>8 / 13 / 11</v>
      </c>
      <c r="BT212" s="166" t="str">
        <f t="shared" si="301"/>
        <v>0.05 / 0.5</v>
      </c>
      <c r="BU212" s="66">
        <v>415</v>
      </c>
      <c r="BV212" s="66">
        <v>251</v>
      </c>
      <c r="BW212" s="66">
        <v>200</v>
      </c>
      <c r="BX212" s="99">
        <f t="shared" si="302"/>
        <v>51</v>
      </c>
      <c r="BY212" s="66">
        <v>52</v>
      </c>
      <c r="BZ212" s="92">
        <f t="shared" si="303"/>
        <v>112</v>
      </c>
      <c r="CA212" s="204">
        <f t="shared" si="314"/>
        <v>0.60481927710843375</v>
      </c>
      <c r="CB212" s="205">
        <f t="shared" si="315"/>
        <v>0.12530120481927712</v>
      </c>
      <c r="CC212" s="87">
        <v>5.15</v>
      </c>
      <c r="CD212" s="87">
        <v>26.41</v>
      </c>
      <c r="CE212" s="87">
        <v>0.42</v>
      </c>
      <c r="CF212" s="170">
        <f t="shared" si="304"/>
        <v>1.5</v>
      </c>
      <c r="CG212" s="87">
        <v>0.69</v>
      </c>
      <c r="CH212" s="87">
        <v>0.52</v>
      </c>
      <c r="CI212" s="93">
        <v>7496.2</v>
      </c>
      <c r="CJ212" s="87">
        <v>29.87</v>
      </c>
      <c r="CK212" s="87">
        <v>28.19</v>
      </c>
      <c r="CL212" s="87">
        <v>-4.7</v>
      </c>
      <c r="CM212" s="165">
        <v>1000</v>
      </c>
      <c r="CN212" s="93">
        <v>10961.9</v>
      </c>
      <c r="CO212" s="108">
        <f t="shared" si="305"/>
        <v>11961.9</v>
      </c>
      <c r="CP212" s="108">
        <f t="shared" si="306"/>
        <v>1096.19</v>
      </c>
      <c r="CR212" s="82">
        <f t="shared" si="307"/>
        <v>12</v>
      </c>
      <c r="CS212" s="80">
        <f t="shared" si="308"/>
        <v>624.68333333333328</v>
      </c>
      <c r="CT212" s="80">
        <f t="shared" si="309"/>
        <v>913.49166666666667</v>
      </c>
      <c r="CU212" s="80">
        <f t="shared" si="310"/>
        <v>91.349166666666662</v>
      </c>
      <c r="CW212" s="80">
        <f t="shared" si="311"/>
        <v>7496.2</v>
      </c>
      <c r="CX212" s="80">
        <f t="shared" si="312"/>
        <v>10961.9</v>
      </c>
      <c r="CY212" s="80">
        <f t="shared" si="313"/>
        <v>1096.19</v>
      </c>
    </row>
    <row r="213" spans="1:103" hidden="1" outlineLevel="1" x14ac:dyDescent="0.2">
      <c r="A213" s="120"/>
      <c r="B213" s="72"/>
      <c r="C213" s="57" t="s">
        <v>1387</v>
      </c>
      <c r="D213" s="57" t="s">
        <v>1888</v>
      </c>
      <c r="E213" s="65" t="s">
        <v>1389</v>
      </c>
      <c r="F213" s="57" t="s">
        <v>1454</v>
      </c>
      <c r="G213" s="62" t="s">
        <v>1556</v>
      </c>
      <c r="H213" s="129" t="b">
        <v>0</v>
      </c>
      <c r="J213" s="123" t="s">
        <v>1866</v>
      </c>
      <c r="K213" s="123" t="s">
        <v>1866</v>
      </c>
      <c r="L213" s="123" t="s">
        <v>1866</v>
      </c>
      <c r="M213" s="137" t="b">
        <v>0</v>
      </c>
      <c r="Q213" s="128" t="b">
        <v>1</v>
      </c>
      <c r="R213" s="127" t="s">
        <v>1559</v>
      </c>
      <c r="S213" s="135" t="b">
        <v>1</v>
      </c>
      <c r="T213" s="126">
        <v>13</v>
      </c>
      <c r="U213" s="124">
        <v>1.4999999999999999E-2</v>
      </c>
      <c r="V213" s="126">
        <v>75</v>
      </c>
      <c r="W213" s="126">
        <v>-75</v>
      </c>
      <c r="X213" s="124">
        <v>50</v>
      </c>
      <c r="Y213" s="124">
        <v>5</v>
      </c>
      <c r="Z213" s="128" t="b">
        <v>1</v>
      </c>
      <c r="AA213" s="127" t="s">
        <v>1867</v>
      </c>
      <c r="AB213" s="133">
        <v>2</v>
      </c>
      <c r="AC213" s="137" t="b">
        <v>0</v>
      </c>
      <c r="AE213" s="137" t="b">
        <v>0</v>
      </c>
      <c r="AG213" s="135" t="b">
        <v>1</v>
      </c>
      <c r="AH213" s="125">
        <v>13</v>
      </c>
      <c r="AI213" s="125">
        <v>21</v>
      </c>
      <c r="AJ213" s="125">
        <v>34</v>
      </c>
      <c r="AK213" s="125">
        <v>55</v>
      </c>
      <c r="AL213" s="129" t="b">
        <v>0</v>
      </c>
      <c r="AM213" s="128" t="b">
        <v>1</v>
      </c>
      <c r="AN213" s="131" t="s">
        <v>1469</v>
      </c>
      <c r="AO213" s="141">
        <v>1.0000000000000001E-5</v>
      </c>
      <c r="AP213" s="128" t="b">
        <v>1</v>
      </c>
      <c r="AQ213" s="141">
        <v>1.0000000000000001E-5</v>
      </c>
      <c r="AR213" s="150">
        <v>8</v>
      </c>
      <c r="AS213" s="150">
        <v>17</v>
      </c>
      <c r="AT213" s="150">
        <v>9</v>
      </c>
      <c r="AU213" s="128" t="b">
        <v>1</v>
      </c>
      <c r="AV213" s="124">
        <v>3</v>
      </c>
      <c r="AW213" s="146">
        <v>5</v>
      </c>
      <c r="AX213" s="124">
        <v>1</v>
      </c>
      <c r="AY213" s="128" t="b">
        <v>1</v>
      </c>
      <c r="AZ213" s="122" t="s">
        <v>1586</v>
      </c>
      <c r="BA213" s="122">
        <v>4</v>
      </c>
      <c r="BB213" s="126">
        <v>0.05</v>
      </c>
      <c r="BC213" s="126">
        <v>0.5</v>
      </c>
      <c r="BD213" s="129" t="b">
        <v>0</v>
      </c>
      <c r="BE213" s="122" t="s">
        <v>1873</v>
      </c>
      <c r="BF213" s="128" t="b">
        <v>1</v>
      </c>
      <c r="BG213" s="122" t="s">
        <v>1578</v>
      </c>
      <c r="BH213" s="133">
        <v>0.02</v>
      </c>
      <c r="BI213" s="156" t="s">
        <v>403</v>
      </c>
      <c r="BJ213" s="128" t="b">
        <v>1</v>
      </c>
      <c r="BK213" s="161">
        <v>1.5</v>
      </c>
      <c r="BL213" s="129" t="b">
        <v>0</v>
      </c>
      <c r="BM213" s="156" t="s">
        <v>412</v>
      </c>
      <c r="BN213" s="128" t="b">
        <v>1</v>
      </c>
      <c r="BO213" s="156" t="s">
        <v>1382</v>
      </c>
      <c r="BP213" s="157">
        <v>1</v>
      </c>
      <c r="BQ213" s="157">
        <v>0.5</v>
      </c>
      <c r="BR213" s="166" t="str">
        <f t="shared" si="299"/>
        <v>13/ 21/ 34/ 55</v>
      </c>
      <c r="BS213" s="166" t="str">
        <f t="shared" si="300"/>
        <v>8 / 17 / 9</v>
      </c>
      <c r="BT213" s="166" t="str">
        <f t="shared" si="301"/>
        <v>0.05 / 0.5</v>
      </c>
      <c r="BU213" s="66">
        <v>416</v>
      </c>
      <c r="BV213" s="66">
        <v>252</v>
      </c>
      <c r="BW213" s="66">
        <v>202</v>
      </c>
      <c r="BX213" s="99">
        <f t="shared" si="302"/>
        <v>50</v>
      </c>
      <c r="BY213" s="66">
        <v>51</v>
      </c>
      <c r="BZ213" s="92">
        <f t="shared" si="303"/>
        <v>113</v>
      </c>
      <c r="CA213" s="204">
        <f t="shared" si="314"/>
        <v>0.60576923076923073</v>
      </c>
      <c r="CB213" s="205">
        <f t="shared" si="315"/>
        <v>0.12259615384615384</v>
      </c>
      <c r="CC213" s="87">
        <v>5.39</v>
      </c>
      <c r="CD213" s="87">
        <v>26.71</v>
      </c>
      <c r="CE213" s="87">
        <v>0.43</v>
      </c>
      <c r="CF213" s="170">
        <f t="shared" si="304"/>
        <v>1.5</v>
      </c>
      <c r="CG213" s="87">
        <v>0.69</v>
      </c>
      <c r="CH213" s="87">
        <v>0.51</v>
      </c>
      <c r="CI213" s="93">
        <v>7467.3</v>
      </c>
      <c r="CJ213" s="87">
        <v>29.63</v>
      </c>
      <c r="CK213" s="87">
        <v>27.99</v>
      </c>
      <c r="CL213" s="87">
        <v>-4.7</v>
      </c>
      <c r="CM213" s="165">
        <v>1000</v>
      </c>
      <c r="CN213" s="93">
        <v>11111.44</v>
      </c>
      <c r="CO213" s="108">
        <f t="shared" si="305"/>
        <v>12111.44</v>
      </c>
      <c r="CP213" s="108">
        <f t="shared" si="306"/>
        <v>1111.144</v>
      </c>
      <c r="CR213" s="82">
        <f t="shared" si="307"/>
        <v>12</v>
      </c>
      <c r="CS213" s="80">
        <f t="shared" si="308"/>
        <v>622.27499999999998</v>
      </c>
      <c r="CT213" s="80">
        <f t="shared" si="309"/>
        <v>925.95333333333338</v>
      </c>
      <c r="CU213" s="80">
        <f t="shared" si="310"/>
        <v>92.595333333333343</v>
      </c>
      <c r="CW213" s="80">
        <f t="shared" si="311"/>
        <v>7467.3</v>
      </c>
      <c r="CX213" s="80">
        <f t="shared" si="312"/>
        <v>11111.44</v>
      </c>
      <c r="CY213" s="80">
        <f t="shared" si="313"/>
        <v>1111.144</v>
      </c>
    </row>
    <row r="214" spans="1:103" hidden="1" outlineLevel="1" x14ac:dyDescent="0.2">
      <c r="A214" s="120"/>
      <c r="B214" s="72"/>
      <c r="C214" s="57" t="s">
        <v>1387</v>
      </c>
      <c r="D214" s="57" t="s">
        <v>1888</v>
      </c>
      <c r="E214" s="65" t="s">
        <v>1389</v>
      </c>
      <c r="F214" s="57" t="s">
        <v>1454</v>
      </c>
      <c r="G214" s="62" t="s">
        <v>1556</v>
      </c>
      <c r="H214" s="129" t="b">
        <v>0</v>
      </c>
      <c r="J214" s="123" t="s">
        <v>1866</v>
      </c>
      <c r="K214" s="123" t="s">
        <v>1866</v>
      </c>
      <c r="L214" s="123" t="s">
        <v>1866</v>
      </c>
      <c r="M214" s="137" t="b">
        <v>0</v>
      </c>
      <c r="Q214" s="128" t="b">
        <v>1</v>
      </c>
      <c r="R214" s="127" t="s">
        <v>1559</v>
      </c>
      <c r="S214" s="135" t="b">
        <v>1</v>
      </c>
      <c r="T214" s="126">
        <v>13</v>
      </c>
      <c r="U214" s="124">
        <v>1.4999999999999999E-2</v>
      </c>
      <c r="V214" s="126">
        <v>75</v>
      </c>
      <c r="W214" s="126">
        <v>-75</v>
      </c>
      <c r="X214" s="124">
        <v>50</v>
      </c>
      <c r="Y214" s="124">
        <v>5</v>
      </c>
      <c r="Z214" s="128" t="b">
        <v>1</v>
      </c>
      <c r="AA214" s="127" t="s">
        <v>1867</v>
      </c>
      <c r="AB214" s="133">
        <v>2</v>
      </c>
      <c r="AC214" s="137" t="b">
        <v>0</v>
      </c>
      <c r="AE214" s="137" t="b">
        <v>0</v>
      </c>
      <c r="AG214" s="135" t="b">
        <v>1</v>
      </c>
      <c r="AH214" s="125">
        <v>13</v>
      </c>
      <c r="AI214" s="125">
        <v>21</v>
      </c>
      <c r="AJ214" s="125">
        <v>34</v>
      </c>
      <c r="AK214" s="125">
        <v>55</v>
      </c>
      <c r="AL214" s="129" t="b">
        <v>0</v>
      </c>
      <c r="AM214" s="128" t="b">
        <v>1</v>
      </c>
      <c r="AN214" s="131" t="s">
        <v>1469</v>
      </c>
      <c r="AO214" s="141">
        <v>1.0000000000000001E-5</v>
      </c>
      <c r="AP214" s="128" t="b">
        <v>1</v>
      </c>
      <c r="AQ214" s="141">
        <v>1.0000000000000001E-5</v>
      </c>
      <c r="AR214" s="152">
        <v>12</v>
      </c>
      <c r="AS214" s="152">
        <v>26</v>
      </c>
      <c r="AT214" s="152">
        <v>9</v>
      </c>
      <c r="AU214" s="128" t="b">
        <v>1</v>
      </c>
      <c r="AV214" s="124">
        <v>3</v>
      </c>
      <c r="AW214" s="146">
        <v>5</v>
      </c>
      <c r="AX214" s="124">
        <v>1</v>
      </c>
      <c r="AY214" s="128" t="b">
        <v>1</v>
      </c>
      <c r="AZ214" s="122" t="s">
        <v>1586</v>
      </c>
      <c r="BA214" s="122">
        <v>4</v>
      </c>
      <c r="BB214" s="126">
        <v>0.05</v>
      </c>
      <c r="BC214" s="126">
        <v>0.5</v>
      </c>
      <c r="BD214" s="129" t="b">
        <v>0</v>
      </c>
      <c r="BE214" s="122" t="s">
        <v>1873</v>
      </c>
      <c r="BF214" s="128" t="b">
        <v>1</v>
      </c>
      <c r="BG214" s="122" t="s">
        <v>1578</v>
      </c>
      <c r="BH214" s="133">
        <v>0.02</v>
      </c>
      <c r="BI214" s="156" t="s">
        <v>403</v>
      </c>
      <c r="BJ214" s="128" t="b">
        <v>1</v>
      </c>
      <c r="BK214" s="161">
        <v>1.5</v>
      </c>
      <c r="BL214" s="129" t="b">
        <v>0</v>
      </c>
      <c r="BM214" s="156" t="s">
        <v>412</v>
      </c>
      <c r="BN214" s="128" t="b">
        <v>1</v>
      </c>
      <c r="BO214" s="156" t="s">
        <v>1382</v>
      </c>
      <c r="BP214" s="157">
        <v>1</v>
      </c>
      <c r="BQ214" s="157">
        <v>0.5</v>
      </c>
      <c r="BR214" s="166" t="str">
        <f t="shared" si="299"/>
        <v>13/ 21/ 34/ 55</v>
      </c>
      <c r="BS214" s="166" t="str">
        <f t="shared" si="300"/>
        <v>12 / 26 / 9</v>
      </c>
      <c r="BT214" s="166" t="str">
        <f t="shared" si="301"/>
        <v>0.05 / 0.5</v>
      </c>
      <c r="BU214" s="66">
        <v>426</v>
      </c>
      <c r="BV214" s="66">
        <v>249</v>
      </c>
      <c r="BW214" s="66">
        <v>195</v>
      </c>
      <c r="BX214" s="99">
        <f t="shared" si="302"/>
        <v>54</v>
      </c>
      <c r="BY214" s="66">
        <v>54</v>
      </c>
      <c r="BZ214" s="92">
        <f t="shared" si="303"/>
        <v>123</v>
      </c>
      <c r="CA214" s="204">
        <f t="shared" si="314"/>
        <v>0.58450704225352113</v>
      </c>
      <c r="CB214" s="205">
        <f t="shared" si="315"/>
        <v>0.12676056338028169</v>
      </c>
      <c r="CC214" s="87">
        <v>4.82</v>
      </c>
      <c r="CD214" s="87">
        <v>27.36</v>
      </c>
      <c r="CE214" s="87">
        <v>0.41</v>
      </c>
      <c r="CF214" s="170">
        <f t="shared" si="304"/>
        <v>1.5</v>
      </c>
      <c r="CG214" s="87">
        <v>0.71</v>
      </c>
      <c r="CH214" s="87">
        <v>0.52</v>
      </c>
      <c r="CI214" s="93">
        <v>7393</v>
      </c>
      <c r="CJ214" s="87">
        <v>29.69</v>
      </c>
      <c r="CK214" s="87">
        <v>27.5</v>
      </c>
      <c r="CL214" s="87">
        <v>-4.62</v>
      </c>
      <c r="CM214" s="165">
        <v>1000</v>
      </c>
      <c r="CN214" s="93">
        <v>11653.998</v>
      </c>
      <c r="CO214" s="108">
        <f t="shared" si="305"/>
        <v>12653.998</v>
      </c>
      <c r="CP214" s="108">
        <f t="shared" si="306"/>
        <v>1165.3997999999999</v>
      </c>
      <c r="CR214" s="82">
        <f t="shared" si="307"/>
        <v>12</v>
      </c>
      <c r="CS214" s="80">
        <f t="shared" si="308"/>
        <v>616.08333333333337</v>
      </c>
      <c r="CT214" s="80">
        <f t="shared" si="309"/>
        <v>971.16649999999993</v>
      </c>
      <c r="CU214" s="80">
        <f t="shared" si="310"/>
        <v>97.116649999999993</v>
      </c>
      <c r="CW214" s="80">
        <f t="shared" si="311"/>
        <v>7393</v>
      </c>
      <c r="CX214" s="80">
        <f t="shared" si="312"/>
        <v>11653.998</v>
      </c>
      <c r="CY214" s="80">
        <f t="shared" si="313"/>
        <v>1165.3997999999999</v>
      </c>
    </row>
    <row r="215" spans="1:103" hidden="1" outlineLevel="1" x14ac:dyDescent="0.2">
      <c r="A215" s="120"/>
      <c r="B215" s="72"/>
      <c r="C215" s="57" t="s">
        <v>1387</v>
      </c>
      <c r="D215" s="57" t="s">
        <v>1888</v>
      </c>
      <c r="E215" s="65" t="s">
        <v>1389</v>
      </c>
      <c r="F215" s="57" t="s">
        <v>1454</v>
      </c>
      <c r="G215" s="62" t="s">
        <v>1556</v>
      </c>
      <c r="H215" s="129" t="b">
        <v>0</v>
      </c>
      <c r="J215" s="123" t="s">
        <v>1866</v>
      </c>
      <c r="K215" s="123" t="s">
        <v>1866</v>
      </c>
      <c r="L215" s="123" t="s">
        <v>1866</v>
      </c>
      <c r="M215" s="137" t="b">
        <v>0</v>
      </c>
      <c r="Q215" s="128" t="b">
        <v>1</v>
      </c>
      <c r="R215" s="127" t="s">
        <v>1559</v>
      </c>
      <c r="S215" s="135" t="b">
        <v>1</v>
      </c>
      <c r="T215" s="126">
        <v>13</v>
      </c>
      <c r="U215" s="124">
        <v>1.4999999999999999E-2</v>
      </c>
      <c r="V215" s="126">
        <v>75</v>
      </c>
      <c r="W215" s="126">
        <v>-75</v>
      </c>
      <c r="X215" s="124">
        <v>50</v>
      </c>
      <c r="Y215" s="124">
        <v>5</v>
      </c>
      <c r="Z215" s="128" t="b">
        <v>1</v>
      </c>
      <c r="AA215" s="127" t="s">
        <v>1867</v>
      </c>
      <c r="AB215" s="133">
        <v>2</v>
      </c>
      <c r="AC215" s="137" t="b">
        <v>0</v>
      </c>
      <c r="AE215" s="137" t="b">
        <v>0</v>
      </c>
      <c r="AG215" s="135" t="b">
        <v>1</v>
      </c>
      <c r="AH215" s="125">
        <v>13</v>
      </c>
      <c r="AI215" s="125">
        <v>21</v>
      </c>
      <c r="AJ215" s="125">
        <v>34</v>
      </c>
      <c r="AK215" s="125">
        <v>55</v>
      </c>
      <c r="AL215" s="129" t="b">
        <v>0</v>
      </c>
      <c r="AM215" s="128" t="b">
        <v>1</v>
      </c>
      <c r="AN215" s="131" t="s">
        <v>1469</v>
      </c>
      <c r="AO215" s="141">
        <v>1.0000000000000001E-5</v>
      </c>
      <c r="AP215" s="128" t="b">
        <v>1</v>
      </c>
      <c r="AQ215" s="141">
        <v>1.0000000000000001E-5</v>
      </c>
      <c r="AR215" s="137">
        <v>21</v>
      </c>
      <c r="AS215" s="137">
        <v>34</v>
      </c>
      <c r="AT215" s="137">
        <v>9</v>
      </c>
      <c r="AU215" s="128" t="b">
        <v>1</v>
      </c>
      <c r="AV215" s="124">
        <v>3</v>
      </c>
      <c r="AW215" s="146">
        <v>5</v>
      </c>
      <c r="AX215" s="124">
        <v>1</v>
      </c>
      <c r="AY215" s="128" t="b">
        <v>1</v>
      </c>
      <c r="AZ215" s="122" t="s">
        <v>1586</v>
      </c>
      <c r="BA215" s="122">
        <v>4</v>
      </c>
      <c r="BB215" s="126">
        <v>0.05</v>
      </c>
      <c r="BC215" s="126">
        <v>0.5</v>
      </c>
      <c r="BD215" s="129" t="b">
        <v>0</v>
      </c>
      <c r="BE215" s="122" t="s">
        <v>1873</v>
      </c>
      <c r="BF215" s="128" t="b">
        <v>1</v>
      </c>
      <c r="BG215" s="122" t="s">
        <v>1578</v>
      </c>
      <c r="BH215" s="133">
        <v>0.02</v>
      </c>
      <c r="BI215" s="156" t="s">
        <v>403</v>
      </c>
      <c r="BJ215" s="128" t="b">
        <v>1</v>
      </c>
      <c r="BK215" s="161">
        <v>1.5</v>
      </c>
      <c r="BL215" s="129" t="b">
        <v>0</v>
      </c>
      <c r="BM215" s="156" t="s">
        <v>412</v>
      </c>
      <c r="BN215" s="128" t="b">
        <v>1</v>
      </c>
      <c r="BO215" s="156" t="s">
        <v>1382</v>
      </c>
      <c r="BP215" s="157">
        <v>1</v>
      </c>
      <c r="BQ215" s="157">
        <v>0.5</v>
      </c>
      <c r="BR215" s="166" t="str">
        <f t="shared" si="299"/>
        <v>13/ 21/ 34/ 55</v>
      </c>
      <c r="BS215" s="166" t="str">
        <f t="shared" si="300"/>
        <v>21 / 34 / 9</v>
      </c>
      <c r="BT215" s="166" t="str">
        <f t="shared" si="301"/>
        <v>0.05 / 0.5</v>
      </c>
      <c r="BU215" s="66">
        <v>430</v>
      </c>
      <c r="BV215" s="66">
        <v>242</v>
      </c>
      <c r="BW215" s="66">
        <v>189</v>
      </c>
      <c r="BX215" s="99">
        <f t="shared" si="302"/>
        <v>53</v>
      </c>
      <c r="BY215" s="66">
        <v>57</v>
      </c>
      <c r="BZ215" s="92">
        <f t="shared" si="303"/>
        <v>131</v>
      </c>
      <c r="CA215" s="204">
        <f t="shared" si="314"/>
        <v>0.56279069767441858</v>
      </c>
      <c r="CB215" s="205">
        <f t="shared" si="315"/>
        <v>0.13255813953488371</v>
      </c>
      <c r="CC215" s="87">
        <v>4.3</v>
      </c>
      <c r="CD215" s="87">
        <v>25.44</v>
      </c>
      <c r="CE215" s="87">
        <v>0.39</v>
      </c>
      <c r="CF215" s="170">
        <f t="shared" si="304"/>
        <v>1.5</v>
      </c>
      <c r="CG215" s="87">
        <v>0.72</v>
      </c>
      <c r="CH215" s="87">
        <v>0.54</v>
      </c>
      <c r="CI215" s="93">
        <v>7230</v>
      </c>
      <c r="CJ215" s="87">
        <v>29.88</v>
      </c>
      <c r="CK215" s="87">
        <v>28.07</v>
      </c>
      <c r="CL215" s="87">
        <v>-6.3</v>
      </c>
      <c r="CM215" s="165">
        <v>1000</v>
      </c>
      <c r="CN215" s="93">
        <v>10938.9</v>
      </c>
      <c r="CO215" s="108">
        <f t="shared" si="305"/>
        <v>11938.9</v>
      </c>
      <c r="CP215" s="108">
        <f t="shared" si="306"/>
        <v>1093.8899999999999</v>
      </c>
      <c r="CR215" s="82">
        <f t="shared" si="307"/>
        <v>12</v>
      </c>
      <c r="CS215" s="80">
        <f t="shared" si="308"/>
        <v>602.5</v>
      </c>
      <c r="CT215" s="80">
        <f t="shared" si="309"/>
        <v>911.57499999999993</v>
      </c>
      <c r="CU215" s="80">
        <f t="shared" si="310"/>
        <v>91.157499999999999</v>
      </c>
      <c r="CW215" s="80">
        <f t="shared" si="311"/>
        <v>7230</v>
      </c>
      <c r="CX215" s="80">
        <f t="shared" si="312"/>
        <v>10938.9</v>
      </c>
      <c r="CY215" s="80">
        <f t="shared" si="313"/>
        <v>1093.8899999999999</v>
      </c>
    </row>
    <row r="216" spans="1:103" hidden="1" outlineLevel="1" x14ac:dyDescent="0.2"/>
    <row r="217" spans="1:103" collapsed="1" x14ac:dyDescent="0.2">
      <c r="A217" s="120"/>
      <c r="B217" s="72" t="s">
        <v>1903</v>
      </c>
      <c r="C217" s="57" t="s">
        <v>1387</v>
      </c>
      <c r="D217" s="57" t="s">
        <v>1888</v>
      </c>
      <c r="E217" s="65" t="s">
        <v>1389</v>
      </c>
      <c r="F217" s="57" t="s">
        <v>1454</v>
      </c>
      <c r="G217" s="62" t="s">
        <v>1556</v>
      </c>
      <c r="H217" s="129" t="b">
        <v>0</v>
      </c>
      <c r="J217" s="123" t="s">
        <v>1866</v>
      </c>
      <c r="K217" s="123" t="s">
        <v>1866</v>
      </c>
      <c r="L217" s="123" t="s">
        <v>1866</v>
      </c>
      <c r="M217" s="137" t="b">
        <v>0</v>
      </c>
      <c r="Q217" s="128" t="b">
        <v>1</v>
      </c>
      <c r="R217" s="127" t="s">
        <v>1559</v>
      </c>
      <c r="S217" s="135" t="b">
        <v>1</v>
      </c>
      <c r="T217" s="126">
        <v>13</v>
      </c>
      <c r="U217" s="124">
        <v>1.4999999999999999E-2</v>
      </c>
      <c r="V217" s="126">
        <v>75</v>
      </c>
      <c r="W217" s="126">
        <v>-75</v>
      </c>
      <c r="X217" s="124">
        <v>50</v>
      </c>
      <c r="Y217" s="124">
        <v>5</v>
      </c>
      <c r="Z217" s="128" t="b">
        <v>1</v>
      </c>
      <c r="AA217" s="127" t="s">
        <v>1867</v>
      </c>
      <c r="AB217" s="133">
        <v>2</v>
      </c>
      <c r="AC217" s="137" t="b">
        <v>0</v>
      </c>
      <c r="AE217" s="137" t="b">
        <v>0</v>
      </c>
      <c r="AG217" s="135" t="b">
        <v>1</v>
      </c>
      <c r="AH217" s="125">
        <v>5</v>
      </c>
      <c r="AI217" s="125">
        <v>13</v>
      </c>
      <c r="AJ217" s="125">
        <v>34</v>
      </c>
      <c r="AK217" s="125">
        <v>89</v>
      </c>
      <c r="AL217" s="129" t="b">
        <v>0</v>
      </c>
      <c r="AM217" s="128" t="b">
        <v>1</v>
      </c>
      <c r="AN217" s="131" t="s">
        <v>1469</v>
      </c>
      <c r="AO217" s="141">
        <v>1.0000000000000001E-5</v>
      </c>
      <c r="AP217" s="128" t="b">
        <v>1</v>
      </c>
      <c r="AQ217" s="141">
        <v>1.0000000000000001E-5</v>
      </c>
      <c r="AR217" s="126">
        <v>5</v>
      </c>
      <c r="AS217" s="126">
        <v>8</v>
      </c>
      <c r="AT217" s="126">
        <v>5</v>
      </c>
      <c r="AU217" s="128" t="b">
        <v>1</v>
      </c>
      <c r="AV217" s="124">
        <v>3</v>
      </c>
      <c r="AW217" s="146">
        <v>5</v>
      </c>
      <c r="AX217" s="124">
        <v>1</v>
      </c>
      <c r="AY217" s="128" t="b">
        <v>1</v>
      </c>
      <c r="AZ217" s="122" t="s">
        <v>1586</v>
      </c>
      <c r="BA217" s="122">
        <v>4</v>
      </c>
      <c r="BB217" s="126">
        <v>0.05</v>
      </c>
      <c r="BC217" s="126">
        <v>0.5</v>
      </c>
      <c r="BD217" s="129" t="b">
        <v>0</v>
      </c>
      <c r="BE217" s="122" t="s">
        <v>1873</v>
      </c>
      <c r="BF217" s="128" t="b">
        <v>1</v>
      </c>
      <c r="BG217" s="122" t="s">
        <v>1578</v>
      </c>
      <c r="BH217" s="133">
        <v>0.02</v>
      </c>
      <c r="BI217" s="156" t="s">
        <v>403</v>
      </c>
      <c r="BJ217" s="128" t="b">
        <v>1</v>
      </c>
      <c r="BK217" s="161">
        <v>1.5</v>
      </c>
      <c r="BL217" s="129" t="b">
        <v>0</v>
      </c>
      <c r="BM217" s="156" t="s">
        <v>412</v>
      </c>
      <c r="BN217" s="128" t="b">
        <v>1</v>
      </c>
      <c r="BO217" s="156" t="s">
        <v>1382</v>
      </c>
      <c r="BP217" s="157">
        <v>1</v>
      </c>
      <c r="BQ217" s="157">
        <v>0.5</v>
      </c>
      <c r="BR217" s="166" t="str">
        <f t="shared" ref="BR217:BR224" si="316">AH217&amp;"/ "&amp;AI217&amp;"/ "&amp;AJ217&amp;"/ "&amp;AK217</f>
        <v>5/ 13/ 34/ 89</v>
      </c>
      <c r="BS217" s="166" t="str">
        <f t="shared" ref="BS217:BS224" si="317">AR217&amp;" / "&amp;AS217&amp;" / "&amp;AT217</f>
        <v>5 / 8 / 5</v>
      </c>
      <c r="BT217" s="166" t="str">
        <f t="shared" ref="BT217:BT224" si="318">BB217&amp;" / "&amp;BC217</f>
        <v>0.05 / 0.5</v>
      </c>
      <c r="BU217" s="66">
        <v>418</v>
      </c>
      <c r="BV217" s="66">
        <v>254</v>
      </c>
      <c r="BW217" s="66">
        <v>201</v>
      </c>
      <c r="BX217" s="99">
        <f t="shared" ref="BX217:BX224" si="319">BV217-BW217</f>
        <v>53</v>
      </c>
      <c r="BY217" s="66">
        <v>42</v>
      </c>
      <c r="BZ217" s="92">
        <f t="shared" ref="BZ217:BZ224" si="320">BU217-SUM(BW217:BY217)</f>
        <v>122</v>
      </c>
      <c r="CA217" s="204">
        <f>IF(BU217=0,0,BV217/BU217)</f>
        <v>0.60765550239234445</v>
      </c>
      <c r="CB217" s="205">
        <f>IF(BU217=0,0,BY217/BU217)</f>
        <v>0.10047846889952153</v>
      </c>
      <c r="CC217" s="87">
        <v>7.16</v>
      </c>
      <c r="CD217" s="87">
        <v>29.64</v>
      </c>
      <c r="CE217" s="87">
        <v>0.46</v>
      </c>
      <c r="CF217" s="170">
        <f t="shared" ref="CF217:CF224" si="321">BK217</f>
        <v>1.5</v>
      </c>
      <c r="CG217" s="87">
        <v>0.69</v>
      </c>
      <c r="CH217" s="87">
        <v>0.51</v>
      </c>
      <c r="CI217" s="93">
        <v>7556.7</v>
      </c>
      <c r="CJ217" s="87">
        <v>29.75</v>
      </c>
      <c r="CK217" s="87">
        <v>27.72</v>
      </c>
      <c r="CL217" s="87">
        <v>-5.59</v>
      </c>
      <c r="CM217" s="165">
        <v>1000</v>
      </c>
      <c r="CN217" s="93">
        <v>12388.64</v>
      </c>
      <c r="CO217" s="108">
        <f t="shared" ref="CO217:CO224" si="322">CM217+CN217</f>
        <v>13388.64</v>
      </c>
      <c r="CP217" s="108">
        <f t="shared" ref="CP217:CP224" si="323">CN217/10</f>
        <v>1238.864</v>
      </c>
      <c r="CR217" s="82">
        <f t="shared" ref="CR217:CR224" si="324">CR$4</f>
        <v>12</v>
      </c>
      <c r="CS217" s="80">
        <f t="shared" ref="CS217:CS224" si="325">CI217/CR217</f>
        <v>629.72500000000002</v>
      </c>
      <c r="CT217" s="80">
        <f t="shared" ref="CT217:CT224" si="326">CN217/CR217</f>
        <v>1032.3866666666665</v>
      </c>
      <c r="CU217" s="80">
        <f t="shared" ref="CU217:CU224" si="327">CT217/10</f>
        <v>103.23866666666666</v>
      </c>
      <c r="CW217" s="80">
        <f t="shared" ref="CW217:CW224" si="328">CI217</f>
        <v>7556.7</v>
      </c>
      <c r="CX217" s="80">
        <f t="shared" ref="CX217:CX224" si="329">CN217</f>
        <v>12388.64</v>
      </c>
      <c r="CY217" s="80">
        <f t="shared" ref="CY217:CY224" si="330">CP217</f>
        <v>1238.864</v>
      </c>
    </row>
    <row r="218" spans="1:103" hidden="1" outlineLevel="1" x14ac:dyDescent="0.2">
      <c r="A218" s="120"/>
      <c r="C218" s="57" t="s">
        <v>1387</v>
      </c>
      <c r="D218" s="57" t="s">
        <v>1888</v>
      </c>
      <c r="E218" s="65" t="s">
        <v>1389</v>
      </c>
      <c r="F218" s="57" t="s">
        <v>1454</v>
      </c>
      <c r="G218" s="62" t="s">
        <v>1556</v>
      </c>
      <c r="H218" s="129" t="b">
        <v>0</v>
      </c>
      <c r="J218" s="123" t="s">
        <v>1866</v>
      </c>
      <c r="K218" s="123" t="s">
        <v>1866</v>
      </c>
      <c r="L218" s="123" t="s">
        <v>1866</v>
      </c>
      <c r="M218" s="137" t="b">
        <v>0</v>
      </c>
      <c r="Q218" s="128" t="b">
        <v>1</v>
      </c>
      <c r="R218" s="127" t="s">
        <v>1559</v>
      </c>
      <c r="S218" s="135" t="b">
        <v>1</v>
      </c>
      <c r="T218" s="126">
        <v>13</v>
      </c>
      <c r="U218" s="124">
        <v>1.4999999999999999E-2</v>
      </c>
      <c r="V218" s="126">
        <v>75</v>
      </c>
      <c r="W218" s="126">
        <v>-75</v>
      </c>
      <c r="X218" s="124">
        <v>50</v>
      </c>
      <c r="Y218" s="124">
        <v>5</v>
      </c>
      <c r="Z218" s="128" t="b">
        <v>1</v>
      </c>
      <c r="AA218" s="127" t="s">
        <v>1867</v>
      </c>
      <c r="AB218" s="133">
        <v>2</v>
      </c>
      <c r="AC218" s="137" t="b">
        <v>0</v>
      </c>
      <c r="AE218" s="137" t="b">
        <v>0</v>
      </c>
      <c r="AG218" s="135" t="b">
        <v>1</v>
      </c>
      <c r="AH218" s="125">
        <v>5</v>
      </c>
      <c r="AI218" s="125">
        <v>13</v>
      </c>
      <c r="AJ218" s="125">
        <v>34</v>
      </c>
      <c r="AK218" s="125">
        <v>89</v>
      </c>
      <c r="AL218" s="129" t="b">
        <v>0</v>
      </c>
      <c r="AM218" s="128" t="b">
        <v>1</v>
      </c>
      <c r="AN218" s="131" t="s">
        <v>1469</v>
      </c>
      <c r="AO218" s="141">
        <v>1.0000000000000001E-5</v>
      </c>
      <c r="AP218" s="128" t="b">
        <v>1</v>
      </c>
      <c r="AQ218" s="141">
        <v>1.0000000000000001E-5</v>
      </c>
      <c r="AR218" s="137">
        <v>5</v>
      </c>
      <c r="AS218" s="137">
        <v>13</v>
      </c>
      <c r="AT218" s="137">
        <v>5</v>
      </c>
      <c r="AU218" s="128" t="b">
        <v>1</v>
      </c>
      <c r="AV218" s="124">
        <v>3</v>
      </c>
      <c r="AW218" s="146">
        <v>5</v>
      </c>
      <c r="AX218" s="124">
        <v>1</v>
      </c>
      <c r="AY218" s="128" t="b">
        <v>1</v>
      </c>
      <c r="AZ218" s="122" t="s">
        <v>1586</v>
      </c>
      <c r="BA218" s="122">
        <v>4</v>
      </c>
      <c r="BB218" s="126">
        <v>0.05</v>
      </c>
      <c r="BC218" s="126">
        <v>0.5</v>
      </c>
      <c r="BD218" s="129" t="b">
        <v>0</v>
      </c>
      <c r="BE218" s="122" t="s">
        <v>1873</v>
      </c>
      <c r="BF218" s="128" t="b">
        <v>1</v>
      </c>
      <c r="BG218" s="122" t="s">
        <v>1578</v>
      </c>
      <c r="BH218" s="133">
        <v>0.02</v>
      </c>
      <c r="BI218" s="156" t="s">
        <v>403</v>
      </c>
      <c r="BJ218" s="128" t="b">
        <v>1</v>
      </c>
      <c r="BK218" s="161">
        <v>1.5</v>
      </c>
      <c r="BL218" s="129" t="b">
        <v>0</v>
      </c>
      <c r="BM218" s="156" t="s">
        <v>412</v>
      </c>
      <c r="BN218" s="128" t="b">
        <v>1</v>
      </c>
      <c r="BO218" s="156" t="s">
        <v>1382</v>
      </c>
      <c r="BP218" s="157">
        <v>1</v>
      </c>
      <c r="BQ218" s="157">
        <v>0.5</v>
      </c>
      <c r="BR218" s="166" t="str">
        <f t="shared" si="316"/>
        <v>5/ 13/ 34/ 89</v>
      </c>
      <c r="BS218" s="166" t="str">
        <f t="shared" si="317"/>
        <v>5 / 13 / 5</v>
      </c>
      <c r="BT218" s="166" t="str">
        <f t="shared" si="318"/>
        <v>0.05 / 0.5</v>
      </c>
      <c r="BU218" s="66">
        <v>427</v>
      </c>
      <c r="BV218" s="66">
        <v>256</v>
      </c>
      <c r="BW218" s="66">
        <v>203</v>
      </c>
      <c r="BX218" s="99">
        <f t="shared" si="319"/>
        <v>53</v>
      </c>
      <c r="BY218" s="66">
        <v>48</v>
      </c>
      <c r="BZ218" s="92">
        <f t="shared" si="320"/>
        <v>123</v>
      </c>
      <c r="CA218" s="204">
        <f t="shared" ref="CA218:CA224" si="331">IF(BU218=0,0,BV218/BU218)</f>
        <v>0.59953161592505855</v>
      </c>
      <c r="CB218" s="205">
        <f t="shared" ref="CB218:CB224" si="332">IF(BU218=0,0,BY218/BU218)</f>
        <v>0.11241217798594848</v>
      </c>
      <c r="CC218" s="87">
        <v>6.47</v>
      </c>
      <c r="CD218" s="87">
        <v>28.57</v>
      </c>
      <c r="CE218" s="87">
        <v>0.45</v>
      </c>
      <c r="CF218" s="170">
        <f t="shared" si="321"/>
        <v>1.5</v>
      </c>
      <c r="CG218" s="87">
        <v>0.7</v>
      </c>
      <c r="CH218" s="87">
        <v>0.52</v>
      </c>
      <c r="CI218" s="93">
        <v>7691.5</v>
      </c>
      <c r="CJ218" s="87">
        <v>30.04</v>
      </c>
      <c r="CK218" s="87">
        <v>27.61</v>
      </c>
      <c r="CL218" s="87">
        <v>-4.17</v>
      </c>
      <c r="CM218" s="165">
        <v>1000</v>
      </c>
      <c r="CN218" s="93">
        <v>12197.25</v>
      </c>
      <c r="CO218" s="108">
        <f t="shared" si="322"/>
        <v>13197.25</v>
      </c>
      <c r="CP218" s="108">
        <f t="shared" si="323"/>
        <v>1219.7249999999999</v>
      </c>
      <c r="CR218" s="82">
        <f t="shared" si="324"/>
        <v>12</v>
      </c>
      <c r="CS218" s="80">
        <f t="shared" si="325"/>
        <v>640.95833333333337</v>
      </c>
      <c r="CT218" s="80">
        <f t="shared" si="326"/>
        <v>1016.4375</v>
      </c>
      <c r="CU218" s="80">
        <f t="shared" si="327"/>
        <v>101.64375</v>
      </c>
      <c r="CW218" s="80">
        <f t="shared" si="328"/>
        <v>7691.5</v>
      </c>
      <c r="CX218" s="80">
        <f t="shared" si="329"/>
        <v>12197.25</v>
      </c>
      <c r="CY218" s="80">
        <f t="shared" si="330"/>
        <v>1219.7249999999999</v>
      </c>
    </row>
    <row r="219" spans="1:103" hidden="1" outlineLevel="1" x14ac:dyDescent="0.2">
      <c r="A219" s="120"/>
      <c r="C219" s="57" t="s">
        <v>1387</v>
      </c>
      <c r="D219" s="57" t="s">
        <v>1888</v>
      </c>
      <c r="E219" s="65" t="s">
        <v>1389</v>
      </c>
      <c r="F219" s="57" t="s">
        <v>1454</v>
      </c>
      <c r="G219" s="62" t="s">
        <v>1556</v>
      </c>
      <c r="H219" s="129" t="b">
        <v>0</v>
      </c>
      <c r="J219" s="123" t="s">
        <v>1866</v>
      </c>
      <c r="K219" s="123" t="s">
        <v>1866</v>
      </c>
      <c r="L219" s="123" t="s">
        <v>1866</v>
      </c>
      <c r="M219" s="137" t="b">
        <v>0</v>
      </c>
      <c r="Q219" s="128" t="b">
        <v>1</v>
      </c>
      <c r="R219" s="127" t="s">
        <v>1559</v>
      </c>
      <c r="S219" s="135" t="b">
        <v>1</v>
      </c>
      <c r="T219" s="126">
        <v>13</v>
      </c>
      <c r="U219" s="124">
        <v>1.4999999999999999E-2</v>
      </c>
      <c r="V219" s="126">
        <v>75</v>
      </c>
      <c r="W219" s="126">
        <v>-75</v>
      </c>
      <c r="X219" s="124">
        <v>50</v>
      </c>
      <c r="Y219" s="124">
        <v>5</v>
      </c>
      <c r="Z219" s="128" t="b">
        <v>1</v>
      </c>
      <c r="AA219" s="127" t="s">
        <v>1867</v>
      </c>
      <c r="AB219" s="133">
        <v>2</v>
      </c>
      <c r="AC219" s="137" t="b">
        <v>0</v>
      </c>
      <c r="AE219" s="137" t="b">
        <v>0</v>
      </c>
      <c r="AG219" s="135" t="b">
        <v>1</v>
      </c>
      <c r="AH219" s="125">
        <v>5</v>
      </c>
      <c r="AI219" s="125">
        <v>13</v>
      </c>
      <c r="AJ219" s="125">
        <v>34</v>
      </c>
      <c r="AK219" s="125">
        <v>89</v>
      </c>
      <c r="AL219" s="129" t="b">
        <v>0</v>
      </c>
      <c r="AM219" s="128" t="b">
        <v>1</v>
      </c>
      <c r="AN219" s="131" t="s">
        <v>1469</v>
      </c>
      <c r="AO219" s="141">
        <v>1.0000000000000001E-5</v>
      </c>
      <c r="AP219" s="128" t="b">
        <v>1</v>
      </c>
      <c r="AQ219" s="141">
        <v>1.0000000000000001E-5</v>
      </c>
      <c r="AR219" s="137">
        <v>5</v>
      </c>
      <c r="AS219" s="137">
        <v>13</v>
      </c>
      <c r="AT219" s="137">
        <v>8</v>
      </c>
      <c r="AU219" s="128" t="b">
        <v>1</v>
      </c>
      <c r="AV219" s="124">
        <v>3</v>
      </c>
      <c r="AW219" s="146">
        <v>5</v>
      </c>
      <c r="AX219" s="124">
        <v>1</v>
      </c>
      <c r="AY219" s="128" t="b">
        <v>1</v>
      </c>
      <c r="AZ219" s="122" t="s">
        <v>1586</v>
      </c>
      <c r="BA219" s="122">
        <v>4</v>
      </c>
      <c r="BB219" s="126">
        <v>0.05</v>
      </c>
      <c r="BC219" s="126">
        <v>0.5</v>
      </c>
      <c r="BD219" s="129" t="b">
        <v>0</v>
      </c>
      <c r="BE219" s="122" t="s">
        <v>1873</v>
      </c>
      <c r="BF219" s="128" t="b">
        <v>1</v>
      </c>
      <c r="BG219" s="122" t="s">
        <v>1578</v>
      </c>
      <c r="BH219" s="133">
        <v>0.02</v>
      </c>
      <c r="BI219" s="156" t="s">
        <v>403</v>
      </c>
      <c r="BJ219" s="128" t="b">
        <v>1</v>
      </c>
      <c r="BK219" s="161">
        <v>1.5</v>
      </c>
      <c r="BL219" s="129" t="b">
        <v>0</v>
      </c>
      <c r="BM219" s="156" t="s">
        <v>412</v>
      </c>
      <c r="BN219" s="128" t="b">
        <v>1</v>
      </c>
      <c r="BO219" s="156" t="s">
        <v>1382</v>
      </c>
      <c r="BP219" s="157">
        <v>1</v>
      </c>
      <c r="BQ219" s="157">
        <v>0.5</v>
      </c>
      <c r="BR219" s="166" t="str">
        <f t="shared" si="316"/>
        <v>5/ 13/ 34/ 89</v>
      </c>
      <c r="BS219" s="166" t="str">
        <f t="shared" si="317"/>
        <v>5 / 13 / 8</v>
      </c>
      <c r="BT219" s="166" t="str">
        <f t="shared" si="318"/>
        <v>0.05 / 0.5</v>
      </c>
      <c r="BU219" s="66">
        <v>425</v>
      </c>
      <c r="BV219" s="66">
        <v>260</v>
      </c>
      <c r="BW219" s="66">
        <v>204</v>
      </c>
      <c r="BX219" s="99">
        <f t="shared" si="319"/>
        <v>56</v>
      </c>
      <c r="BY219" s="66">
        <v>47</v>
      </c>
      <c r="BZ219" s="92">
        <f t="shared" si="320"/>
        <v>118</v>
      </c>
      <c r="CA219" s="204">
        <f t="shared" si="331"/>
        <v>0.61176470588235299</v>
      </c>
      <c r="CB219" s="205">
        <f t="shared" si="332"/>
        <v>0.11058823529411765</v>
      </c>
      <c r="CC219" s="87">
        <v>6.7</v>
      </c>
      <c r="CD219" s="87">
        <v>30.24</v>
      </c>
      <c r="CE219" s="87">
        <v>0.47</v>
      </c>
      <c r="CF219" s="170">
        <f t="shared" si="321"/>
        <v>1.5</v>
      </c>
      <c r="CG219" s="87">
        <v>0.7</v>
      </c>
      <c r="CH219" s="87">
        <v>0.51</v>
      </c>
      <c r="CI219" s="93">
        <v>7842.4</v>
      </c>
      <c r="CJ219" s="87">
        <v>30.16</v>
      </c>
      <c r="CK219" s="87">
        <v>27.9</v>
      </c>
      <c r="CL219" s="87">
        <v>-5.6</v>
      </c>
      <c r="CM219" s="165">
        <v>1000</v>
      </c>
      <c r="CN219" s="93">
        <v>12850.28</v>
      </c>
      <c r="CO219" s="108">
        <f t="shared" si="322"/>
        <v>13850.28</v>
      </c>
      <c r="CP219" s="108">
        <f t="shared" si="323"/>
        <v>1285.028</v>
      </c>
      <c r="CR219" s="82">
        <f t="shared" si="324"/>
        <v>12</v>
      </c>
      <c r="CS219" s="80">
        <f t="shared" si="325"/>
        <v>653.5333333333333</v>
      </c>
      <c r="CT219" s="80">
        <f t="shared" si="326"/>
        <v>1070.8566666666668</v>
      </c>
      <c r="CU219" s="80">
        <f t="shared" si="327"/>
        <v>107.08566666666668</v>
      </c>
      <c r="CW219" s="80">
        <f t="shared" si="328"/>
        <v>7842.4</v>
      </c>
      <c r="CX219" s="80">
        <f t="shared" si="329"/>
        <v>12850.28</v>
      </c>
      <c r="CY219" s="80">
        <f t="shared" si="330"/>
        <v>1285.028</v>
      </c>
    </row>
    <row r="220" spans="1:103" hidden="1" outlineLevel="1" x14ac:dyDescent="0.2">
      <c r="A220" s="120"/>
      <c r="B220" s="72"/>
      <c r="C220" s="57" t="s">
        <v>1387</v>
      </c>
      <c r="D220" s="57" t="s">
        <v>1888</v>
      </c>
      <c r="E220" s="65" t="s">
        <v>1389</v>
      </c>
      <c r="F220" s="57" t="s">
        <v>1454</v>
      </c>
      <c r="G220" s="62" t="s">
        <v>1556</v>
      </c>
      <c r="H220" s="129" t="b">
        <v>0</v>
      </c>
      <c r="J220" s="123" t="s">
        <v>1866</v>
      </c>
      <c r="K220" s="123" t="s">
        <v>1866</v>
      </c>
      <c r="L220" s="123" t="s">
        <v>1866</v>
      </c>
      <c r="M220" s="137" t="b">
        <v>0</v>
      </c>
      <c r="Q220" s="128" t="b">
        <v>1</v>
      </c>
      <c r="R220" s="127" t="s">
        <v>1559</v>
      </c>
      <c r="S220" s="135" t="b">
        <v>1</v>
      </c>
      <c r="T220" s="126">
        <v>13</v>
      </c>
      <c r="U220" s="124">
        <v>1.4999999999999999E-2</v>
      </c>
      <c r="V220" s="126">
        <v>75</v>
      </c>
      <c r="W220" s="126">
        <v>-75</v>
      </c>
      <c r="X220" s="124">
        <v>50</v>
      </c>
      <c r="Y220" s="124">
        <v>5</v>
      </c>
      <c r="Z220" s="128" t="b">
        <v>1</v>
      </c>
      <c r="AA220" s="127" t="s">
        <v>1867</v>
      </c>
      <c r="AB220" s="133">
        <v>2</v>
      </c>
      <c r="AC220" s="137" t="b">
        <v>0</v>
      </c>
      <c r="AE220" s="137" t="b">
        <v>0</v>
      </c>
      <c r="AG220" s="135" t="b">
        <v>1</v>
      </c>
      <c r="AH220" s="125">
        <v>5</v>
      </c>
      <c r="AI220" s="125">
        <v>13</v>
      </c>
      <c r="AJ220" s="125">
        <v>34</v>
      </c>
      <c r="AK220" s="125">
        <v>89</v>
      </c>
      <c r="AL220" s="129" t="b">
        <v>0</v>
      </c>
      <c r="AM220" s="128" t="b">
        <v>1</v>
      </c>
      <c r="AN220" s="131" t="s">
        <v>1469</v>
      </c>
      <c r="AO220" s="141">
        <v>1.0000000000000001E-5</v>
      </c>
      <c r="AP220" s="128" t="b">
        <v>1</v>
      </c>
      <c r="AQ220" s="141">
        <v>1.0000000000000001E-5</v>
      </c>
      <c r="AR220" s="149">
        <v>8</v>
      </c>
      <c r="AS220" s="149">
        <v>13</v>
      </c>
      <c r="AT220" s="149">
        <v>8</v>
      </c>
      <c r="AU220" s="128" t="b">
        <v>1</v>
      </c>
      <c r="AV220" s="124">
        <v>3</v>
      </c>
      <c r="AW220" s="146">
        <v>5</v>
      </c>
      <c r="AX220" s="124">
        <v>1</v>
      </c>
      <c r="AY220" s="128" t="b">
        <v>1</v>
      </c>
      <c r="AZ220" s="122" t="s">
        <v>1586</v>
      </c>
      <c r="BA220" s="122">
        <v>4</v>
      </c>
      <c r="BB220" s="126">
        <v>0.05</v>
      </c>
      <c r="BC220" s="126">
        <v>0.5</v>
      </c>
      <c r="BD220" s="129" t="b">
        <v>0</v>
      </c>
      <c r="BE220" s="122" t="s">
        <v>1873</v>
      </c>
      <c r="BF220" s="128" t="b">
        <v>1</v>
      </c>
      <c r="BG220" s="122" t="s">
        <v>1578</v>
      </c>
      <c r="BH220" s="133">
        <v>0.02</v>
      </c>
      <c r="BI220" s="156" t="s">
        <v>403</v>
      </c>
      <c r="BJ220" s="128" t="b">
        <v>1</v>
      </c>
      <c r="BK220" s="161">
        <v>1.5</v>
      </c>
      <c r="BL220" s="129" t="b">
        <v>0</v>
      </c>
      <c r="BM220" s="156" t="s">
        <v>412</v>
      </c>
      <c r="BN220" s="128" t="b">
        <v>1</v>
      </c>
      <c r="BO220" s="156" t="s">
        <v>1382</v>
      </c>
      <c r="BP220" s="157">
        <v>1</v>
      </c>
      <c r="BQ220" s="157">
        <v>0.5</v>
      </c>
      <c r="BR220" s="166" t="str">
        <f t="shared" si="316"/>
        <v>5/ 13/ 34/ 89</v>
      </c>
      <c r="BS220" s="166" t="str">
        <f t="shared" si="317"/>
        <v>8 / 13 / 8</v>
      </c>
      <c r="BT220" s="166" t="str">
        <f t="shared" si="318"/>
        <v>0.05 / 0.5</v>
      </c>
      <c r="BU220" s="66">
        <v>425</v>
      </c>
      <c r="BV220" s="66">
        <v>260</v>
      </c>
      <c r="BW220" s="66">
        <v>204</v>
      </c>
      <c r="BX220" s="99">
        <f t="shared" si="319"/>
        <v>56</v>
      </c>
      <c r="BY220" s="66">
        <v>47</v>
      </c>
      <c r="BZ220" s="92">
        <f t="shared" si="320"/>
        <v>118</v>
      </c>
      <c r="CA220" s="204">
        <f t="shared" si="331"/>
        <v>0.61176470588235299</v>
      </c>
      <c r="CB220" s="205">
        <f t="shared" si="332"/>
        <v>0.11058823529411765</v>
      </c>
      <c r="CC220" s="87">
        <v>6.7</v>
      </c>
      <c r="CD220" s="87">
        <v>30.24</v>
      </c>
      <c r="CE220" s="87">
        <v>0.47</v>
      </c>
      <c r="CF220" s="170">
        <f t="shared" si="321"/>
        <v>1.5</v>
      </c>
      <c r="CG220" s="87">
        <v>0.7</v>
      </c>
      <c r="CH220" s="87">
        <v>0.51</v>
      </c>
      <c r="CI220" s="93">
        <v>7842.4</v>
      </c>
      <c r="CJ220" s="87">
        <v>30.16</v>
      </c>
      <c r="CK220" s="87">
        <v>27.9</v>
      </c>
      <c r="CL220" s="87">
        <v>-5.6</v>
      </c>
      <c r="CM220" s="165">
        <v>1000</v>
      </c>
      <c r="CN220" s="93">
        <v>12850.28</v>
      </c>
      <c r="CO220" s="108">
        <f t="shared" si="322"/>
        <v>13850.28</v>
      </c>
      <c r="CP220" s="108">
        <f t="shared" si="323"/>
        <v>1285.028</v>
      </c>
      <c r="CR220" s="82">
        <f t="shared" si="324"/>
        <v>12</v>
      </c>
      <c r="CS220" s="80">
        <f t="shared" si="325"/>
        <v>653.5333333333333</v>
      </c>
      <c r="CT220" s="80">
        <f t="shared" si="326"/>
        <v>1070.8566666666668</v>
      </c>
      <c r="CU220" s="80">
        <f t="shared" si="327"/>
        <v>107.08566666666668</v>
      </c>
      <c r="CW220" s="80">
        <f t="shared" si="328"/>
        <v>7842.4</v>
      </c>
      <c r="CX220" s="80">
        <f t="shared" si="329"/>
        <v>12850.28</v>
      </c>
      <c r="CY220" s="80">
        <f t="shared" si="330"/>
        <v>1285.028</v>
      </c>
    </row>
    <row r="221" spans="1:103" hidden="1" outlineLevel="1" x14ac:dyDescent="0.2">
      <c r="A221" s="120"/>
      <c r="B221" s="72"/>
      <c r="C221" s="57" t="s">
        <v>1387</v>
      </c>
      <c r="D221" s="57" t="s">
        <v>1888</v>
      </c>
      <c r="E221" s="65" t="s">
        <v>1389</v>
      </c>
      <c r="F221" s="57" t="s">
        <v>1454</v>
      </c>
      <c r="G221" s="62" t="s">
        <v>1556</v>
      </c>
      <c r="H221" s="129" t="b">
        <v>0</v>
      </c>
      <c r="J221" s="123" t="s">
        <v>1866</v>
      </c>
      <c r="K221" s="123" t="s">
        <v>1866</v>
      </c>
      <c r="L221" s="123" t="s">
        <v>1866</v>
      </c>
      <c r="M221" s="137" t="b">
        <v>0</v>
      </c>
      <c r="Q221" s="128" t="b">
        <v>1</v>
      </c>
      <c r="R221" s="127" t="s">
        <v>1559</v>
      </c>
      <c r="S221" s="135" t="b">
        <v>1</v>
      </c>
      <c r="T221" s="126">
        <v>13</v>
      </c>
      <c r="U221" s="124">
        <v>1.4999999999999999E-2</v>
      </c>
      <c r="V221" s="126">
        <v>75</v>
      </c>
      <c r="W221" s="126">
        <v>-75</v>
      </c>
      <c r="X221" s="124">
        <v>50</v>
      </c>
      <c r="Y221" s="124">
        <v>5</v>
      </c>
      <c r="Z221" s="128" t="b">
        <v>1</v>
      </c>
      <c r="AA221" s="127" t="s">
        <v>1867</v>
      </c>
      <c r="AB221" s="133">
        <v>2</v>
      </c>
      <c r="AC221" s="137" t="b">
        <v>0</v>
      </c>
      <c r="AE221" s="137" t="b">
        <v>0</v>
      </c>
      <c r="AG221" s="135" t="b">
        <v>1</v>
      </c>
      <c r="AH221" s="125">
        <v>5</v>
      </c>
      <c r="AI221" s="125">
        <v>13</v>
      </c>
      <c r="AJ221" s="125">
        <v>34</v>
      </c>
      <c r="AK221" s="125">
        <v>89</v>
      </c>
      <c r="AL221" s="129" t="b">
        <v>0</v>
      </c>
      <c r="AM221" s="128" t="b">
        <v>1</v>
      </c>
      <c r="AN221" s="131" t="s">
        <v>1469</v>
      </c>
      <c r="AO221" s="141">
        <v>1.0000000000000001E-5</v>
      </c>
      <c r="AP221" s="128" t="b">
        <v>1</v>
      </c>
      <c r="AQ221" s="141">
        <v>1.0000000000000001E-5</v>
      </c>
      <c r="AR221" s="149">
        <v>8</v>
      </c>
      <c r="AS221" s="149">
        <v>13</v>
      </c>
      <c r="AT221" s="149">
        <v>11</v>
      </c>
      <c r="AU221" s="128" t="b">
        <v>1</v>
      </c>
      <c r="AV221" s="124">
        <v>3</v>
      </c>
      <c r="AW221" s="146">
        <v>5</v>
      </c>
      <c r="AX221" s="124">
        <v>1</v>
      </c>
      <c r="AY221" s="128" t="b">
        <v>1</v>
      </c>
      <c r="AZ221" s="122" t="s">
        <v>1586</v>
      </c>
      <c r="BA221" s="122">
        <v>4</v>
      </c>
      <c r="BB221" s="126">
        <v>0.05</v>
      </c>
      <c r="BC221" s="126">
        <v>0.5</v>
      </c>
      <c r="BD221" s="129" t="b">
        <v>0</v>
      </c>
      <c r="BE221" s="122" t="s">
        <v>1873</v>
      </c>
      <c r="BF221" s="128" t="b">
        <v>1</v>
      </c>
      <c r="BG221" s="122" t="s">
        <v>1578</v>
      </c>
      <c r="BH221" s="133">
        <v>0.02</v>
      </c>
      <c r="BI221" s="156" t="s">
        <v>403</v>
      </c>
      <c r="BJ221" s="128" t="b">
        <v>1</v>
      </c>
      <c r="BK221" s="161">
        <v>1.5</v>
      </c>
      <c r="BL221" s="129" t="b">
        <v>0</v>
      </c>
      <c r="BM221" s="156" t="s">
        <v>412</v>
      </c>
      <c r="BN221" s="128" t="b">
        <v>1</v>
      </c>
      <c r="BO221" s="156" t="s">
        <v>1382</v>
      </c>
      <c r="BP221" s="157">
        <v>1</v>
      </c>
      <c r="BQ221" s="157">
        <v>0.5</v>
      </c>
      <c r="BR221" s="166" t="str">
        <f t="shared" si="316"/>
        <v>5/ 13/ 34/ 89</v>
      </c>
      <c r="BS221" s="166" t="str">
        <f t="shared" si="317"/>
        <v>8 / 13 / 11</v>
      </c>
      <c r="BT221" s="166" t="str">
        <f t="shared" si="318"/>
        <v>0.05 / 0.5</v>
      </c>
      <c r="BU221" s="66">
        <v>422</v>
      </c>
      <c r="BV221" s="66">
        <v>259</v>
      </c>
      <c r="BW221" s="66">
        <v>203</v>
      </c>
      <c r="BX221" s="99">
        <f t="shared" si="319"/>
        <v>56</v>
      </c>
      <c r="BY221" s="66">
        <v>45</v>
      </c>
      <c r="BZ221" s="92">
        <f t="shared" si="320"/>
        <v>118</v>
      </c>
      <c r="CA221" s="204">
        <f t="shared" si="331"/>
        <v>0.61374407582938384</v>
      </c>
      <c r="CB221" s="205">
        <f t="shared" si="332"/>
        <v>0.1066350710900474</v>
      </c>
      <c r="CC221" s="87">
        <v>7.13</v>
      </c>
      <c r="CD221" s="87">
        <v>31.3</v>
      </c>
      <c r="CE221" s="87">
        <v>0.48</v>
      </c>
      <c r="CF221" s="170">
        <f t="shared" si="321"/>
        <v>1.5</v>
      </c>
      <c r="CG221" s="87">
        <v>0.71</v>
      </c>
      <c r="CH221" s="87">
        <v>0.52</v>
      </c>
      <c r="CI221" s="93">
        <v>7776.3</v>
      </c>
      <c r="CJ221" s="87">
        <v>30.02</v>
      </c>
      <c r="CK221" s="87">
        <v>27.5</v>
      </c>
      <c r="CL221" s="87">
        <v>-4.57</v>
      </c>
      <c r="CM221" s="165">
        <v>1000</v>
      </c>
      <c r="CN221" s="208">
        <v>13207.55</v>
      </c>
      <c r="CO221" s="209">
        <f t="shared" si="322"/>
        <v>14207.55</v>
      </c>
      <c r="CP221" s="209">
        <f t="shared" si="323"/>
        <v>1320.7549999999999</v>
      </c>
      <c r="CR221" s="82">
        <f t="shared" si="324"/>
        <v>12</v>
      </c>
      <c r="CS221" s="80">
        <f t="shared" si="325"/>
        <v>648.02499999999998</v>
      </c>
      <c r="CT221" s="80">
        <f t="shared" si="326"/>
        <v>1100.6291666666666</v>
      </c>
      <c r="CU221" s="80">
        <f t="shared" si="327"/>
        <v>110.06291666666667</v>
      </c>
      <c r="CW221" s="80">
        <f t="shared" si="328"/>
        <v>7776.3</v>
      </c>
      <c r="CX221" s="80">
        <f t="shared" si="329"/>
        <v>13207.55</v>
      </c>
      <c r="CY221" s="80">
        <f t="shared" si="330"/>
        <v>1320.7549999999999</v>
      </c>
    </row>
    <row r="222" spans="1:103" hidden="1" outlineLevel="1" x14ac:dyDescent="0.2">
      <c r="A222" s="120"/>
      <c r="B222" s="72"/>
      <c r="C222" s="57" t="s">
        <v>1387</v>
      </c>
      <c r="D222" s="57" t="s">
        <v>1888</v>
      </c>
      <c r="E222" s="65" t="s">
        <v>1389</v>
      </c>
      <c r="F222" s="57" t="s">
        <v>1454</v>
      </c>
      <c r="G222" s="62" t="s">
        <v>1556</v>
      </c>
      <c r="H222" s="129" t="b">
        <v>0</v>
      </c>
      <c r="J222" s="123" t="s">
        <v>1866</v>
      </c>
      <c r="K222" s="123" t="s">
        <v>1866</v>
      </c>
      <c r="L222" s="123" t="s">
        <v>1866</v>
      </c>
      <c r="M222" s="137" t="b">
        <v>0</v>
      </c>
      <c r="Q222" s="128" t="b">
        <v>1</v>
      </c>
      <c r="R222" s="127" t="s">
        <v>1559</v>
      </c>
      <c r="S222" s="135" t="b">
        <v>1</v>
      </c>
      <c r="T222" s="126">
        <v>13</v>
      </c>
      <c r="U222" s="124">
        <v>1.4999999999999999E-2</v>
      </c>
      <c r="V222" s="126">
        <v>75</v>
      </c>
      <c r="W222" s="126">
        <v>-75</v>
      </c>
      <c r="X222" s="124">
        <v>50</v>
      </c>
      <c r="Y222" s="124">
        <v>5</v>
      </c>
      <c r="Z222" s="128" t="b">
        <v>1</v>
      </c>
      <c r="AA222" s="127" t="s">
        <v>1867</v>
      </c>
      <c r="AB222" s="133">
        <v>2</v>
      </c>
      <c r="AC222" s="137" t="b">
        <v>0</v>
      </c>
      <c r="AE222" s="137" t="b">
        <v>0</v>
      </c>
      <c r="AG222" s="135" t="b">
        <v>1</v>
      </c>
      <c r="AH222" s="125">
        <v>5</v>
      </c>
      <c r="AI222" s="125">
        <v>13</v>
      </c>
      <c r="AJ222" s="125">
        <v>34</v>
      </c>
      <c r="AK222" s="125">
        <v>89</v>
      </c>
      <c r="AL222" s="129" t="b">
        <v>0</v>
      </c>
      <c r="AM222" s="128" t="b">
        <v>1</v>
      </c>
      <c r="AN222" s="131" t="s">
        <v>1469</v>
      </c>
      <c r="AO222" s="141">
        <v>1.0000000000000001E-5</v>
      </c>
      <c r="AP222" s="128" t="b">
        <v>1</v>
      </c>
      <c r="AQ222" s="141">
        <v>1.0000000000000001E-5</v>
      </c>
      <c r="AR222" s="150">
        <v>8</v>
      </c>
      <c r="AS222" s="150">
        <v>17</v>
      </c>
      <c r="AT222" s="150">
        <v>9</v>
      </c>
      <c r="AU222" s="128" t="b">
        <v>1</v>
      </c>
      <c r="AV222" s="124">
        <v>3</v>
      </c>
      <c r="AW222" s="146">
        <v>5</v>
      </c>
      <c r="AX222" s="124">
        <v>1</v>
      </c>
      <c r="AY222" s="128" t="b">
        <v>1</v>
      </c>
      <c r="AZ222" s="122" t="s">
        <v>1586</v>
      </c>
      <c r="BA222" s="122">
        <v>4</v>
      </c>
      <c r="BB222" s="126">
        <v>0.05</v>
      </c>
      <c r="BC222" s="126">
        <v>0.5</v>
      </c>
      <c r="BD222" s="129" t="b">
        <v>0</v>
      </c>
      <c r="BE222" s="122" t="s">
        <v>1873</v>
      </c>
      <c r="BF222" s="128" t="b">
        <v>1</v>
      </c>
      <c r="BG222" s="122" t="s">
        <v>1578</v>
      </c>
      <c r="BH222" s="133">
        <v>0.02</v>
      </c>
      <c r="BI222" s="156" t="s">
        <v>403</v>
      </c>
      <c r="BJ222" s="128" t="b">
        <v>1</v>
      </c>
      <c r="BK222" s="161">
        <v>1.5</v>
      </c>
      <c r="BL222" s="129" t="b">
        <v>0</v>
      </c>
      <c r="BM222" s="156" t="s">
        <v>412</v>
      </c>
      <c r="BN222" s="128" t="b">
        <v>1</v>
      </c>
      <c r="BO222" s="156" t="s">
        <v>1382</v>
      </c>
      <c r="BP222" s="157">
        <v>1</v>
      </c>
      <c r="BQ222" s="157">
        <v>0.5</v>
      </c>
      <c r="BR222" s="166" t="str">
        <f t="shared" si="316"/>
        <v>5/ 13/ 34/ 89</v>
      </c>
      <c r="BS222" s="166" t="str">
        <f t="shared" si="317"/>
        <v>8 / 17 / 9</v>
      </c>
      <c r="BT222" s="166" t="str">
        <f t="shared" si="318"/>
        <v>0.05 / 0.5</v>
      </c>
      <c r="BU222" s="66">
        <v>413</v>
      </c>
      <c r="BV222" s="66">
        <v>254</v>
      </c>
      <c r="BW222" s="66">
        <v>203</v>
      </c>
      <c r="BX222" s="99">
        <f t="shared" si="319"/>
        <v>51</v>
      </c>
      <c r="BY222" s="66">
        <v>46</v>
      </c>
      <c r="BZ222" s="92">
        <f t="shared" si="320"/>
        <v>113</v>
      </c>
      <c r="CA222" s="204">
        <f t="shared" si="331"/>
        <v>0.61501210653753025</v>
      </c>
      <c r="CB222" s="205">
        <f t="shared" si="332"/>
        <v>0.11138014527845036</v>
      </c>
      <c r="CC222" s="87">
        <v>7.16</v>
      </c>
      <c r="CD222" s="87">
        <v>29.54</v>
      </c>
      <c r="CE222" s="87">
        <v>0.48</v>
      </c>
      <c r="CF222" s="170">
        <f t="shared" si="321"/>
        <v>1.5</v>
      </c>
      <c r="CG222" s="87">
        <v>0.69</v>
      </c>
      <c r="CH222" s="87">
        <v>0.51</v>
      </c>
      <c r="CI222" s="93">
        <v>7585.4</v>
      </c>
      <c r="CJ222" s="87">
        <v>29.86</v>
      </c>
      <c r="CK222" s="87">
        <v>27.56</v>
      </c>
      <c r="CL222" s="87">
        <v>-6.03</v>
      </c>
      <c r="CM222" s="165">
        <v>1000</v>
      </c>
      <c r="CN222" s="93">
        <v>12201.2</v>
      </c>
      <c r="CO222" s="108">
        <f t="shared" si="322"/>
        <v>13201.2</v>
      </c>
      <c r="CP222" s="108">
        <f t="shared" si="323"/>
        <v>1220.1200000000001</v>
      </c>
      <c r="CR222" s="82">
        <f t="shared" si="324"/>
        <v>12</v>
      </c>
      <c r="CS222" s="80">
        <f t="shared" si="325"/>
        <v>632.11666666666667</v>
      </c>
      <c r="CT222" s="80">
        <f t="shared" si="326"/>
        <v>1016.7666666666668</v>
      </c>
      <c r="CU222" s="80">
        <f t="shared" si="327"/>
        <v>101.67666666666668</v>
      </c>
      <c r="CW222" s="80">
        <f t="shared" si="328"/>
        <v>7585.4</v>
      </c>
      <c r="CX222" s="80">
        <f t="shared" si="329"/>
        <v>12201.2</v>
      </c>
      <c r="CY222" s="80">
        <f t="shared" si="330"/>
        <v>1220.1200000000001</v>
      </c>
    </row>
    <row r="223" spans="1:103" hidden="1" outlineLevel="1" x14ac:dyDescent="0.2">
      <c r="A223" s="120"/>
      <c r="B223" s="72"/>
      <c r="C223" s="57" t="s">
        <v>1387</v>
      </c>
      <c r="D223" s="57" t="s">
        <v>1888</v>
      </c>
      <c r="E223" s="65" t="s">
        <v>1389</v>
      </c>
      <c r="F223" s="57" t="s">
        <v>1454</v>
      </c>
      <c r="G223" s="62" t="s">
        <v>1556</v>
      </c>
      <c r="H223" s="129" t="b">
        <v>0</v>
      </c>
      <c r="J223" s="123" t="s">
        <v>1866</v>
      </c>
      <c r="K223" s="123" t="s">
        <v>1866</v>
      </c>
      <c r="L223" s="123" t="s">
        <v>1866</v>
      </c>
      <c r="M223" s="137" t="b">
        <v>0</v>
      </c>
      <c r="Q223" s="128" t="b">
        <v>1</v>
      </c>
      <c r="R223" s="127" t="s">
        <v>1559</v>
      </c>
      <c r="S223" s="135" t="b">
        <v>1</v>
      </c>
      <c r="T223" s="126">
        <v>13</v>
      </c>
      <c r="U223" s="124">
        <v>1.4999999999999999E-2</v>
      </c>
      <c r="V223" s="126">
        <v>75</v>
      </c>
      <c r="W223" s="126">
        <v>-75</v>
      </c>
      <c r="X223" s="124">
        <v>50</v>
      </c>
      <c r="Y223" s="124">
        <v>5</v>
      </c>
      <c r="Z223" s="128" t="b">
        <v>1</v>
      </c>
      <c r="AA223" s="127" t="s">
        <v>1867</v>
      </c>
      <c r="AB223" s="133">
        <v>2</v>
      </c>
      <c r="AC223" s="137" t="b">
        <v>0</v>
      </c>
      <c r="AE223" s="137" t="b">
        <v>0</v>
      </c>
      <c r="AG223" s="135" t="b">
        <v>1</v>
      </c>
      <c r="AH223" s="125">
        <v>5</v>
      </c>
      <c r="AI223" s="125">
        <v>13</v>
      </c>
      <c r="AJ223" s="125">
        <v>34</v>
      </c>
      <c r="AK223" s="125">
        <v>89</v>
      </c>
      <c r="AL223" s="129" t="b">
        <v>0</v>
      </c>
      <c r="AM223" s="128" t="b">
        <v>1</v>
      </c>
      <c r="AN223" s="131" t="s">
        <v>1469</v>
      </c>
      <c r="AO223" s="141">
        <v>1.0000000000000001E-5</v>
      </c>
      <c r="AP223" s="128" t="b">
        <v>1</v>
      </c>
      <c r="AQ223" s="141">
        <v>1.0000000000000001E-5</v>
      </c>
      <c r="AR223" s="152">
        <v>12</v>
      </c>
      <c r="AS223" s="152">
        <v>26</v>
      </c>
      <c r="AT223" s="152">
        <v>9</v>
      </c>
      <c r="AU223" s="128" t="b">
        <v>1</v>
      </c>
      <c r="AV223" s="124">
        <v>3</v>
      </c>
      <c r="AW223" s="146">
        <v>5</v>
      </c>
      <c r="AX223" s="124">
        <v>1</v>
      </c>
      <c r="AY223" s="128" t="b">
        <v>1</v>
      </c>
      <c r="AZ223" s="122" t="s">
        <v>1586</v>
      </c>
      <c r="BA223" s="122">
        <v>4</v>
      </c>
      <c r="BB223" s="126">
        <v>0.05</v>
      </c>
      <c r="BC223" s="126">
        <v>0.5</v>
      </c>
      <c r="BD223" s="129" t="b">
        <v>0</v>
      </c>
      <c r="BE223" s="122" t="s">
        <v>1873</v>
      </c>
      <c r="BF223" s="128" t="b">
        <v>1</v>
      </c>
      <c r="BG223" s="122" t="s">
        <v>1578</v>
      </c>
      <c r="BH223" s="133">
        <v>0.02</v>
      </c>
      <c r="BI223" s="156" t="s">
        <v>403</v>
      </c>
      <c r="BJ223" s="128" t="b">
        <v>1</v>
      </c>
      <c r="BK223" s="161">
        <v>1.5</v>
      </c>
      <c r="BL223" s="129" t="b">
        <v>0</v>
      </c>
      <c r="BM223" s="156" t="s">
        <v>412</v>
      </c>
      <c r="BN223" s="128" t="b">
        <v>1</v>
      </c>
      <c r="BO223" s="156" t="s">
        <v>1382</v>
      </c>
      <c r="BP223" s="157">
        <v>1</v>
      </c>
      <c r="BQ223" s="157">
        <v>0.5</v>
      </c>
      <c r="BR223" s="166" t="str">
        <f t="shared" si="316"/>
        <v>5/ 13/ 34/ 89</v>
      </c>
      <c r="BS223" s="166" t="str">
        <f t="shared" si="317"/>
        <v>12 / 26 / 9</v>
      </c>
      <c r="BT223" s="166" t="str">
        <f t="shared" si="318"/>
        <v>0.05 / 0.5</v>
      </c>
      <c r="BU223" s="66">
        <v>420</v>
      </c>
      <c r="BV223" s="66">
        <v>250</v>
      </c>
      <c r="BW223" s="66">
        <v>196</v>
      </c>
      <c r="BX223" s="99">
        <f t="shared" si="319"/>
        <v>54</v>
      </c>
      <c r="BY223" s="66">
        <v>48</v>
      </c>
      <c r="BZ223" s="92">
        <f t="shared" si="320"/>
        <v>122</v>
      </c>
      <c r="CA223" s="204">
        <f t="shared" si="331"/>
        <v>0.59523809523809523</v>
      </c>
      <c r="CB223" s="205">
        <f t="shared" si="332"/>
        <v>0.11428571428571428</v>
      </c>
      <c r="CC223" s="87">
        <v>6.15</v>
      </c>
      <c r="CD223" s="87">
        <v>30.01</v>
      </c>
      <c r="CE223" s="87">
        <v>0.45</v>
      </c>
      <c r="CF223" s="170">
        <f t="shared" si="321"/>
        <v>1.5</v>
      </c>
      <c r="CG223" s="87">
        <v>0.72</v>
      </c>
      <c r="CH223" s="87">
        <v>0.51</v>
      </c>
      <c r="CI223" s="93">
        <v>7467.3</v>
      </c>
      <c r="CJ223" s="87">
        <v>29.87</v>
      </c>
      <c r="CK223" s="87">
        <v>27.26</v>
      </c>
      <c r="CL223" s="87">
        <v>-4.3899999999999997</v>
      </c>
      <c r="CM223" s="165">
        <v>1000</v>
      </c>
      <c r="CN223" s="93">
        <v>12605.36</v>
      </c>
      <c r="CO223" s="108">
        <f t="shared" si="322"/>
        <v>13605.36</v>
      </c>
      <c r="CP223" s="108">
        <f t="shared" si="323"/>
        <v>1260.5360000000001</v>
      </c>
      <c r="CR223" s="82">
        <f t="shared" si="324"/>
        <v>12</v>
      </c>
      <c r="CS223" s="80">
        <f t="shared" si="325"/>
        <v>622.27499999999998</v>
      </c>
      <c r="CT223" s="80">
        <f t="shared" si="326"/>
        <v>1050.4466666666667</v>
      </c>
      <c r="CU223" s="80">
        <f t="shared" si="327"/>
        <v>105.04466666666667</v>
      </c>
      <c r="CW223" s="80">
        <f t="shared" si="328"/>
        <v>7467.3</v>
      </c>
      <c r="CX223" s="80">
        <f t="shared" si="329"/>
        <v>12605.36</v>
      </c>
      <c r="CY223" s="80">
        <f t="shared" si="330"/>
        <v>1260.5360000000001</v>
      </c>
    </row>
    <row r="224" spans="1:103" hidden="1" outlineLevel="1" x14ac:dyDescent="0.2">
      <c r="A224" s="120"/>
      <c r="B224" s="72"/>
      <c r="C224" s="57" t="s">
        <v>1387</v>
      </c>
      <c r="D224" s="57" t="s">
        <v>1888</v>
      </c>
      <c r="E224" s="65" t="s">
        <v>1389</v>
      </c>
      <c r="F224" s="57" t="s">
        <v>1454</v>
      </c>
      <c r="G224" s="62" t="s">
        <v>1556</v>
      </c>
      <c r="H224" s="129" t="b">
        <v>0</v>
      </c>
      <c r="J224" s="123" t="s">
        <v>1866</v>
      </c>
      <c r="K224" s="123" t="s">
        <v>1866</v>
      </c>
      <c r="L224" s="123" t="s">
        <v>1866</v>
      </c>
      <c r="M224" s="137" t="b">
        <v>0</v>
      </c>
      <c r="Q224" s="128" t="b">
        <v>1</v>
      </c>
      <c r="R224" s="127" t="s">
        <v>1559</v>
      </c>
      <c r="S224" s="135" t="b">
        <v>1</v>
      </c>
      <c r="T224" s="126">
        <v>13</v>
      </c>
      <c r="U224" s="124">
        <v>1.4999999999999999E-2</v>
      </c>
      <c r="V224" s="126">
        <v>75</v>
      </c>
      <c r="W224" s="126">
        <v>-75</v>
      </c>
      <c r="X224" s="124">
        <v>50</v>
      </c>
      <c r="Y224" s="124">
        <v>5</v>
      </c>
      <c r="Z224" s="128" t="b">
        <v>1</v>
      </c>
      <c r="AA224" s="127" t="s">
        <v>1867</v>
      </c>
      <c r="AB224" s="133">
        <v>2</v>
      </c>
      <c r="AC224" s="137" t="b">
        <v>0</v>
      </c>
      <c r="AE224" s="137" t="b">
        <v>0</v>
      </c>
      <c r="AG224" s="135" t="b">
        <v>1</v>
      </c>
      <c r="AH224" s="125">
        <v>5</v>
      </c>
      <c r="AI224" s="125">
        <v>13</v>
      </c>
      <c r="AJ224" s="125">
        <v>34</v>
      </c>
      <c r="AK224" s="125">
        <v>89</v>
      </c>
      <c r="AL224" s="129" t="b">
        <v>0</v>
      </c>
      <c r="AM224" s="128" t="b">
        <v>1</v>
      </c>
      <c r="AN224" s="131" t="s">
        <v>1469</v>
      </c>
      <c r="AO224" s="141">
        <v>1.0000000000000001E-5</v>
      </c>
      <c r="AP224" s="128" t="b">
        <v>1</v>
      </c>
      <c r="AQ224" s="141">
        <v>1.0000000000000001E-5</v>
      </c>
      <c r="AR224" s="137">
        <v>21</v>
      </c>
      <c r="AS224" s="137">
        <v>34</v>
      </c>
      <c r="AT224" s="137">
        <v>9</v>
      </c>
      <c r="AU224" s="128" t="b">
        <v>1</v>
      </c>
      <c r="AV224" s="124">
        <v>3</v>
      </c>
      <c r="AW224" s="146">
        <v>5</v>
      </c>
      <c r="AX224" s="124">
        <v>1</v>
      </c>
      <c r="AY224" s="128" t="b">
        <v>1</v>
      </c>
      <c r="AZ224" s="122" t="s">
        <v>1586</v>
      </c>
      <c r="BA224" s="122">
        <v>4</v>
      </c>
      <c r="BB224" s="126">
        <v>0.05</v>
      </c>
      <c r="BC224" s="126">
        <v>0.5</v>
      </c>
      <c r="BD224" s="129" t="b">
        <v>0</v>
      </c>
      <c r="BE224" s="122" t="s">
        <v>1873</v>
      </c>
      <c r="BF224" s="128" t="b">
        <v>1</v>
      </c>
      <c r="BG224" s="122" t="s">
        <v>1578</v>
      </c>
      <c r="BH224" s="133">
        <v>0.02</v>
      </c>
      <c r="BI224" s="156" t="s">
        <v>403</v>
      </c>
      <c r="BJ224" s="128" t="b">
        <v>1</v>
      </c>
      <c r="BK224" s="161">
        <v>1.5</v>
      </c>
      <c r="BL224" s="129" t="b">
        <v>0</v>
      </c>
      <c r="BM224" s="156" t="s">
        <v>412</v>
      </c>
      <c r="BN224" s="128" t="b">
        <v>1</v>
      </c>
      <c r="BO224" s="156" t="s">
        <v>1382</v>
      </c>
      <c r="BP224" s="157">
        <v>1</v>
      </c>
      <c r="BQ224" s="157">
        <v>0.5</v>
      </c>
      <c r="BR224" s="166" t="str">
        <f t="shared" si="316"/>
        <v>5/ 13/ 34/ 89</v>
      </c>
      <c r="BS224" s="166" t="str">
        <f t="shared" si="317"/>
        <v>21 / 34 / 9</v>
      </c>
      <c r="BT224" s="166" t="str">
        <f t="shared" si="318"/>
        <v>0.05 / 0.5</v>
      </c>
      <c r="BU224" s="66">
        <v>419</v>
      </c>
      <c r="BV224" s="66">
        <v>242</v>
      </c>
      <c r="BW224" s="66">
        <v>190</v>
      </c>
      <c r="BX224" s="99">
        <f t="shared" si="319"/>
        <v>52</v>
      </c>
      <c r="BY224" s="66">
        <v>51</v>
      </c>
      <c r="BZ224" s="92">
        <f t="shared" si="320"/>
        <v>126</v>
      </c>
      <c r="CA224" s="204">
        <f t="shared" si="331"/>
        <v>0.57756563245823389</v>
      </c>
      <c r="CB224" s="205">
        <f t="shared" si="332"/>
        <v>0.12171837708830549</v>
      </c>
      <c r="CC224" s="87">
        <v>5.39</v>
      </c>
      <c r="CD224" s="87">
        <v>28.11</v>
      </c>
      <c r="CE224" s="87">
        <v>0.43</v>
      </c>
      <c r="CF224" s="170">
        <f t="shared" si="321"/>
        <v>1.5</v>
      </c>
      <c r="CG224" s="87">
        <v>0.72</v>
      </c>
      <c r="CH224" s="87">
        <v>0.56000000000000005</v>
      </c>
      <c r="CI224" s="93">
        <v>7278.7</v>
      </c>
      <c r="CJ224" s="87">
        <v>30.08</v>
      </c>
      <c r="CK224" s="87">
        <v>27.74</v>
      </c>
      <c r="CL224" s="87">
        <v>-6.3</v>
      </c>
      <c r="CM224" s="165">
        <v>1000</v>
      </c>
      <c r="CN224" s="93">
        <v>11776.98</v>
      </c>
      <c r="CO224" s="108">
        <f t="shared" si="322"/>
        <v>12776.98</v>
      </c>
      <c r="CP224" s="108">
        <f t="shared" si="323"/>
        <v>1177.6979999999999</v>
      </c>
      <c r="CR224" s="82">
        <f t="shared" si="324"/>
        <v>12</v>
      </c>
      <c r="CS224" s="80">
        <f t="shared" si="325"/>
        <v>606.55833333333328</v>
      </c>
      <c r="CT224" s="80">
        <f t="shared" si="326"/>
        <v>981.41499999999996</v>
      </c>
      <c r="CU224" s="80">
        <f t="shared" si="327"/>
        <v>98.141499999999994</v>
      </c>
      <c r="CW224" s="80">
        <f t="shared" si="328"/>
        <v>7278.7</v>
      </c>
      <c r="CX224" s="80">
        <f t="shared" si="329"/>
        <v>11776.98</v>
      </c>
      <c r="CY224" s="80">
        <f t="shared" si="330"/>
        <v>1177.6979999999999</v>
      </c>
    </row>
    <row r="225" spans="1:103" s="111" customFormat="1" collapsed="1" x14ac:dyDescent="0.2">
      <c r="G225" s="210"/>
      <c r="H225" s="190"/>
      <c r="I225" s="190"/>
      <c r="J225" s="191"/>
      <c r="K225" s="191"/>
      <c r="L225" s="191"/>
      <c r="M225" s="147"/>
      <c r="N225" s="147"/>
      <c r="O225" s="147"/>
      <c r="P225" s="147"/>
      <c r="Q225" s="190"/>
      <c r="R225" s="190"/>
      <c r="S225" s="147"/>
      <c r="T225" s="147"/>
      <c r="U225" s="147"/>
      <c r="V225" s="147"/>
      <c r="W225" s="147"/>
      <c r="X225" s="147"/>
      <c r="Y225" s="147"/>
      <c r="Z225" s="190"/>
      <c r="AA225" s="190"/>
      <c r="AB225" s="190"/>
      <c r="AC225" s="192"/>
      <c r="AD225" s="192"/>
      <c r="AE225" s="192"/>
      <c r="AF225" s="147"/>
      <c r="AG225" s="147"/>
      <c r="AH225" s="147"/>
      <c r="AI225" s="147"/>
      <c r="AJ225" s="147"/>
      <c r="AK225" s="147"/>
      <c r="AL225" s="190"/>
      <c r="AM225" s="190"/>
      <c r="AN225" s="190"/>
      <c r="AO225" s="190"/>
      <c r="AP225" s="190"/>
      <c r="AQ225" s="190"/>
      <c r="AR225" s="190"/>
      <c r="AS225" s="194"/>
      <c r="AT225" s="195"/>
      <c r="AU225" s="190"/>
      <c r="AV225" s="147"/>
      <c r="AW225" s="147"/>
      <c r="AX225" s="147"/>
      <c r="AY225" s="190"/>
      <c r="AZ225" s="190"/>
      <c r="BA225" s="190"/>
      <c r="BB225" s="195"/>
      <c r="BC225" s="196"/>
      <c r="BD225" s="190"/>
      <c r="BE225" s="190"/>
      <c r="BF225" s="190"/>
      <c r="BG225" s="190"/>
      <c r="BH225" s="190"/>
      <c r="BI225" s="196"/>
      <c r="BJ225" s="190"/>
      <c r="BK225" s="197"/>
      <c r="BL225" s="190"/>
      <c r="BM225" s="196"/>
      <c r="BN225" s="190"/>
      <c r="BO225" s="196"/>
      <c r="BP225" s="198"/>
      <c r="BQ225" s="198"/>
      <c r="BS225" s="199"/>
      <c r="BT225" s="199"/>
      <c r="BU225" s="200"/>
      <c r="CB225" s="203"/>
      <c r="CF225" s="201"/>
    </row>
    <row r="226" spans="1:103" x14ac:dyDescent="0.2">
      <c r="A226" s="120">
        <v>250706</v>
      </c>
      <c r="B226" s="72" t="s">
        <v>1904</v>
      </c>
      <c r="C226" s="57" t="s">
        <v>1387</v>
      </c>
      <c r="D226" s="57" t="s">
        <v>1440</v>
      </c>
      <c r="E226" s="65" t="s">
        <v>1389</v>
      </c>
      <c r="F226" s="57" t="s">
        <v>1454</v>
      </c>
      <c r="G226" s="62" t="s">
        <v>1556</v>
      </c>
      <c r="H226" s="129" t="b">
        <v>0</v>
      </c>
      <c r="J226" s="123" t="s">
        <v>1866</v>
      </c>
      <c r="K226" s="123" t="s">
        <v>1866</v>
      </c>
      <c r="L226" s="123" t="s">
        <v>1866</v>
      </c>
      <c r="M226" s="137" t="b">
        <v>0</v>
      </c>
      <c r="Q226" s="128" t="b">
        <v>1</v>
      </c>
      <c r="R226" s="127" t="s">
        <v>1559</v>
      </c>
      <c r="S226" s="135" t="b">
        <v>1</v>
      </c>
      <c r="T226" s="126">
        <v>13</v>
      </c>
      <c r="U226" s="124">
        <v>1.4999999999999999E-2</v>
      </c>
      <c r="V226" s="126">
        <v>75</v>
      </c>
      <c r="W226" s="126">
        <v>-75</v>
      </c>
      <c r="X226" s="124">
        <v>50</v>
      </c>
      <c r="Y226" s="124">
        <v>5</v>
      </c>
      <c r="Z226" s="128" t="b">
        <v>1</v>
      </c>
      <c r="AA226" s="127" t="s">
        <v>1867</v>
      </c>
      <c r="AB226" s="133">
        <v>2</v>
      </c>
      <c r="AC226" s="137" t="b">
        <v>0</v>
      </c>
      <c r="AE226" s="137" t="b">
        <v>0</v>
      </c>
      <c r="AG226" s="135" t="b">
        <v>1</v>
      </c>
      <c r="AH226" s="125">
        <v>5</v>
      </c>
      <c r="AI226" s="125">
        <v>13</v>
      </c>
      <c r="AJ226" s="125">
        <v>34</v>
      </c>
      <c r="AK226" s="125">
        <v>89</v>
      </c>
      <c r="AL226" s="129" t="b">
        <v>0</v>
      </c>
      <c r="AM226" s="128" t="b">
        <v>1</v>
      </c>
      <c r="AN226" s="131" t="s">
        <v>1469</v>
      </c>
      <c r="AO226" s="141">
        <v>1.0000000000000001E-5</v>
      </c>
      <c r="AP226" s="128" t="b">
        <v>1</v>
      </c>
      <c r="AQ226" s="141">
        <v>1.0000000000000001E-5</v>
      </c>
      <c r="AR226" s="126">
        <v>5</v>
      </c>
      <c r="AS226" s="126">
        <v>8</v>
      </c>
      <c r="AT226" s="126">
        <v>5</v>
      </c>
      <c r="AU226" s="128" t="b">
        <v>1</v>
      </c>
      <c r="AV226" s="124">
        <v>3</v>
      </c>
      <c r="AW226" s="146">
        <v>5</v>
      </c>
      <c r="AX226" s="124">
        <v>1</v>
      </c>
      <c r="AY226" s="128" t="b">
        <v>1</v>
      </c>
      <c r="AZ226" s="122" t="s">
        <v>1586</v>
      </c>
      <c r="BA226" s="122">
        <v>4</v>
      </c>
      <c r="BB226" s="126">
        <v>0.05</v>
      </c>
      <c r="BC226" s="126">
        <v>0.5</v>
      </c>
      <c r="BD226" s="129" t="b">
        <v>0</v>
      </c>
      <c r="BE226" s="122" t="s">
        <v>1873</v>
      </c>
      <c r="BF226" s="128" t="b">
        <v>1</v>
      </c>
      <c r="BG226" s="122" t="s">
        <v>1578</v>
      </c>
      <c r="BH226" s="133">
        <v>0.02</v>
      </c>
      <c r="BI226" s="156" t="s">
        <v>403</v>
      </c>
      <c r="BJ226" s="128" t="b">
        <v>1</v>
      </c>
      <c r="BK226" s="161">
        <v>1.5</v>
      </c>
      <c r="BL226" s="129" t="b">
        <v>0</v>
      </c>
      <c r="BM226" s="156" t="s">
        <v>412</v>
      </c>
      <c r="BN226" s="128" t="b">
        <v>1</v>
      </c>
      <c r="BO226" s="156" t="s">
        <v>1382</v>
      </c>
      <c r="BP226" s="157">
        <v>1</v>
      </c>
      <c r="BQ226" s="157">
        <v>0.5</v>
      </c>
      <c r="BR226" s="166" t="str">
        <f t="shared" ref="BR226" si="333">AH226&amp;"/ "&amp;AI226&amp;"/ "&amp;AJ226&amp;"/ "&amp;AK226</f>
        <v>5/ 13/ 34/ 89</v>
      </c>
      <c r="BS226" s="166" t="str">
        <f t="shared" ref="BS226:BS233" si="334">AR226&amp;" / "&amp;AS226&amp;" / "&amp;AT226</f>
        <v>5 / 8 / 5</v>
      </c>
      <c r="BT226" s="166" t="str">
        <f t="shared" ref="BT226:BT233" si="335">BB226&amp;" / "&amp;BC226</f>
        <v>0.05 / 0.5</v>
      </c>
      <c r="BU226" s="66">
        <v>1654</v>
      </c>
      <c r="BV226" s="66">
        <v>1010</v>
      </c>
      <c r="BW226" s="66">
        <v>834</v>
      </c>
      <c r="BX226" s="99">
        <f t="shared" ref="BX226:BX233" si="336">BV226-BW226</f>
        <v>176</v>
      </c>
      <c r="BY226" s="66">
        <v>160</v>
      </c>
      <c r="BZ226" s="92">
        <f t="shared" ref="BZ226:BZ233" si="337">BU226-SUM(BW226:BY226)</f>
        <v>484</v>
      </c>
      <c r="CA226" s="204">
        <f>IF(BU226=0,0,BV226/BU226)</f>
        <v>0.61064087061668681</v>
      </c>
      <c r="CB226" s="205">
        <f>IF(BU226=0,0,BY226/BU226)</f>
        <v>9.6735187424425634E-2</v>
      </c>
      <c r="CC226" s="87">
        <v>5.54</v>
      </c>
      <c r="CD226" s="87">
        <v>44.26</v>
      </c>
      <c r="CE226" s="87">
        <v>0.5</v>
      </c>
      <c r="CF226" s="170">
        <f t="shared" ref="CF226:CF233" si="338">BK226</f>
        <v>1.5</v>
      </c>
      <c r="CG226" s="87">
        <v>0.66</v>
      </c>
      <c r="CH226" s="87">
        <v>0.52</v>
      </c>
      <c r="CI226" s="93">
        <v>14285.8</v>
      </c>
      <c r="CJ226" s="87">
        <v>14.14</v>
      </c>
      <c r="CK226" s="87">
        <v>13.92</v>
      </c>
      <c r="CL226" s="87">
        <v>-5.47</v>
      </c>
      <c r="CM226" s="165">
        <v>1000</v>
      </c>
      <c r="CN226" s="93">
        <v>73205.37</v>
      </c>
      <c r="CO226" s="108">
        <f t="shared" ref="CO226:CO233" si="339">CM226+CN226</f>
        <v>74205.37</v>
      </c>
      <c r="CP226" s="108">
        <f t="shared" ref="CP226:CP233" si="340">CN226/10</f>
        <v>7320.5369999999994</v>
      </c>
      <c r="CR226" s="82">
        <f t="shared" ref="CR226:CR233" si="341">CR$4</f>
        <v>12</v>
      </c>
      <c r="CS226" s="80">
        <f t="shared" ref="CS226:CS233" si="342">CI226/CR226</f>
        <v>1190.4833333333333</v>
      </c>
      <c r="CT226" s="80">
        <f t="shared" ref="CT226:CT233" si="343">CN226/CR226</f>
        <v>6100.4474999999993</v>
      </c>
      <c r="CU226" s="80">
        <f t="shared" ref="CU226:CU233" si="344">CT226/10</f>
        <v>610.04474999999991</v>
      </c>
      <c r="CW226" s="80">
        <f t="shared" ref="CW226:CW233" si="345">CI226</f>
        <v>14285.8</v>
      </c>
      <c r="CX226" s="80">
        <f t="shared" ref="CX226:CX233" si="346">CN226</f>
        <v>73205.37</v>
      </c>
      <c r="CY226" s="80">
        <f t="shared" ref="CY226:CY233" si="347">CP226</f>
        <v>7320.5369999999994</v>
      </c>
    </row>
    <row r="227" spans="1:103" x14ac:dyDescent="0.2">
      <c r="A227" s="120"/>
      <c r="B227" s="72"/>
      <c r="C227" s="57" t="s">
        <v>1387</v>
      </c>
      <c r="D227" s="57" t="s">
        <v>1440</v>
      </c>
      <c r="E227" s="65" t="s">
        <v>1389</v>
      </c>
      <c r="F227" s="57" t="s">
        <v>1454</v>
      </c>
      <c r="G227" s="62" t="s">
        <v>1556</v>
      </c>
      <c r="H227" s="129" t="b">
        <v>0</v>
      </c>
      <c r="J227" s="123" t="s">
        <v>1866</v>
      </c>
      <c r="K227" s="123" t="s">
        <v>1866</v>
      </c>
      <c r="L227" s="123" t="s">
        <v>1866</v>
      </c>
      <c r="M227" s="137" t="b">
        <v>0</v>
      </c>
      <c r="Q227" s="128" t="b">
        <v>1</v>
      </c>
      <c r="R227" s="127" t="s">
        <v>1559</v>
      </c>
      <c r="S227" s="135" t="b">
        <v>1</v>
      </c>
      <c r="T227" s="126">
        <v>13</v>
      </c>
      <c r="U227" s="124">
        <v>1.4999999999999999E-2</v>
      </c>
      <c r="V227" s="126">
        <v>75</v>
      </c>
      <c r="W227" s="126">
        <v>-75</v>
      </c>
      <c r="X227" s="124">
        <v>50</v>
      </c>
      <c r="Y227" s="124">
        <v>5</v>
      </c>
      <c r="Z227" s="128" t="b">
        <v>1</v>
      </c>
      <c r="AA227" s="127" t="s">
        <v>1867</v>
      </c>
      <c r="AB227" s="133">
        <v>2</v>
      </c>
      <c r="AC227" s="137" t="b">
        <v>0</v>
      </c>
      <c r="AE227" s="137" t="b">
        <v>0</v>
      </c>
      <c r="AG227" s="135" t="b">
        <v>1</v>
      </c>
      <c r="AH227" s="125">
        <v>5</v>
      </c>
      <c r="AI227" s="125">
        <v>13</v>
      </c>
      <c r="AJ227" s="125">
        <v>34</v>
      </c>
      <c r="AK227" s="125">
        <v>89</v>
      </c>
      <c r="AL227" s="129" t="b">
        <v>0</v>
      </c>
      <c r="AM227" s="128" t="b">
        <v>1</v>
      </c>
      <c r="AN227" s="131" t="s">
        <v>1469</v>
      </c>
      <c r="AO227" s="141">
        <v>1.0000000000000001E-5</v>
      </c>
      <c r="AP227" s="128" t="b">
        <v>1</v>
      </c>
      <c r="AQ227" s="141">
        <v>1.0000000000000001E-5</v>
      </c>
      <c r="AR227" s="137">
        <v>5</v>
      </c>
      <c r="AS227" s="137">
        <v>13</v>
      </c>
      <c r="AT227" s="137">
        <v>5</v>
      </c>
      <c r="AU227" s="128" t="b">
        <v>1</v>
      </c>
      <c r="AV227" s="124">
        <v>3</v>
      </c>
      <c r="AW227" s="146">
        <v>5</v>
      </c>
      <c r="AX227" s="124">
        <v>1</v>
      </c>
      <c r="AY227" s="128" t="b">
        <v>1</v>
      </c>
      <c r="AZ227" s="122" t="s">
        <v>1586</v>
      </c>
      <c r="BA227" s="122">
        <v>4</v>
      </c>
      <c r="BB227" s="126">
        <v>0.05</v>
      </c>
      <c r="BC227" s="126">
        <v>0.5</v>
      </c>
      <c r="BD227" s="129" t="b">
        <v>0</v>
      </c>
      <c r="BE227" s="122" t="s">
        <v>1873</v>
      </c>
      <c r="BF227" s="128" t="b">
        <v>1</v>
      </c>
      <c r="BG227" s="122" t="s">
        <v>1578</v>
      </c>
      <c r="BH227" s="133">
        <v>0.02</v>
      </c>
      <c r="BI227" s="156" t="s">
        <v>403</v>
      </c>
      <c r="BJ227" s="128" t="b">
        <v>1</v>
      </c>
      <c r="BK227" s="161">
        <v>1.5</v>
      </c>
      <c r="BL227" s="129" t="b">
        <v>0</v>
      </c>
      <c r="BM227" s="156" t="s">
        <v>412</v>
      </c>
      <c r="BN227" s="128" t="b">
        <v>1</v>
      </c>
      <c r="BO227" s="156" t="s">
        <v>1382</v>
      </c>
      <c r="BP227" s="157">
        <v>1</v>
      </c>
      <c r="BQ227" s="157">
        <v>0.5</v>
      </c>
      <c r="BR227" s="166" t="str">
        <f>AH227&amp;"/ "&amp;AI227&amp;"/ "&amp;AJ227&amp;"/ "&amp;AK227</f>
        <v>5/ 13/ 34/ 89</v>
      </c>
      <c r="BS227" s="166" t="str">
        <f t="shared" si="334"/>
        <v>5 / 13 / 5</v>
      </c>
      <c r="BT227" s="166" t="str">
        <f t="shared" si="335"/>
        <v>0.05 / 0.5</v>
      </c>
      <c r="BU227" s="66"/>
      <c r="BV227" s="66"/>
      <c r="BW227" s="66"/>
      <c r="BX227" s="99">
        <f t="shared" si="336"/>
        <v>0</v>
      </c>
      <c r="BY227" s="66"/>
      <c r="BZ227" s="92">
        <f t="shared" si="337"/>
        <v>0</v>
      </c>
      <c r="CA227" s="204">
        <f t="shared" ref="CA227:CA233" si="348">IF(BU227=0,0,BV227/BU227)</f>
        <v>0</v>
      </c>
      <c r="CB227" s="205">
        <f>IF(BU227=0,0,BY227/BU227)</f>
        <v>0</v>
      </c>
      <c r="CC227" s="87"/>
      <c r="CD227" s="87"/>
      <c r="CE227" s="87"/>
      <c r="CF227" s="170">
        <f t="shared" si="338"/>
        <v>1.5</v>
      </c>
      <c r="CG227" s="87"/>
      <c r="CH227" s="87"/>
      <c r="CI227" s="93"/>
      <c r="CJ227" s="87"/>
      <c r="CK227" s="87"/>
      <c r="CL227" s="87"/>
      <c r="CM227" s="165">
        <v>1000</v>
      </c>
      <c r="CN227" s="93"/>
      <c r="CO227" s="108">
        <f t="shared" si="339"/>
        <v>1000</v>
      </c>
      <c r="CP227" s="108">
        <f t="shared" si="340"/>
        <v>0</v>
      </c>
      <c r="CR227" s="82">
        <f t="shared" si="341"/>
        <v>12</v>
      </c>
      <c r="CS227" s="80">
        <f t="shared" si="342"/>
        <v>0</v>
      </c>
      <c r="CT227" s="80">
        <f t="shared" si="343"/>
        <v>0</v>
      </c>
      <c r="CU227" s="80">
        <f t="shared" si="344"/>
        <v>0</v>
      </c>
      <c r="CW227" s="80">
        <f t="shared" si="345"/>
        <v>0</v>
      </c>
      <c r="CX227" s="80">
        <f t="shared" si="346"/>
        <v>0</v>
      </c>
      <c r="CY227" s="80">
        <f t="shared" si="347"/>
        <v>0</v>
      </c>
    </row>
    <row r="228" spans="1:103" x14ac:dyDescent="0.2">
      <c r="A228" s="120"/>
      <c r="B228" s="72"/>
      <c r="C228" s="57" t="s">
        <v>1387</v>
      </c>
      <c r="D228" s="57" t="s">
        <v>1440</v>
      </c>
      <c r="E228" s="65" t="s">
        <v>1389</v>
      </c>
      <c r="F228" s="57" t="s">
        <v>1454</v>
      </c>
      <c r="G228" s="62" t="s">
        <v>1556</v>
      </c>
      <c r="H228" s="129" t="b">
        <v>0</v>
      </c>
      <c r="J228" s="123" t="s">
        <v>1866</v>
      </c>
      <c r="K228" s="123" t="s">
        <v>1866</v>
      </c>
      <c r="L228" s="123" t="s">
        <v>1866</v>
      </c>
      <c r="M228" s="137" t="b">
        <v>0</v>
      </c>
      <c r="Q228" s="128" t="b">
        <v>1</v>
      </c>
      <c r="R228" s="127" t="s">
        <v>1559</v>
      </c>
      <c r="S228" s="135" t="b">
        <v>1</v>
      </c>
      <c r="T228" s="126">
        <v>13</v>
      </c>
      <c r="U228" s="124">
        <v>1.4999999999999999E-2</v>
      </c>
      <c r="V228" s="126">
        <v>75</v>
      </c>
      <c r="W228" s="126">
        <v>-75</v>
      </c>
      <c r="X228" s="124">
        <v>50</v>
      </c>
      <c r="Y228" s="124">
        <v>5</v>
      </c>
      <c r="Z228" s="128" t="b">
        <v>1</v>
      </c>
      <c r="AA228" s="127" t="s">
        <v>1867</v>
      </c>
      <c r="AB228" s="133">
        <v>2</v>
      </c>
      <c r="AC228" s="137" t="b">
        <v>0</v>
      </c>
      <c r="AE228" s="137" t="b">
        <v>0</v>
      </c>
      <c r="AG228" s="135" t="b">
        <v>1</v>
      </c>
      <c r="AH228" s="125">
        <v>5</v>
      </c>
      <c r="AI228" s="125">
        <v>13</v>
      </c>
      <c r="AJ228" s="125">
        <v>34</v>
      </c>
      <c r="AK228" s="125">
        <v>89</v>
      </c>
      <c r="AL228" s="129" t="b">
        <v>0</v>
      </c>
      <c r="AM228" s="128" t="b">
        <v>1</v>
      </c>
      <c r="AN228" s="131" t="s">
        <v>1469</v>
      </c>
      <c r="AO228" s="141">
        <v>1.0000000000000001E-5</v>
      </c>
      <c r="AP228" s="128" t="b">
        <v>1</v>
      </c>
      <c r="AQ228" s="141">
        <v>1.0000000000000001E-5</v>
      </c>
      <c r="AR228" s="137">
        <v>5</v>
      </c>
      <c r="AS228" s="137">
        <v>13</v>
      </c>
      <c r="AT228" s="137">
        <v>8</v>
      </c>
      <c r="AU228" s="128" t="b">
        <v>1</v>
      </c>
      <c r="AV228" s="124">
        <v>3</v>
      </c>
      <c r="AW228" s="146">
        <v>5</v>
      </c>
      <c r="AX228" s="124">
        <v>1</v>
      </c>
      <c r="AY228" s="128" t="b">
        <v>1</v>
      </c>
      <c r="AZ228" s="122" t="s">
        <v>1586</v>
      </c>
      <c r="BA228" s="122">
        <v>4</v>
      </c>
      <c r="BB228" s="126">
        <v>0.05</v>
      </c>
      <c r="BC228" s="126">
        <v>0.5</v>
      </c>
      <c r="BD228" s="129" t="b">
        <v>0</v>
      </c>
      <c r="BE228" s="122" t="s">
        <v>1873</v>
      </c>
      <c r="BF228" s="128" t="b">
        <v>1</v>
      </c>
      <c r="BG228" s="122" t="s">
        <v>1578</v>
      </c>
      <c r="BH228" s="133">
        <v>0.02</v>
      </c>
      <c r="BI228" s="156" t="s">
        <v>403</v>
      </c>
      <c r="BJ228" s="128" t="b">
        <v>1</v>
      </c>
      <c r="BK228" s="161">
        <v>1.5</v>
      </c>
      <c r="BL228" s="129" t="b">
        <v>0</v>
      </c>
      <c r="BM228" s="156" t="s">
        <v>412</v>
      </c>
      <c r="BN228" s="128" t="b">
        <v>1</v>
      </c>
      <c r="BO228" s="156" t="s">
        <v>1382</v>
      </c>
      <c r="BP228" s="157">
        <v>1</v>
      </c>
      <c r="BQ228" s="157">
        <v>0.5</v>
      </c>
      <c r="BR228" s="166" t="str">
        <f>AH228&amp;"/ "&amp;AI228&amp;"/ "&amp;AJ228&amp;"/ "&amp;AK228</f>
        <v>5/ 13/ 34/ 89</v>
      </c>
      <c r="BS228" s="166" t="str">
        <f t="shared" si="334"/>
        <v>5 / 13 / 8</v>
      </c>
      <c r="BT228" s="166" t="str">
        <f t="shared" si="335"/>
        <v>0.05 / 0.5</v>
      </c>
      <c r="BU228" s="66"/>
      <c r="BV228" s="66"/>
      <c r="BW228" s="66"/>
      <c r="BX228" s="99">
        <f t="shared" si="336"/>
        <v>0</v>
      </c>
      <c r="BY228" s="66"/>
      <c r="BZ228" s="92">
        <f t="shared" si="337"/>
        <v>0</v>
      </c>
      <c r="CA228" s="204">
        <f t="shared" si="348"/>
        <v>0</v>
      </c>
      <c r="CB228" s="205">
        <f>IF(BU228=0,0,BY228/BU228)</f>
        <v>0</v>
      </c>
      <c r="CC228" s="87"/>
      <c r="CD228" s="87"/>
      <c r="CE228" s="87"/>
      <c r="CF228" s="170">
        <f t="shared" si="338"/>
        <v>1.5</v>
      </c>
      <c r="CG228" s="87"/>
      <c r="CH228" s="87"/>
      <c r="CI228" s="93"/>
      <c r="CJ228" s="87"/>
      <c r="CK228" s="87"/>
      <c r="CL228" s="87"/>
      <c r="CM228" s="165">
        <v>1000</v>
      </c>
      <c r="CN228" s="93"/>
      <c r="CO228" s="108">
        <f t="shared" si="339"/>
        <v>1000</v>
      </c>
      <c r="CP228" s="108">
        <f t="shared" si="340"/>
        <v>0</v>
      </c>
      <c r="CR228" s="82">
        <f t="shared" si="341"/>
        <v>12</v>
      </c>
      <c r="CS228" s="80">
        <f t="shared" si="342"/>
        <v>0</v>
      </c>
      <c r="CT228" s="80">
        <f t="shared" si="343"/>
        <v>0</v>
      </c>
      <c r="CU228" s="80">
        <f t="shared" si="344"/>
        <v>0</v>
      </c>
      <c r="CW228" s="80">
        <f t="shared" si="345"/>
        <v>0</v>
      </c>
      <c r="CX228" s="80">
        <f t="shared" si="346"/>
        <v>0</v>
      </c>
      <c r="CY228" s="80">
        <f t="shared" si="347"/>
        <v>0</v>
      </c>
    </row>
    <row r="229" spans="1:103" x14ac:dyDescent="0.2">
      <c r="A229" s="120"/>
      <c r="B229" s="72"/>
      <c r="C229" s="57" t="s">
        <v>1387</v>
      </c>
      <c r="D229" s="57" t="s">
        <v>1440</v>
      </c>
      <c r="E229" s="65" t="s">
        <v>1389</v>
      </c>
      <c r="F229" s="57" t="s">
        <v>1454</v>
      </c>
      <c r="G229" s="62" t="s">
        <v>1556</v>
      </c>
      <c r="H229" s="129" t="b">
        <v>0</v>
      </c>
      <c r="J229" s="123" t="s">
        <v>1866</v>
      </c>
      <c r="K229" s="123" t="s">
        <v>1866</v>
      </c>
      <c r="L229" s="123" t="s">
        <v>1866</v>
      </c>
      <c r="M229" s="137" t="b">
        <v>0</v>
      </c>
      <c r="Q229" s="128" t="b">
        <v>1</v>
      </c>
      <c r="R229" s="127" t="s">
        <v>1559</v>
      </c>
      <c r="S229" s="135" t="b">
        <v>1</v>
      </c>
      <c r="T229" s="126">
        <v>13</v>
      </c>
      <c r="U229" s="124">
        <v>1.4999999999999999E-2</v>
      </c>
      <c r="V229" s="126">
        <v>75</v>
      </c>
      <c r="W229" s="126">
        <v>-75</v>
      </c>
      <c r="X229" s="124">
        <v>50</v>
      </c>
      <c r="Y229" s="124">
        <v>5</v>
      </c>
      <c r="Z229" s="128" t="b">
        <v>1</v>
      </c>
      <c r="AA229" s="127" t="s">
        <v>1867</v>
      </c>
      <c r="AB229" s="133">
        <v>2</v>
      </c>
      <c r="AC229" s="137" t="b">
        <v>0</v>
      </c>
      <c r="AE229" s="137" t="b">
        <v>0</v>
      </c>
      <c r="AG229" s="135" t="b">
        <v>1</v>
      </c>
      <c r="AH229" s="125">
        <v>5</v>
      </c>
      <c r="AI229" s="125">
        <v>13</v>
      </c>
      <c r="AJ229" s="125">
        <v>34</v>
      </c>
      <c r="AK229" s="125">
        <v>89</v>
      </c>
      <c r="AL229" s="129" t="b">
        <v>0</v>
      </c>
      <c r="AM229" s="128" t="b">
        <v>1</v>
      </c>
      <c r="AN229" s="131" t="s">
        <v>1469</v>
      </c>
      <c r="AO229" s="141">
        <v>1.0000000000000001E-5</v>
      </c>
      <c r="AP229" s="128" t="b">
        <v>1</v>
      </c>
      <c r="AQ229" s="141">
        <v>1.0000000000000001E-5</v>
      </c>
      <c r="AR229" s="149">
        <v>8</v>
      </c>
      <c r="AS229" s="149">
        <v>13</v>
      </c>
      <c r="AT229" s="149">
        <v>8</v>
      </c>
      <c r="AU229" s="128" t="b">
        <v>1</v>
      </c>
      <c r="AV229" s="124">
        <v>3</v>
      </c>
      <c r="AW229" s="146">
        <v>5</v>
      </c>
      <c r="AX229" s="124">
        <v>1</v>
      </c>
      <c r="AY229" s="128" t="b">
        <v>1</v>
      </c>
      <c r="AZ229" s="122" t="s">
        <v>1586</v>
      </c>
      <c r="BA229" s="122">
        <v>4</v>
      </c>
      <c r="BB229" s="126">
        <v>0.05</v>
      </c>
      <c r="BC229" s="126">
        <v>0.5</v>
      </c>
      <c r="BD229" s="129" t="b">
        <v>0</v>
      </c>
      <c r="BE229" s="122" t="s">
        <v>1873</v>
      </c>
      <c r="BF229" s="128" t="b">
        <v>1</v>
      </c>
      <c r="BG229" s="122" t="s">
        <v>1578</v>
      </c>
      <c r="BH229" s="133">
        <v>0.02</v>
      </c>
      <c r="BI229" s="156" t="s">
        <v>403</v>
      </c>
      <c r="BJ229" s="128" t="b">
        <v>1</v>
      </c>
      <c r="BK229" s="161">
        <v>1.5</v>
      </c>
      <c r="BL229" s="129" t="b">
        <v>0</v>
      </c>
      <c r="BM229" s="156" t="s">
        <v>412</v>
      </c>
      <c r="BN229" s="128" t="b">
        <v>1</v>
      </c>
      <c r="BO229" s="156" t="s">
        <v>1382</v>
      </c>
      <c r="BP229" s="157">
        <v>1</v>
      </c>
      <c r="BQ229" s="157">
        <v>0.5</v>
      </c>
      <c r="BR229" s="166" t="str">
        <f t="shared" ref="BR229:BR233" si="349">AH229&amp;"/ "&amp;AI229&amp;"/ "&amp;AJ229&amp;"/ "&amp;AK229</f>
        <v>5/ 13/ 34/ 89</v>
      </c>
      <c r="BS229" s="166" t="str">
        <f t="shared" si="334"/>
        <v>8 / 13 / 8</v>
      </c>
      <c r="BT229" s="166" t="str">
        <f t="shared" si="335"/>
        <v>0.05 / 0.5</v>
      </c>
      <c r="BU229" s="66"/>
      <c r="BV229" s="66"/>
      <c r="BW229" s="66"/>
      <c r="BX229" s="99">
        <f t="shared" si="336"/>
        <v>0</v>
      </c>
      <c r="BY229" s="66"/>
      <c r="BZ229" s="92">
        <f t="shared" si="337"/>
        <v>0</v>
      </c>
      <c r="CA229" s="204">
        <f t="shared" si="348"/>
        <v>0</v>
      </c>
      <c r="CB229" s="205">
        <f t="shared" ref="CB229:CB233" si="350">IF(BU229=0,0,BY229/BU229)</f>
        <v>0</v>
      </c>
      <c r="CC229" s="87"/>
      <c r="CD229" s="87"/>
      <c r="CE229" s="87"/>
      <c r="CF229" s="170">
        <f t="shared" si="338"/>
        <v>1.5</v>
      </c>
      <c r="CG229" s="87"/>
      <c r="CH229" s="87"/>
      <c r="CI229" s="93"/>
      <c r="CJ229" s="87"/>
      <c r="CK229" s="87"/>
      <c r="CL229" s="87"/>
      <c r="CM229" s="165">
        <v>1000</v>
      </c>
      <c r="CN229" s="93"/>
      <c r="CO229" s="108">
        <f t="shared" si="339"/>
        <v>1000</v>
      </c>
      <c r="CP229" s="108">
        <f t="shared" si="340"/>
        <v>0</v>
      </c>
      <c r="CR229" s="82">
        <f t="shared" si="341"/>
        <v>12</v>
      </c>
      <c r="CS229" s="80">
        <f t="shared" si="342"/>
        <v>0</v>
      </c>
      <c r="CT229" s="80">
        <f t="shared" si="343"/>
        <v>0</v>
      </c>
      <c r="CU229" s="80">
        <f t="shared" si="344"/>
        <v>0</v>
      </c>
      <c r="CW229" s="80">
        <f t="shared" si="345"/>
        <v>0</v>
      </c>
      <c r="CX229" s="80">
        <f t="shared" si="346"/>
        <v>0</v>
      </c>
      <c r="CY229" s="80">
        <f t="shared" si="347"/>
        <v>0</v>
      </c>
    </row>
    <row r="230" spans="1:103" x14ac:dyDescent="0.2">
      <c r="A230" s="120"/>
      <c r="B230" s="72"/>
      <c r="C230" s="57" t="s">
        <v>1387</v>
      </c>
      <c r="D230" s="57" t="s">
        <v>1440</v>
      </c>
      <c r="E230" s="65" t="s">
        <v>1389</v>
      </c>
      <c r="F230" s="57" t="s">
        <v>1454</v>
      </c>
      <c r="G230" s="62" t="s">
        <v>1556</v>
      </c>
      <c r="H230" s="129" t="b">
        <v>0</v>
      </c>
      <c r="J230" s="123" t="s">
        <v>1866</v>
      </c>
      <c r="K230" s="123" t="s">
        <v>1866</v>
      </c>
      <c r="L230" s="123" t="s">
        <v>1866</v>
      </c>
      <c r="M230" s="137" t="b">
        <v>0</v>
      </c>
      <c r="Q230" s="128" t="b">
        <v>1</v>
      </c>
      <c r="R230" s="127" t="s">
        <v>1559</v>
      </c>
      <c r="S230" s="135" t="b">
        <v>1</v>
      </c>
      <c r="T230" s="126">
        <v>13</v>
      </c>
      <c r="U230" s="124">
        <v>1.4999999999999999E-2</v>
      </c>
      <c r="V230" s="126">
        <v>75</v>
      </c>
      <c r="W230" s="126">
        <v>-75</v>
      </c>
      <c r="X230" s="124">
        <v>50</v>
      </c>
      <c r="Y230" s="124">
        <v>5</v>
      </c>
      <c r="Z230" s="128" t="b">
        <v>1</v>
      </c>
      <c r="AA230" s="127" t="s">
        <v>1867</v>
      </c>
      <c r="AB230" s="133">
        <v>2</v>
      </c>
      <c r="AC230" s="137" t="b">
        <v>0</v>
      </c>
      <c r="AE230" s="137" t="b">
        <v>0</v>
      </c>
      <c r="AG230" s="135" t="b">
        <v>1</v>
      </c>
      <c r="AH230" s="125">
        <v>5</v>
      </c>
      <c r="AI230" s="125">
        <v>13</v>
      </c>
      <c r="AJ230" s="125">
        <v>34</v>
      </c>
      <c r="AK230" s="125">
        <v>89</v>
      </c>
      <c r="AL230" s="129" t="b">
        <v>0</v>
      </c>
      <c r="AM230" s="128" t="b">
        <v>1</v>
      </c>
      <c r="AN230" s="131" t="s">
        <v>1469</v>
      </c>
      <c r="AO230" s="141">
        <v>1.0000000000000001E-5</v>
      </c>
      <c r="AP230" s="128" t="b">
        <v>1</v>
      </c>
      <c r="AQ230" s="141">
        <v>1.0000000000000001E-5</v>
      </c>
      <c r="AR230" s="149">
        <v>8</v>
      </c>
      <c r="AS230" s="149">
        <v>13</v>
      </c>
      <c r="AT230" s="149">
        <v>11</v>
      </c>
      <c r="AU230" s="128" t="b">
        <v>1</v>
      </c>
      <c r="AV230" s="124">
        <v>3</v>
      </c>
      <c r="AW230" s="146">
        <v>5</v>
      </c>
      <c r="AX230" s="124">
        <v>1</v>
      </c>
      <c r="AY230" s="128" t="b">
        <v>1</v>
      </c>
      <c r="AZ230" s="122" t="s">
        <v>1586</v>
      </c>
      <c r="BA230" s="122">
        <v>4</v>
      </c>
      <c r="BB230" s="126">
        <v>0.05</v>
      </c>
      <c r="BC230" s="126">
        <v>0.5</v>
      </c>
      <c r="BD230" s="129" t="b">
        <v>0</v>
      </c>
      <c r="BE230" s="122" t="s">
        <v>1873</v>
      </c>
      <c r="BF230" s="128" t="b">
        <v>1</v>
      </c>
      <c r="BG230" s="122" t="s">
        <v>1578</v>
      </c>
      <c r="BH230" s="133">
        <v>0.02</v>
      </c>
      <c r="BI230" s="156" t="s">
        <v>403</v>
      </c>
      <c r="BJ230" s="128" t="b">
        <v>1</v>
      </c>
      <c r="BK230" s="161">
        <v>1.5</v>
      </c>
      <c r="BL230" s="129" t="b">
        <v>0</v>
      </c>
      <c r="BM230" s="156" t="s">
        <v>412</v>
      </c>
      <c r="BN230" s="128" t="b">
        <v>1</v>
      </c>
      <c r="BO230" s="156" t="s">
        <v>1382</v>
      </c>
      <c r="BP230" s="157">
        <v>1</v>
      </c>
      <c r="BQ230" s="157">
        <v>0.5</v>
      </c>
      <c r="BR230" s="166" t="str">
        <f t="shared" si="349"/>
        <v>5/ 13/ 34/ 89</v>
      </c>
      <c r="BS230" s="166" t="str">
        <f t="shared" si="334"/>
        <v>8 / 13 / 11</v>
      </c>
      <c r="BT230" s="166" t="str">
        <f t="shared" si="335"/>
        <v>0.05 / 0.5</v>
      </c>
      <c r="BU230" s="66"/>
      <c r="BV230" s="66"/>
      <c r="BW230" s="66"/>
      <c r="BX230" s="99">
        <f t="shared" si="336"/>
        <v>0</v>
      </c>
      <c r="BY230" s="66"/>
      <c r="BZ230" s="92">
        <f t="shared" si="337"/>
        <v>0</v>
      </c>
      <c r="CA230" s="204">
        <f t="shared" si="348"/>
        <v>0</v>
      </c>
      <c r="CB230" s="205">
        <f t="shared" si="350"/>
        <v>0</v>
      </c>
      <c r="CC230" s="87"/>
      <c r="CD230" s="87"/>
      <c r="CE230" s="87"/>
      <c r="CF230" s="170">
        <f t="shared" si="338"/>
        <v>1.5</v>
      </c>
      <c r="CG230" s="87"/>
      <c r="CH230" s="87"/>
      <c r="CI230" s="93"/>
      <c r="CJ230" s="87"/>
      <c r="CK230" s="87"/>
      <c r="CL230" s="87"/>
      <c r="CM230" s="165">
        <v>1000</v>
      </c>
      <c r="CN230" s="93"/>
      <c r="CO230" s="108">
        <f t="shared" si="339"/>
        <v>1000</v>
      </c>
      <c r="CP230" s="108">
        <f t="shared" si="340"/>
        <v>0</v>
      </c>
      <c r="CR230" s="82">
        <f t="shared" si="341"/>
        <v>12</v>
      </c>
      <c r="CS230" s="80">
        <f t="shared" si="342"/>
        <v>0</v>
      </c>
      <c r="CT230" s="80">
        <f t="shared" si="343"/>
        <v>0</v>
      </c>
      <c r="CU230" s="80">
        <f t="shared" si="344"/>
        <v>0</v>
      </c>
      <c r="CW230" s="80">
        <f t="shared" si="345"/>
        <v>0</v>
      </c>
      <c r="CX230" s="80">
        <f t="shared" si="346"/>
        <v>0</v>
      </c>
      <c r="CY230" s="80">
        <f t="shared" si="347"/>
        <v>0</v>
      </c>
    </row>
    <row r="231" spans="1:103" x14ac:dyDescent="0.2">
      <c r="A231" s="120"/>
      <c r="B231" s="72"/>
      <c r="C231" s="57" t="s">
        <v>1387</v>
      </c>
      <c r="D231" s="57" t="s">
        <v>1440</v>
      </c>
      <c r="E231" s="65" t="s">
        <v>1389</v>
      </c>
      <c r="F231" s="57" t="s">
        <v>1454</v>
      </c>
      <c r="G231" s="62" t="s">
        <v>1556</v>
      </c>
      <c r="H231" s="129" t="b">
        <v>0</v>
      </c>
      <c r="J231" s="123" t="s">
        <v>1866</v>
      </c>
      <c r="K231" s="123" t="s">
        <v>1866</v>
      </c>
      <c r="L231" s="123" t="s">
        <v>1866</v>
      </c>
      <c r="M231" s="137" t="b">
        <v>0</v>
      </c>
      <c r="Q231" s="128" t="b">
        <v>1</v>
      </c>
      <c r="R231" s="127" t="s">
        <v>1559</v>
      </c>
      <c r="S231" s="135" t="b">
        <v>1</v>
      </c>
      <c r="T231" s="126">
        <v>13</v>
      </c>
      <c r="U231" s="124">
        <v>1.4999999999999999E-2</v>
      </c>
      <c r="V231" s="126">
        <v>75</v>
      </c>
      <c r="W231" s="126">
        <v>-75</v>
      </c>
      <c r="X231" s="124">
        <v>50</v>
      </c>
      <c r="Y231" s="124">
        <v>5</v>
      </c>
      <c r="Z231" s="128" t="b">
        <v>1</v>
      </c>
      <c r="AA231" s="127" t="s">
        <v>1867</v>
      </c>
      <c r="AB231" s="133">
        <v>2</v>
      </c>
      <c r="AC231" s="137" t="b">
        <v>0</v>
      </c>
      <c r="AE231" s="137" t="b">
        <v>0</v>
      </c>
      <c r="AG231" s="135" t="b">
        <v>1</v>
      </c>
      <c r="AH231" s="125">
        <v>5</v>
      </c>
      <c r="AI231" s="125">
        <v>13</v>
      </c>
      <c r="AJ231" s="125">
        <v>34</v>
      </c>
      <c r="AK231" s="125">
        <v>89</v>
      </c>
      <c r="AL231" s="129" t="b">
        <v>0</v>
      </c>
      <c r="AM231" s="128" t="b">
        <v>1</v>
      </c>
      <c r="AN231" s="131" t="s">
        <v>1469</v>
      </c>
      <c r="AO231" s="141">
        <v>1.0000000000000001E-5</v>
      </c>
      <c r="AP231" s="128" t="b">
        <v>1</v>
      </c>
      <c r="AQ231" s="141">
        <v>1.0000000000000001E-5</v>
      </c>
      <c r="AR231" s="150">
        <v>8</v>
      </c>
      <c r="AS231" s="150">
        <v>17</v>
      </c>
      <c r="AT231" s="150">
        <v>9</v>
      </c>
      <c r="AU231" s="128" t="b">
        <v>1</v>
      </c>
      <c r="AV231" s="124">
        <v>3</v>
      </c>
      <c r="AW231" s="146">
        <v>5</v>
      </c>
      <c r="AX231" s="124">
        <v>1</v>
      </c>
      <c r="AY231" s="128" t="b">
        <v>1</v>
      </c>
      <c r="AZ231" s="122" t="s">
        <v>1586</v>
      </c>
      <c r="BA231" s="122">
        <v>4</v>
      </c>
      <c r="BB231" s="126">
        <v>0.05</v>
      </c>
      <c r="BC231" s="126">
        <v>0.5</v>
      </c>
      <c r="BD231" s="129" t="b">
        <v>0</v>
      </c>
      <c r="BE231" s="122" t="s">
        <v>1873</v>
      </c>
      <c r="BF231" s="128" t="b">
        <v>1</v>
      </c>
      <c r="BG231" s="122" t="s">
        <v>1578</v>
      </c>
      <c r="BH231" s="133">
        <v>0.02</v>
      </c>
      <c r="BI231" s="156" t="s">
        <v>403</v>
      </c>
      <c r="BJ231" s="128" t="b">
        <v>1</v>
      </c>
      <c r="BK231" s="161">
        <v>1.5</v>
      </c>
      <c r="BL231" s="129" t="b">
        <v>0</v>
      </c>
      <c r="BM231" s="156" t="s">
        <v>412</v>
      </c>
      <c r="BN231" s="128" t="b">
        <v>1</v>
      </c>
      <c r="BO231" s="156" t="s">
        <v>1382</v>
      </c>
      <c r="BP231" s="157">
        <v>1</v>
      </c>
      <c r="BQ231" s="157">
        <v>0.5</v>
      </c>
      <c r="BR231" s="166" t="str">
        <f t="shared" si="349"/>
        <v>5/ 13/ 34/ 89</v>
      </c>
      <c r="BS231" s="166" t="str">
        <f t="shared" si="334"/>
        <v>8 / 17 / 9</v>
      </c>
      <c r="BT231" s="166" t="str">
        <f t="shared" si="335"/>
        <v>0.05 / 0.5</v>
      </c>
      <c r="BU231" s="66"/>
      <c r="BV231" s="66"/>
      <c r="BW231" s="66"/>
      <c r="BX231" s="99">
        <f t="shared" si="336"/>
        <v>0</v>
      </c>
      <c r="BY231" s="66"/>
      <c r="BZ231" s="92">
        <f t="shared" si="337"/>
        <v>0</v>
      </c>
      <c r="CA231" s="204">
        <f t="shared" si="348"/>
        <v>0</v>
      </c>
      <c r="CB231" s="205">
        <f t="shared" si="350"/>
        <v>0</v>
      </c>
      <c r="CC231" s="87"/>
      <c r="CD231" s="87"/>
      <c r="CE231" s="87"/>
      <c r="CF231" s="170">
        <f t="shared" si="338"/>
        <v>1.5</v>
      </c>
      <c r="CG231" s="87"/>
      <c r="CH231" s="87"/>
      <c r="CI231" s="93"/>
      <c r="CJ231" s="87"/>
      <c r="CK231" s="87"/>
      <c r="CL231" s="87"/>
      <c r="CM231" s="165">
        <v>1000</v>
      </c>
      <c r="CN231" s="93"/>
      <c r="CO231" s="108">
        <f t="shared" si="339"/>
        <v>1000</v>
      </c>
      <c r="CP231" s="108">
        <f t="shared" si="340"/>
        <v>0</v>
      </c>
      <c r="CR231" s="82">
        <f t="shared" si="341"/>
        <v>12</v>
      </c>
      <c r="CS231" s="80">
        <f t="shared" si="342"/>
        <v>0</v>
      </c>
      <c r="CT231" s="80">
        <f t="shared" si="343"/>
        <v>0</v>
      </c>
      <c r="CU231" s="80">
        <f t="shared" si="344"/>
        <v>0</v>
      </c>
      <c r="CW231" s="80">
        <f t="shared" si="345"/>
        <v>0</v>
      </c>
      <c r="CX231" s="80">
        <f t="shared" si="346"/>
        <v>0</v>
      </c>
      <c r="CY231" s="80">
        <f t="shared" si="347"/>
        <v>0</v>
      </c>
    </row>
    <row r="232" spans="1:103" x14ac:dyDescent="0.2">
      <c r="A232" s="120"/>
      <c r="B232" s="72"/>
      <c r="C232" s="57" t="s">
        <v>1387</v>
      </c>
      <c r="D232" s="57" t="s">
        <v>1440</v>
      </c>
      <c r="E232" s="65" t="s">
        <v>1389</v>
      </c>
      <c r="F232" s="57" t="s">
        <v>1454</v>
      </c>
      <c r="G232" s="62" t="s">
        <v>1556</v>
      </c>
      <c r="H232" s="129" t="b">
        <v>0</v>
      </c>
      <c r="J232" s="123" t="s">
        <v>1866</v>
      </c>
      <c r="K232" s="123" t="s">
        <v>1866</v>
      </c>
      <c r="L232" s="123" t="s">
        <v>1866</v>
      </c>
      <c r="M232" s="137" t="b">
        <v>0</v>
      </c>
      <c r="Q232" s="128" t="b">
        <v>1</v>
      </c>
      <c r="R232" s="127" t="s">
        <v>1559</v>
      </c>
      <c r="S232" s="135" t="b">
        <v>1</v>
      </c>
      <c r="T232" s="126">
        <v>13</v>
      </c>
      <c r="U232" s="124">
        <v>1.4999999999999999E-2</v>
      </c>
      <c r="V232" s="126">
        <v>75</v>
      </c>
      <c r="W232" s="126">
        <v>-75</v>
      </c>
      <c r="X232" s="124">
        <v>50</v>
      </c>
      <c r="Y232" s="124">
        <v>5</v>
      </c>
      <c r="Z232" s="128" t="b">
        <v>1</v>
      </c>
      <c r="AA232" s="127" t="s">
        <v>1867</v>
      </c>
      <c r="AB232" s="133">
        <v>2</v>
      </c>
      <c r="AC232" s="137" t="b">
        <v>0</v>
      </c>
      <c r="AE232" s="137" t="b">
        <v>0</v>
      </c>
      <c r="AG232" s="135" t="b">
        <v>1</v>
      </c>
      <c r="AH232" s="125">
        <v>5</v>
      </c>
      <c r="AI232" s="125">
        <v>13</v>
      </c>
      <c r="AJ232" s="125">
        <v>34</v>
      </c>
      <c r="AK232" s="125">
        <v>89</v>
      </c>
      <c r="AL232" s="129" t="b">
        <v>0</v>
      </c>
      <c r="AM232" s="128" t="b">
        <v>1</v>
      </c>
      <c r="AN232" s="131" t="s">
        <v>1469</v>
      </c>
      <c r="AO232" s="141">
        <v>1.0000000000000001E-5</v>
      </c>
      <c r="AP232" s="128" t="b">
        <v>1</v>
      </c>
      <c r="AQ232" s="141">
        <v>1.0000000000000001E-5</v>
      </c>
      <c r="AR232" s="152">
        <v>12</v>
      </c>
      <c r="AS232" s="152">
        <v>26</v>
      </c>
      <c r="AT232" s="152">
        <v>9</v>
      </c>
      <c r="AU232" s="128" t="b">
        <v>1</v>
      </c>
      <c r="AV232" s="124">
        <v>3</v>
      </c>
      <c r="AW232" s="146">
        <v>5</v>
      </c>
      <c r="AX232" s="124">
        <v>1</v>
      </c>
      <c r="AY232" s="128" t="b">
        <v>1</v>
      </c>
      <c r="AZ232" s="122" t="s">
        <v>1586</v>
      </c>
      <c r="BA232" s="122">
        <v>4</v>
      </c>
      <c r="BB232" s="126">
        <v>0.05</v>
      </c>
      <c r="BC232" s="126">
        <v>0.5</v>
      </c>
      <c r="BD232" s="129" t="b">
        <v>0</v>
      </c>
      <c r="BE232" s="122" t="s">
        <v>1873</v>
      </c>
      <c r="BF232" s="128" t="b">
        <v>1</v>
      </c>
      <c r="BG232" s="122" t="s">
        <v>1578</v>
      </c>
      <c r="BH232" s="133">
        <v>0.02</v>
      </c>
      <c r="BI232" s="156" t="s">
        <v>403</v>
      </c>
      <c r="BJ232" s="128" t="b">
        <v>1</v>
      </c>
      <c r="BK232" s="161">
        <v>1.5</v>
      </c>
      <c r="BL232" s="129" t="b">
        <v>0</v>
      </c>
      <c r="BM232" s="156" t="s">
        <v>412</v>
      </c>
      <c r="BN232" s="128" t="b">
        <v>1</v>
      </c>
      <c r="BO232" s="156" t="s">
        <v>1382</v>
      </c>
      <c r="BP232" s="157">
        <v>1</v>
      </c>
      <c r="BQ232" s="157">
        <v>0.5</v>
      </c>
      <c r="BR232" s="166" t="str">
        <f t="shared" si="349"/>
        <v>5/ 13/ 34/ 89</v>
      </c>
      <c r="BS232" s="166" t="str">
        <f t="shared" si="334"/>
        <v>12 / 26 / 9</v>
      </c>
      <c r="BT232" s="166" t="str">
        <f t="shared" si="335"/>
        <v>0.05 / 0.5</v>
      </c>
      <c r="BU232" s="66"/>
      <c r="BV232" s="66"/>
      <c r="BW232" s="66"/>
      <c r="BX232" s="99">
        <f t="shared" si="336"/>
        <v>0</v>
      </c>
      <c r="BY232" s="66"/>
      <c r="BZ232" s="92">
        <f t="shared" si="337"/>
        <v>0</v>
      </c>
      <c r="CA232" s="204">
        <f t="shared" si="348"/>
        <v>0</v>
      </c>
      <c r="CB232" s="205">
        <f t="shared" si="350"/>
        <v>0</v>
      </c>
      <c r="CC232" s="87"/>
      <c r="CD232" s="87"/>
      <c r="CE232" s="87"/>
      <c r="CF232" s="170">
        <f t="shared" si="338"/>
        <v>1.5</v>
      </c>
      <c r="CG232" s="87"/>
      <c r="CH232" s="87"/>
      <c r="CI232" s="93"/>
      <c r="CJ232" s="87"/>
      <c r="CK232" s="87"/>
      <c r="CL232" s="87"/>
      <c r="CM232" s="165">
        <v>1000</v>
      </c>
      <c r="CN232" s="93"/>
      <c r="CO232" s="108">
        <f t="shared" si="339"/>
        <v>1000</v>
      </c>
      <c r="CP232" s="108">
        <f t="shared" si="340"/>
        <v>0</v>
      </c>
      <c r="CR232" s="82">
        <f t="shared" si="341"/>
        <v>12</v>
      </c>
      <c r="CS232" s="80">
        <f t="shared" si="342"/>
        <v>0</v>
      </c>
      <c r="CT232" s="80">
        <f t="shared" si="343"/>
        <v>0</v>
      </c>
      <c r="CU232" s="80">
        <f t="shared" si="344"/>
        <v>0</v>
      </c>
      <c r="CW232" s="80">
        <f t="shared" si="345"/>
        <v>0</v>
      </c>
      <c r="CX232" s="80">
        <f t="shared" si="346"/>
        <v>0</v>
      </c>
      <c r="CY232" s="80">
        <f t="shared" si="347"/>
        <v>0</v>
      </c>
    </row>
    <row r="233" spans="1:103" x14ac:dyDescent="0.2">
      <c r="A233" s="120"/>
      <c r="B233" s="72"/>
      <c r="C233" s="57" t="s">
        <v>1387</v>
      </c>
      <c r="D233" s="57" t="s">
        <v>1440</v>
      </c>
      <c r="E233" s="65" t="s">
        <v>1389</v>
      </c>
      <c r="F233" s="57" t="s">
        <v>1454</v>
      </c>
      <c r="G233" s="62" t="s">
        <v>1556</v>
      </c>
      <c r="H233" s="129" t="b">
        <v>0</v>
      </c>
      <c r="J233" s="123" t="s">
        <v>1866</v>
      </c>
      <c r="K233" s="123" t="s">
        <v>1866</v>
      </c>
      <c r="L233" s="123" t="s">
        <v>1866</v>
      </c>
      <c r="M233" s="137" t="b">
        <v>0</v>
      </c>
      <c r="Q233" s="128" t="b">
        <v>1</v>
      </c>
      <c r="R233" s="127" t="s">
        <v>1559</v>
      </c>
      <c r="S233" s="135" t="b">
        <v>1</v>
      </c>
      <c r="T233" s="126">
        <v>13</v>
      </c>
      <c r="U233" s="124">
        <v>1.4999999999999999E-2</v>
      </c>
      <c r="V233" s="126">
        <v>75</v>
      </c>
      <c r="W233" s="126">
        <v>-75</v>
      </c>
      <c r="X233" s="124">
        <v>50</v>
      </c>
      <c r="Y233" s="124">
        <v>5</v>
      </c>
      <c r="Z233" s="128" t="b">
        <v>1</v>
      </c>
      <c r="AA233" s="127" t="s">
        <v>1867</v>
      </c>
      <c r="AB233" s="133">
        <v>2</v>
      </c>
      <c r="AC233" s="137" t="b">
        <v>0</v>
      </c>
      <c r="AE233" s="137" t="b">
        <v>0</v>
      </c>
      <c r="AG233" s="135" t="b">
        <v>1</v>
      </c>
      <c r="AH233" s="125">
        <v>5</v>
      </c>
      <c r="AI233" s="125">
        <v>13</v>
      </c>
      <c r="AJ233" s="125">
        <v>34</v>
      </c>
      <c r="AK233" s="125">
        <v>89</v>
      </c>
      <c r="AL233" s="129" t="b">
        <v>0</v>
      </c>
      <c r="AM233" s="128" t="b">
        <v>1</v>
      </c>
      <c r="AN233" s="131" t="s">
        <v>1469</v>
      </c>
      <c r="AO233" s="141">
        <v>1.0000000000000001E-5</v>
      </c>
      <c r="AP233" s="128" t="b">
        <v>1</v>
      </c>
      <c r="AQ233" s="141">
        <v>1.0000000000000001E-5</v>
      </c>
      <c r="AR233" s="137">
        <v>21</v>
      </c>
      <c r="AS233" s="137">
        <v>34</v>
      </c>
      <c r="AT233" s="137">
        <v>9</v>
      </c>
      <c r="AU233" s="128" t="b">
        <v>1</v>
      </c>
      <c r="AV233" s="124">
        <v>3</v>
      </c>
      <c r="AW233" s="146">
        <v>5</v>
      </c>
      <c r="AX233" s="124">
        <v>1</v>
      </c>
      <c r="AY233" s="128" t="b">
        <v>1</v>
      </c>
      <c r="AZ233" s="122" t="s">
        <v>1586</v>
      </c>
      <c r="BA233" s="122">
        <v>4</v>
      </c>
      <c r="BB233" s="126">
        <v>0.05</v>
      </c>
      <c r="BC233" s="126">
        <v>0.5</v>
      </c>
      <c r="BD233" s="129" t="b">
        <v>0</v>
      </c>
      <c r="BE233" s="122" t="s">
        <v>1873</v>
      </c>
      <c r="BF233" s="128" t="b">
        <v>1</v>
      </c>
      <c r="BG233" s="122" t="s">
        <v>1578</v>
      </c>
      <c r="BH233" s="133">
        <v>0.02</v>
      </c>
      <c r="BI233" s="156" t="s">
        <v>403</v>
      </c>
      <c r="BJ233" s="128" t="b">
        <v>1</v>
      </c>
      <c r="BK233" s="161">
        <v>1.5</v>
      </c>
      <c r="BL233" s="129" t="b">
        <v>0</v>
      </c>
      <c r="BM233" s="156" t="s">
        <v>412</v>
      </c>
      <c r="BN233" s="128" t="b">
        <v>1</v>
      </c>
      <c r="BO233" s="156" t="s">
        <v>1382</v>
      </c>
      <c r="BP233" s="157">
        <v>1</v>
      </c>
      <c r="BQ233" s="157">
        <v>0.5</v>
      </c>
      <c r="BR233" s="166" t="str">
        <f t="shared" si="349"/>
        <v>5/ 13/ 34/ 89</v>
      </c>
      <c r="BS233" s="166" t="str">
        <f t="shared" si="334"/>
        <v>21 / 34 / 9</v>
      </c>
      <c r="BT233" s="166" t="str">
        <f t="shared" si="335"/>
        <v>0.05 / 0.5</v>
      </c>
      <c r="BU233" s="66"/>
      <c r="BV233" s="66"/>
      <c r="BW233" s="66"/>
      <c r="BX233" s="99">
        <f t="shared" si="336"/>
        <v>0</v>
      </c>
      <c r="BY233" s="66"/>
      <c r="BZ233" s="92">
        <f t="shared" si="337"/>
        <v>0</v>
      </c>
      <c r="CA233" s="204">
        <f t="shared" si="348"/>
        <v>0</v>
      </c>
      <c r="CB233" s="205">
        <f t="shared" si="350"/>
        <v>0</v>
      </c>
      <c r="CC233" s="87"/>
      <c r="CD233" s="87"/>
      <c r="CE233" s="87"/>
      <c r="CF233" s="170">
        <f t="shared" si="338"/>
        <v>1.5</v>
      </c>
      <c r="CG233" s="87"/>
      <c r="CH233" s="87"/>
      <c r="CI233" s="93"/>
      <c r="CJ233" s="87"/>
      <c r="CK233" s="87"/>
      <c r="CL233" s="87"/>
      <c r="CM233" s="165">
        <v>1000</v>
      </c>
      <c r="CN233" s="93"/>
      <c r="CO233" s="108">
        <f t="shared" si="339"/>
        <v>1000</v>
      </c>
      <c r="CP233" s="108">
        <f t="shared" si="340"/>
        <v>0</v>
      </c>
      <c r="CR233" s="82">
        <f t="shared" si="341"/>
        <v>12</v>
      </c>
      <c r="CS233" s="80">
        <f t="shared" si="342"/>
        <v>0</v>
      </c>
      <c r="CT233" s="80">
        <f t="shared" si="343"/>
        <v>0</v>
      </c>
      <c r="CU233" s="80">
        <f t="shared" si="344"/>
        <v>0</v>
      </c>
      <c r="CW233" s="80">
        <f t="shared" si="345"/>
        <v>0</v>
      </c>
      <c r="CX233" s="80">
        <f t="shared" si="346"/>
        <v>0</v>
      </c>
      <c r="CY233" s="80">
        <f t="shared" si="347"/>
        <v>0</v>
      </c>
    </row>
    <row r="234" spans="1:103" x14ac:dyDescent="0.2">
      <c r="B234" s="45"/>
    </row>
    <row r="236" spans="1:103" x14ac:dyDescent="0.2">
      <c r="B236" s="45"/>
    </row>
    <row r="238" spans="1:103" x14ac:dyDescent="0.2">
      <c r="B238" s="45"/>
    </row>
    <row r="240" spans="1:103" x14ac:dyDescent="0.2">
      <c r="B240" s="45"/>
    </row>
    <row r="242" spans="2:2" x14ac:dyDescent="0.2">
      <c r="B242" s="45"/>
    </row>
    <row r="244" spans="2:2" x14ac:dyDescent="0.2">
      <c r="B244" s="45"/>
    </row>
    <row r="246" spans="2:2" x14ac:dyDescent="0.2">
      <c r="B246" s="45"/>
    </row>
    <row r="248" spans="2:2" x14ac:dyDescent="0.2">
      <c r="B248" s="45"/>
    </row>
    <row r="250" spans="2:2" x14ac:dyDescent="0.2">
      <c r="B250" s="45"/>
    </row>
    <row r="252" spans="2:2" x14ac:dyDescent="0.2">
      <c r="B252" s="45"/>
    </row>
    <row r="256" spans="2:2" x14ac:dyDescent="0.2">
      <c r="B256" s="45"/>
    </row>
    <row r="258" spans="2:25" x14ac:dyDescent="0.2">
      <c r="B258" s="45"/>
    </row>
    <row r="260" spans="2:25" x14ac:dyDescent="0.2">
      <c r="B260" s="45"/>
    </row>
    <row r="262" spans="2:25" x14ac:dyDescent="0.2">
      <c r="B262" s="45"/>
    </row>
    <row r="264" spans="2:25" x14ac:dyDescent="0.2">
      <c r="B264" s="45"/>
    </row>
    <row r="267" spans="2:25" x14ac:dyDescent="0.2">
      <c r="I267" s="138"/>
      <c r="J267" s="139"/>
      <c r="K267" s="139"/>
      <c r="L267" s="139"/>
      <c r="U267" s="140"/>
      <c r="X267" s="140"/>
      <c r="Y267" s="140"/>
    </row>
    <row r="268" spans="2:25" x14ac:dyDescent="0.2">
      <c r="H268" s="138"/>
      <c r="I268" s="138"/>
      <c r="J268" s="139"/>
      <c r="K268" s="139"/>
      <c r="L268" s="139"/>
      <c r="U268" s="140"/>
      <c r="X268" s="140"/>
      <c r="Y268" s="140"/>
    </row>
    <row r="269" spans="2:25" x14ac:dyDescent="0.2">
      <c r="H269" s="138"/>
      <c r="I269" s="138"/>
      <c r="J269" s="139"/>
      <c r="K269" s="139"/>
      <c r="L269" s="139"/>
      <c r="U269" s="140"/>
      <c r="X269" s="140"/>
      <c r="Y269" s="140"/>
    </row>
    <row r="272" spans="2:25" ht="19" x14ac:dyDescent="0.25">
      <c r="B272" s="44"/>
    </row>
    <row r="274" spans="2:2" x14ac:dyDescent="0.2">
      <c r="B274" s="45"/>
    </row>
    <row r="276" spans="2:2" x14ac:dyDescent="0.2">
      <c r="B276" s="45"/>
    </row>
    <row r="278" spans="2:2" x14ac:dyDescent="0.2">
      <c r="B278" s="45"/>
    </row>
    <row r="288" spans="2:2" x14ac:dyDescent="0.2">
      <c r="B288" s="79"/>
    </row>
    <row r="290" spans="2:2" x14ac:dyDescent="0.2">
      <c r="B290" s="61"/>
    </row>
    <row r="300" spans="2:2" ht="19" x14ac:dyDescent="0.25">
      <c r="B300" s="44"/>
    </row>
    <row r="302" spans="2:2" x14ac:dyDescent="0.2">
      <c r="B302" s="45"/>
    </row>
    <row r="304" spans="2:2" x14ac:dyDescent="0.2">
      <c r="B304" s="45"/>
    </row>
    <row r="306" spans="2:2" x14ac:dyDescent="0.2">
      <c r="B306" s="45"/>
    </row>
    <row r="308" spans="2:2" x14ac:dyDescent="0.2">
      <c r="B308" s="45"/>
    </row>
    <row r="310" spans="2:2" x14ac:dyDescent="0.2">
      <c r="B310" s="45"/>
    </row>
    <row r="312" spans="2:2" x14ac:dyDescent="0.2">
      <c r="B312" s="45"/>
    </row>
    <row r="314" spans="2:2" x14ac:dyDescent="0.2">
      <c r="B314" s="45"/>
    </row>
    <row r="316" spans="2:2" x14ac:dyDescent="0.2">
      <c r="B316" s="45"/>
    </row>
    <row r="318" spans="2:2" x14ac:dyDescent="0.2">
      <c r="B318" s="45"/>
    </row>
    <row r="320" spans="2:2" x14ac:dyDescent="0.2">
      <c r="B320" s="45"/>
    </row>
    <row r="322" spans="2:2" x14ac:dyDescent="0.2">
      <c r="B322" s="45"/>
    </row>
    <row r="324" spans="2:2" x14ac:dyDescent="0.2">
      <c r="B324" s="45"/>
    </row>
    <row r="333" spans="2:2" ht="19" x14ac:dyDescent="0.25">
      <c r="B333" s="44"/>
    </row>
    <row r="335" spans="2:2" x14ac:dyDescent="0.2">
      <c r="B335" s="45"/>
    </row>
    <row r="337" spans="2:2" x14ac:dyDescent="0.2">
      <c r="B337" s="45"/>
    </row>
    <row r="339" spans="2:2" x14ac:dyDescent="0.2">
      <c r="B339" s="45"/>
    </row>
    <row r="342" spans="2:2" x14ac:dyDescent="0.2">
      <c r="B342" s="45"/>
    </row>
    <row r="344" spans="2:2" x14ac:dyDescent="0.2">
      <c r="B344" s="45"/>
    </row>
    <row r="346" spans="2:2" x14ac:dyDescent="0.2">
      <c r="B346" s="45"/>
    </row>
    <row r="352" spans="2:2" x14ac:dyDescent="0.2">
      <c r="B352" s="45"/>
    </row>
    <row r="354" spans="2:2" x14ac:dyDescent="0.2">
      <c r="B354" s="45"/>
    </row>
    <row r="356" spans="2:2" x14ac:dyDescent="0.2">
      <c r="B356" s="45"/>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Logic</vt:lpstr>
      <vt:lpstr>mplfinance</vt:lpstr>
      <vt:lpstr>RRM-PQR</vt:lpstr>
      <vt:lpstr>RRM-JSON</vt:lpstr>
      <vt:lpstr>RRM-JSON-Refactoring</vt:lpstr>
      <vt:lpstr>RR-TEST</vt:lpstr>
      <vt:lpstr>RRM_EAv01_Blueprint</vt:lpstr>
      <vt:lpstr>RRM-TER_v1.1</vt:lpstr>
      <vt:lpstr>RRM-TER_v1</vt:lpstr>
      <vt:lpstr>RRM-TER_v0TXT</vt:lpstr>
      <vt:lpstr>RRM BP v1.0</vt:lpstr>
      <vt:lpstr>Indicators</vt:lpstr>
      <vt:lpstr>Test02-json</vt:lpstr>
      <vt:lpstr>Test02</vt:lpstr>
      <vt:lpstr>Test01.5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maciek szczech</dc:creator>
  <cp:lastModifiedBy>maciek szczech</cp:lastModifiedBy>
  <dcterms:created xsi:type="dcterms:W3CDTF">2025-02-28T18:45:37Z</dcterms:created>
  <dcterms:modified xsi:type="dcterms:W3CDTF">2025-07-24T17:35:55Z</dcterms:modified>
</cp:coreProperties>
</file>