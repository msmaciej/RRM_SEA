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4.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6.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09" codeName="{E5D1E7B1-6628-F0F0-D09B-76B25B5F3CD3}"/>
  <workbookPr codeName="ThisWorkbook"/>
  <mc:AlternateContent xmlns:mc="http://schemas.openxmlformats.org/markup-compatibility/2006">
    <mc:Choice Requires="x15">
      <x15ac:absPath xmlns:x15ac="http://schemas.microsoft.com/office/spreadsheetml/2010/11/ac" url="/Users/ms/Documents/MSZ/MSZ_EXCEL/CALC-MATT-H-E/pbae/"/>
    </mc:Choice>
  </mc:AlternateContent>
  <xr:revisionPtr revIDLastSave="0" documentId="13_ncr:8001_{3A58B5CC-CC24-9C4A-8C9F-BEB8FFE02757}" xr6:coauthVersionLast="47" xr6:coauthVersionMax="47" xr10:uidLastSave="{00000000-0000-0000-0000-000000000000}"/>
  <workbookProtection workbookAlgorithmName="SHA-512" workbookHashValue="e6/V8KCkgFA1ZHfw8QWAiGb+gkA7YOomRAAZzR4n5NwrnE0JmyDdmkffRZaMpL48K1aYIRZCU5qY2zRzLz4bMA==" workbookSaltValue="X0Nn4+NORTgBhF5NjXKRDQ==" workbookSpinCount="100000" lockStructure="1"/>
  <bookViews>
    <workbookView xWindow="0" yWindow="4800" windowWidth="27940" windowHeight="15340" tabRatio="599" xr2:uid="{00000000-000D-0000-FFFF-FFFF00000000}"/>
  </bookViews>
  <sheets>
    <sheet name="Macros Required" sheetId="60" r:id="rId1"/>
    <sheet name="Welcome" sheetId="56" r:id="rId2"/>
    <sheet name="Input" sheetId="46" state="hidden" r:id="rId3"/>
    <sheet name="Current Price Breakeven Chart" sheetId="47" r:id="rId4"/>
    <sheet name="Increased Price Breakeven Chart" sheetId="51" r:id="rId5"/>
    <sheet name="Decreased Price Breakeven Chart" sheetId="52" r:id="rId6"/>
    <sheet name="Price Analysis Chart" sheetId="48" r:id="rId7"/>
    <sheet name="Optimum Price Breakeven Chart" sheetId="54" r:id="rId8"/>
    <sheet name="Extended Price Analysis Chart" sheetId="49" r:id="rId9"/>
    <sheet name="Breakeven Tables" sheetId="53" r:id="rId10"/>
    <sheet name="Instructions" sheetId="17" r:id="rId11"/>
    <sheet name="Terms and Conditions" sheetId="58" r:id="rId12"/>
    <sheet name="Worksheet" sheetId="44" state="hidden" r:id="rId13"/>
    <sheet name="Scratch" sheetId="59" state="hidden" r:id="rId14"/>
  </sheets>
  <definedNames>
    <definedName name="EvaDate">Scratch!$B$26</definedName>
    <definedName name="EvaDays">Scratch!$B$27</definedName>
    <definedName name="inbusname">Input!$C$9</definedName>
    <definedName name="inbusrev">Input!$C$11</definedName>
    <definedName name="infixcost">Input!$C$18</definedName>
    <definedName name="inmonper">Input!$C$16</definedName>
    <definedName name="inprice">Input!$C$13:$C$14</definedName>
    <definedName name="invarcost">Input!$C$17</definedName>
    <definedName name="_xlnm.Print_Area" localSheetId="9">'Breakeven Tables'!$A$1:$H$58</definedName>
    <definedName name="_xlnm.Print_Area" localSheetId="2">Input!$A$1:$I$89</definedName>
    <definedName name="_xlnm.Print_Area" localSheetId="10">Instructions!$B$1:$D$55</definedName>
    <definedName name="_xlnm.Print_Area" localSheetId="0">'Macros Required'!$A$1:$B$26</definedName>
    <definedName name="_xlnm.Print_Area" localSheetId="11">'Terms and Conditions'!$A$1:$C$126</definedName>
    <definedName name="Purchase" localSheetId="11">'Terms and Conditions'!$B$54</definedName>
    <definedName name="Status">Scratch!$B$25</definedName>
    <definedName name="welord">Welcome!$B$13:$B$22</definedName>
  </definedNames>
  <calcPr calcId="191029"/>
  <customWorkbookViews>
    <customWorkbookView name="Decision Assistant" guid="{5C56E142-F65F-11D3-8364-85A39FD5096C}" maximized="1" windowWidth="794" windowHeight="437" tabRatio="599" activeSheetId="1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60" l="1"/>
  <c r="B2" i="60"/>
  <c r="B17" i="56" l="1"/>
  <c r="B61" i="58"/>
  <c r="B31" i="56"/>
  <c r="B125" i="58" s="1"/>
  <c r="B80" i="46"/>
  <c r="B2" i="17"/>
  <c r="B29" i="56"/>
  <c r="B27" i="56"/>
  <c r="B24" i="56"/>
  <c r="B22" i="56"/>
  <c r="B19" i="56"/>
  <c r="B16" i="56"/>
  <c r="B15" i="56"/>
  <c r="B14" i="56"/>
  <c r="B13" i="56"/>
  <c r="B11" i="56"/>
  <c r="B10" i="56"/>
  <c r="B9" i="56"/>
  <c r="B8" i="56"/>
  <c r="B7" i="56"/>
  <c r="B3" i="56"/>
  <c r="B6" i="56"/>
  <c r="B57" i="58"/>
  <c r="B58" i="58"/>
  <c r="B2" i="56"/>
  <c r="D41" i="53"/>
  <c r="B26" i="44"/>
  <c r="C34" i="53" s="1"/>
  <c r="B19" i="44"/>
  <c r="C30" i="53" s="1"/>
  <c r="B21" i="44"/>
  <c r="B51" i="44" s="1"/>
  <c r="C39" i="53" s="1"/>
  <c r="D30" i="53"/>
  <c r="F18" i="53"/>
  <c r="F29" i="53" s="1"/>
  <c r="D19" i="53"/>
  <c r="C7" i="53"/>
  <c r="D8" i="53"/>
  <c r="C12" i="53"/>
  <c r="C14" i="53"/>
  <c r="C8" i="53"/>
  <c r="C6" i="53"/>
  <c r="B41" i="44"/>
  <c r="C23" i="53" s="1"/>
  <c r="B34" i="44"/>
  <c r="C19" i="53" s="1"/>
  <c r="B36" i="44"/>
  <c r="C17" i="53" s="1"/>
  <c r="B24" i="44"/>
  <c r="B54" i="44" s="1"/>
  <c r="C40" i="53" s="1"/>
  <c r="B39" i="44"/>
  <c r="C18" i="53" s="1"/>
  <c r="B28" i="44"/>
  <c r="B58" i="44" s="1"/>
  <c r="C47" i="53" s="1"/>
  <c r="B43" i="44"/>
  <c r="C25" i="53" s="1"/>
  <c r="B12" i="44"/>
  <c r="B27" i="44" s="1"/>
  <c r="B10" i="44"/>
  <c r="B25" i="44" s="1"/>
  <c r="B7" i="44"/>
  <c r="B22" i="44" s="1"/>
  <c r="B5" i="44"/>
  <c r="B20" i="44" s="1"/>
  <c r="B35" i="44"/>
  <c r="C20" i="53" s="1"/>
  <c r="D14" i="46"/>
  <c r="G50" i="46" s="1"/>
  <c r="E19" i="44" s="1"/>
  <c r="E20" i="44" s="1"/>
  <c r="D13" i="46"/>
  <c r="E4" i="44"/>
  <c r="E5" i="44" s="1"/>
  <c r="E6" i="44" s="1"/>
  <c r="C123" i="44" s="1"/>
  <c r="C125" i="44" s="1"/>
  <c r="J125" i="44" s="1"/>
  <c r="G49" i="46"/>
  <c r="E21" i="44"/>
  <c r="F21" i="44" s="1"/>
  <c r="D16" i="46"/>
  <c r="D17" i="46" s="1"/>
  <c r="G40" i="46"/>
  <c r="E34" i="44" s="1"/>
  <c r="D34" i="44" s="1"/>
  <c r="E19" i="53" s="1"/>
  <c r="G39" i="46"/>
  <c r="E36" i="44" s="1"/>
  <c r="C36" i="44" s="1"/>
  <c r="C35" i="44" s="1"/>
  <c r="C126" i="44"/>
  <c r="J126" i="44" s="1"/>
  <c r="C148" i="44"/>
  <c r="J148" i="44" s="1"/>
  <c r="F34" i="44"/>
  <c r="G19" i="53" s="1"/>
  <c r="G34" i="44"/>
  <c r="H19" i="53" s="1"/>
  <c r="E40" i="44"/>
  <c r="C40" i="44" s="1"/>
  <c r="D22" i="53" s="1"/>
  <c r="F19" i="53"/>
  <c r="D19" i="44"/>
  <c r="E30" i="53" s="1"/>
  <c r="F30" i="53"/>
  <c r="F19" i="44"/>
  <c r="G30" i="53" s="1"/>
  <c r="C21" i="44"/>
  <c r="C20" i="44" s="1"/>
  <c r="E25" i="44"/>
  <c r="C25" i="44" s="1"/>
  <c r="G25" i="44"/>
  <c r="H33" i="53" s="1"/>
  <c r="D28" i="53"/>
  <c r="G4" i="44"/>
  <c r="H8" i="53" s="1"/>
  <c r="D6" i="44"/>
  <c r="E49" i="46"/>
  <c r="E50" i="46"/>
  <c r="E48" i="46"/>
  <c r="E38" i="46"/>
  <c r="E39" i="46"/>
  <c r="E40" i="46"/>
  <c r="D18" i="46"/>
  <c r="C19" i="46"/>
  <c r="D19" i="46"/>
  <c r="E30" i="46"/>
  <c r="B43" i="17"/>
  <c r="B42" i="17"/>
  <c r="B44" i="17"/>
  <c r="B45" i="17"/>
  <c r="B41" i="17"/>
  <c r="B36" i="17"/>
  <c r="B37" i="17"/>
  <c r="B38" i="17"/>
  <c r="B39" i="17"/>
  <c r="B40" i="17"/>
  <c r="B31" i="17"/>
  <c r="B32" i="17"/>
  <c r="B33" i="17"/>
  <c r="B34" i="17"/>
  <c r="B35" i="17"/>
  <c r="B26" i="17"/>
  <c r="B27" i="17"/>
  <c r="B28" i="17"/>
  <c r="B29" i="17"/>
  <c r="B30" i="17"/>
  <c r="B25" i="17"/>
  <c r="B23" i="17"/>
  <c r="B24" i="17"/>
  <c r="B20" i="17"/>
  <c r="B21" i="17"/>
  <c r="B22" i="17"/>
  <c r="B19" i="17"/>
  <c r="B18" i="17"/>
  <c r="B11" i="17"/>
  <c r="B12" i="17"/>
  <c r="B13" i="17"/>
  <c r="B14" i="17"/>
  <c r="B15" i="17"/>
  <c r="B16" i="17"/>
  <c r="B17" i="17"/>
  <c r="B10" i="17"/>
  <c r="B30" i="44"/>
  <c r="B60" i="44"/>
  <c r="B29" i="44"/>
  <c r="B59" i="44" s="1"/>
  <c r="B23" i="44"/>
  <c r="B53" i="44"/>
  <c r="B65" i="44"/>
  <c r="D72" i="44" s="1"/>
  <c r="B64" i="44"/>
  <c r="B38" i="44"/>
  <c r="B44" i="44"/>
  <c r="B45" i="44"/>
  <c r="B66" i="44"/>
  <c r="E65" i="44"/>
  <c r="E64" i="44"/>
  <c r="F31" i="53" l="1"/>
  <c r="C66" i="44"/>
  <c r="D6" i="53"/>
  <c r="F9" i="53"/>
  <c r="F33" i="53"/>
  <c r="D21" i="44"/>
  <c r="D40" i="44"/>
  <c r="E22" i="53" s="1"/>
  <c r="C172" i="44"/>
  <c r="J172" i="44" s="1"/>
  <c r="C162" i="44"/>
  <c r="J162" i="44" s="1"/>
  <c r="C152" i="44"/>
  <c r="J152" i="44" s="1"/>
  <c r="C134" i="44"/>
  <c r="J134" i="44" s="1"/>
  <c r="B49" i="44"/>
  <c r="C41" i="53" s="1"/>
  <c r="C171" i="44"/>
  <c r="J171" i="44" s="1"/>
  <c r="C161" i="44"/>
  <c r="J161" i="44" s="1"/>
  <c r="C151" i="44"/>
  <c r="J151" i="44" s="1"/>
  <c r="C132" i="44"/>
  <c r="J132" i="44" s="1"/>
  <c r="C6" i="44"/>
  <c r="C5" i="44" s="1"/>
  <c r="D9" i="53" s="1"/>
  <c r="G19" i="44"/>
  <c r="H30" i="53" s="1"/>
  <c r="G36" i="44"/>
  <c r="G35" i="44" s="1"/>
  <c r="H20" i="53" s="1"/>
  <c r="C170" i="44"/>
  <c r="J170" i="44" s="1"/>
  <c r="C160" i="44"/>
  <c r="J160" i="44" s="1"/>
  <c r="C150" i="44"/>
  <c r="J150" i="44" s="1"/>
  <c r="C130" i="44"/>
  <c r="J130" i="44" s="1"/>
  <c r="B56" i="44"/>
  <c r="C45" i="53" s="1"/>
  <c r="F8" i="53"/>
  <c r="D25" i="44"/>
  <c r="E33" i="53" s="1"/>
  <c r="C167" i="44"/>
  <c r="J167" i="44" s="1"/>
  <c r="C157" i="44"/>
  <c r="J157" i="44" s="1"/>
  <c r="C144" i="44"/>
  <c r="J144" i="44" s="1"/>
  <c r="C124" i="44"/>
  <c r="J124" i="44" s="1"/>
  <c r="B46" i="17"/>
  <c r="C169" i="44"/>
  <c r="J169" i="44" s="1"/>
  <c r="C159" i="44"/>
  <c r="J159" i="44" s="1"/>
  <c r="C128" i="44"/>
  <c r="J128" i="44" s="1"/>
  <c r="F4" i="44"/>
  <c r="G8" i="53" s="1"/>
  <c r="C168" i="44"/>
  <c r="J168" i="44" s="1"/>
  <c r="C158" i="44"/>
  <c r="J158" i="44" s="1"/>
  <c r="C146" i="44"/>
  <c r="J146" i="44" s="1"/>
  <c r="D64" i="44"/>
  <c r="D65" i="44"/>
  <c r="G21" i="44"/>
  <c r="C165" i="44"/>
  <c r="J165" i="44" s="1"/>
  <c r="C155" i="44"/>
  <c r="J155" i="44" s="1"/>
  <c r="C140" i="44"/>
  <c r="J140" i="44" s="1"/>
  <c r="C64" i="44"/>
  <c r="F22" i="53"/>
  <c r="D4" i="44"/>
  <c r="E8" i="53" s="1"/>
  <c r="C166" i="44"/>
  <c r="J166" i="44" s="1"/>
  <c r="C156" i="44"/>
  <c r="J156" i="44" s="1"/>
  <c r="C142" i="44"/>
  <c r="J142" i="44" s="1"/>
  <c r="D66" i="44"/>
  <c r="G6" i="44"/>
  <c r="E55" i="44"/>
  <c r="F55" i="44" s="1"/>
  <c r="G44" i="53" s="1"/>
  <c r="C164" i="44"/>
  <c r="J164" i="44" s="1"/>
  <c r="C154" i="44"/>
  <c r="J154" i="44" s="1"/>
  <c r="C138" i="44"/>
  <c r="J138" i="44" s="1"/>
  <c r="E10" i="44"/>
  <c r="C65" i="44"/>
  <c r="C32" i="46"/>
  <c r="E32" i="46" s="1"/>
  <c r="F6" i="44"/>
  <c r="F5" i="44" s="1"/>
  <c r="F40" i="44"/>
  <c r="G22" i="53" s="1"/>
  <c r="C173" i="44"/>
  <c r="J173" i="44" s="1"/>
  <c r="C163" i="44"/>
  <c r="J163" i="44" s="1"/>
  <c r="C153" i="44"/>
  <c r="J153" i="44" s="1"/>
  <c r="C136" i="44"/>
  <c r="J136" i="44" s="1"/>
  <c r="C52" i="46"/>
  <c r="G5" i="44"/>
  <c r="H9" i="53" s="1"/>
  <c r="F25" i="44"/>
  <c r="G33" i="53" s="1"/>
  <c r="G20" i="44"/>
  <c r="H31" i="53" s="1"/>
  <c r="D20" i="44"/>
  <c r="E31" i="53" s="1"/>
  <c r="D17" i="53"/>
  <c r="F36" i="44"/>
  <c r="F35" i="44" s="1"/>
  <c r="G20" i="53" s="1"/>
  <c r="E35" i="44"/>
  <c r="D36" i="44"/>
  <c r="D35" i="44" s="1"/>
  <c r="E20" i="53" s="1"/>
  <c r="C9" i="53"/>
  <c r="B37" i="44"/>
  <c r="C21" i="53" s="1"/>
  <c r="B40" i="44"/>
  <c r="C22" i="53" s="1"/>
  <c r="B42" i="44"/>
  <c r="D20" i="53"/>
  <c r="C43" i="44"/>
  <c r="D25" i="53" s="1"/>
  <c r="C149" i="44"/>
  <c r="J149" i="44" s="1"/>
  <c r="C147" i="44"/>
  <c r="J147" i="44" s="1"/>
  <c r="C145" i="44"/>
  <c r="J145" i="44" s="1"/>
  <c r="C143" i="44"/>
  <c r="J143" i="44" s="1"/>
  <c r="C141" i="44"/>
  <c r="J141" i="44" s="1"/>
  <c r="C139" i="44"/>
  <c r="J139" i="44" s="1"/>
  <c r="C137" i="44"/>
  <c r="J137" i="44" s="1"/>
  <c r="C135" i="44"/>
  <c r="J135" i="44" s="1"/>
  <c r="C133" i="44"/>
  <c r="J133" i="44" s="1"/>
  <c r="C131" i="44"/>
  <c r="J131" i="44" s="1"/>
  <c r="C129" i="44"/>
  <c r="J129" i="44" s="1"/>
  <c r="C127" i="44"/>
  <c r="J127" i="44" s="1"/>
  <c r="C71" i="44"/>
  <c r="D124" i="44" s="1"/>
  <c r="E124" i="44" s="1"/>
  <c r="E7" i="44"/>
  <c r="D123" i="44"/>
  <c r="G40" i="44"/>
  <c r="H22" i="53" s="1"/>
  <c r="G9" i="53"/>
  <c r="D31" i="53"/>
  <c r="C28" i="44"/>
  <c r="D36" i="53" s="1"/>
  <c r="C31" i="53"/>
  <c r="B50" i="44"/>
  <c r="C42" i="53" s="1"/>
  <c r="B52" i="44"/>
  <c r="C43" i="53" s="1"/>
  <c r="C32" i="53"/>
  <c r="B55" i="44"/>
  <c r="C44" i="53" s="1"/>
  <c r="C33" i="53"/>
  <c r="B57" i="44"/>
  <c r="C46" i="53" s="1"/>
  <c r="C35" i="53"/>
  <c r="C73" i="44"/>
  <c r="J73" i="44" s="1"/>
  <c r="E123" i="44"/>
  <c r="C74" i="44"/>
  <c r="J74" i="44" s="1"/>
  <c r="C75" i="44"/>
  <c r="J75" i="44" s="1"/>
  <c r="C76" i="44"/>
  <c r="J76" i="44" s="1"/>
  <c r="C77" i="44"/>
  <c r="J77" i="44" s="1"/>
  <c r="C78" i="44"/>
  <c r="J78" i="44" s="1"/>
  <c r="C79" i="44"/>
  <c r="J79" i="44" s="1"/>
  <c r="C80" i="44"/>
  <c r="J80" i="44" s="1"/>
  <c r="C81" i="44"/>
  <c r="J81" i="44" s="1"/>
  <c r="C82" i="44"/>
  <c r="J82" i="44" s="1"/>
  <c r="C83" i="44"/>
  <c r="J83" i="44" s="1"/>
  <c r="C84" i="44"/>
  <c r="J84" i="44" s="1"/>
  <c r="C85" i="44"/>
  <c r="J85" i="44" s="1"/>
  <c r="C86" i="44"/>
  <c r="J86" i="44" s="1"/>
  <c r="C87" i="44"/>
  <c r="J87" i="44" s="1"/>
  <c r="C88" i="44"/>
  <c r="J88" i="44" s="1"/>
  <c r="C89" i="44"/>
  <c r="J89" i="44" s="1"/>
  <c r="C90" i="44"/>
  <c r="J90" i="44" s="1"/>
  <c r="C91" i="44"/>
  <c r="J91" i="44" s="1"/>
  <c r="C92" i="44"/>
  <c r="J92" i="44" s="1"/>
  <c r="C93" i="44"/>
  <c r="J93" i="44" s="1"/>
  <c r="C94" i="44"/>
  <c r="J94" i="44" s="1"/>
  <c r="C95" i="44"/>
  <c r="J95" i="44" s="1"/>
  <c r="C96" i="44"/>
  <c r="J96" i="44" s="1"/>
  <c r="C97" i="44"/>
  <c r="J97" i="44" s="1"/>
  <c r="C98" i="44"/>
  <c r="J98" i="44" s="1"/>
  <c r="C99" i="44"/>
  <c r="J99" i="44" s="1"/>
  <c r="C100" i="44"/>
  <c r="J100" i="44" s="1"/>
  <c r="C101" i="44"/>
  <c r="J101" i="44" s="1"/>
  <c r="C102" i="44"/>
  <c r="J102" i="44" s="1"/>
  <c r="C103" i="44"/>
  <c r="J103" i="44" s="1"/>
  <c r="C104" i="44"/>
  <c r="J104" i="44" s="1"/>
  <c r="C105" i="44"/>
  <c r="J105" i="44" s="1"/>
  <c r="C106" i="44"/>
  <c r="J106" i="44" s="1"/>
  <c r="C107" i="44"/>
  <c r="J107" i="44" s="1"/>
  <c r="C108" i="44"/>
  <c r="J108" i="44" s="1"/>
  <c r="C109" i="44"/>
  <c r="J109" i="44" s="1"/>
  <c r="C110" i="44"/>
  <c r="J110" i="44" s="1"/>
  <c r="C111" i="44"/>
  <c r="J111" i="44" s="1"/>
  <c r="C112" i="44"/>
  <c r="J112" i="44" s="1"/>
  <c r="C113" i="44"/>
  <c r="J113" i="44" s="1"/>
  <c r="C114" i="44"/>
  <c r="J114" i="44" s="1"/>
  <c r="C115" i="44"/>
  <c r="J115" i="44" s="1"/>
  <c r="C116" i="44"/>
  <c r="J116" i="44" s="1"/>
  <c r="C117" i="44"/>
  <c r="J117" i="44" s="1"/>
  <c r="C118" i="44"/>
  <c r="J118" i="44" s="1"/>
  <c r="C119" i="44"/>
  <c r="J119" i="44" s="1"/>
  <c r="C120" i="44"/>
  <c r="J120" i="44" s="1"/>
  <c r="C121" i="44"/>
  <c r="J121" i="44" s="1"/>
  <c r="C122" i="44"/>
  <c r="J122" i="44" s="1"/>
  <c r="C13" i="44"/>
  <c r="D14" i="53" s="1"/>
  <c r="D33" i="53"/>
  <c r="F20" i="44"/>
  <c r="C70" i="44"/>
  <c r="C10" i="53"/>
  <c r="C11" i="53"/>
  <c r="C13" i="53"/>
  <c r="C36" i="53"/>
  <c r="C29" i="53"/>
  <c r="C28" i="53"/>
  <c r="B49" i="53"/>
  <c r="D173" i="44" l="1"/>
  <c r="E173" i="44" s="1"/>
  <c r="D163" i="44"/>
  <c r="E163" i="44" s="1"/>
  <c r="D153" i="44"/>
  <c r="E153" i="44" s="1"/>
  <c r="D143" i="44"/>
  <c r="E143" i="44" s="1"/>
  <c r="D133" i="44"/>
  <c r="E133" i="44" s="1"/>
  <c r="D137" i="44"/>
  <c r="E137" i="44" s="1"/>
  <c r="D172" i="44"/>
  <c r="E172" i="44" s="1"/>
  <c r="D162" i="44"/>
  <c r="E162" i="44" s="1"/>
  <c r="D152" i="44"/>
  <c r="E152" i="44" s="1"/>
  <c r="D142" i="44"/>
  <c r="E142" i="44" s="1"/>
  <c r="F142" i="44" s="1"/>
  <c r="D132" i="44"/>
  <c r="E132" i="44" s="1"/>
  <c r="D171" i="44"/>
  <c r="E171" i="44" s="1"/>
  <c r="D161" i="44"/>
  <c r="E161" i="44" s="1"/>
  <c r="D151" i="44"/>
  <c r="E151" i="44" s="1"/>
  <c r="D141" i="44"/>
  <c r="E141" i="44" s="1"/>
  <c r="D131" i="44"/>
  <c r="E131" i="44" s="1"/>
  <c r="D10" i="44"/>
  <c r="E11" i="53" s="1"/>
  <c r="C10" i="44"/>
  <c r="D11" i="53" s="1"/>
  <c r="F11" i="53"/>
  <c r="F10" i="44"/>
  <c r="G11" i="53" s="1"/>
  <c r="G10" i="44"/>
  <c r="H11" i="53" s="1"/>
  <c r="D169" i="44"/>
  <c r="E169" i="44" s="1"/>
  <c r="D159" i="44"/>
  <c r="E159" i="44" s="1"/>
  <c r="D149" i="44"/>
  <c r="E149" i="44" s="1"/>
  <c r="D139" i="44"/>
  <c r="E139" i="44" s="1"/>
  <c r="D129" i="44"/>
  <c r="E129" i="44" s="1"/>
  <c r="D170" i="44"/>
  <c r="E170" i="44" s="1"/>
  <c r="D160" i="44"/>
  <c r="E160" i="44" s="1"/>
  <c r="D150" i="44"/>
  <c r="E150" i="44" s="1"/>
  <c r="D140" i="44"/>
  <c r="E140" i="44" s="1"/>
  <c r="D130" i="44"/>
  <c r="E130" i="44" s="1"/>
  <c r="D168" i="44"/>
  <c r="E168" i="44" s="1"/>
  <c r="D158" i="44"/>
  <c r="E158" i="44" s="1"/>
  <c r="D148" i="44"/>
  <c r="E148" i="44" s="1"/>
  <c r="D138" i="44"/>
  <c r="E138" i="44" s="1"/>
  <c r="D128" i="44"/>
  <c r="E128" i="44" s="1"/>
  <c r="F128" i="44" s="1"/>
  <c r="D167" i="44"/>
  <c r="E167" i="44" s="1"/>
  <c r="D157" i="44"/>
  <c r="E157" i="44" s="1"/>
  <c r="D147" i="44"/>
  <c r="E147" i="44" s="1"/>
  <c r="D127" i="44"/>
  <c r="E127" i="44" s="1"/>
  <c r="D146" i="44"/>
  <c r="E146" i="44" s="1"/>
  <c r="C55" i="44"/>
  <c r="D44" i="53" s="1"/>
  <c r="G55" i="44"/>
  <c r="H44" i="53" s="1"/>
  <c r="D55" i="44"/>
  <c r="E44" i="53" s="1"/>
  <c r="F44" i="53"/>
  <c r="D165" i="44"/>
  <c r="E165" i="44" s="1"/>
  <c r="D155" i="44"/>
  <c r="E155" i="44" s="1"/>
  <c r="D145" i="44"/>
  <c r="E145" i="44" s="1"/>
  <c r="D135" i="44"/>
  <c r="E135" i="44" s="1"/>
  <c r="D125" i="44"/>
  <c r="E125" i="44" s="1"/>
  <c r="D166" i="44"/>
  <c r="E166" i="44" s="1"/>
  <c r="D156" i="44"/>
  <c r="E156" i="44" s="1"/>
  <c r="D136" i="44"/>
  <c r="E136" i="44" s="1"/>
  <c r="D126" i="44"/>
  <c r="E126" i="44" s="1"/>
  <c r="D5" i="44"/>
  <c r="D164" i="44"/>
  <c r="E164" i="44" s="1"/>
  <c r="D154" i="44"/>
  <c r="E154" i="44" s="1"/>
  <c r="F154" i="44" s="1"/>
  <c r="D144" i="44"/>
  <c r="E144" i="44" s="1"/>
  <c r="D134" i="44"/>
  <c r="E134" i="44" s="1"/>
  <c r="F134" i="44" s="1"/>
  <c r="D52" i="46"/>
  <c r="F52" i="46"/>
  <c r="H52" i="46" s="1"/>
  <c r="C24" i="53"/>
  <c r="B67" i="44"/>
  <c r="F20" i="53"/>
  <c r="E66" i="44"/>
  <c r="C42" i="46"/>
  <c r="E9" i="44"/>
  <c r="F173" i="44" s="1"/>
  <c r="E11" i="44"/>
  <c r="F12" i="53" s="1"/>
  <c r="E12" i="44"/>
  <c r="E8" i="44"/>
  <c r="F10" i="53"/>
  <c r="F166" i="44"/>
  <c r="F158" i="44"/>
  <c r="F150" i="44"/>
  <c r="F146" i="44"/>
  <c r="F138" i="44"/>
  <c r="F126" i="44"/>
  <c r="F124" i="44"/>
  <c r="G31" i="53"/>
  <c r="E9" i="53"/>
  <c r="F123" i="44"/>
  <c r="J123" i="44"/>
  <c r="D73" i="44"/>
  <c r="E73" i="44" s="1"/>
  <c r="F73" i="44" s="1"/>
  <c r="D74" i="44"/>
  <c r="E74" i="44" s="1"/>
  <c r="D75" i="44"/>
  <c r="E75" i="44" s="1"/>
  <c r="D76" i="44"/>
  <c r="E76" i="44" s="1"/>
  <c r="D77" i="44"/>
  <c r="E77" i="44" s="1"/>
  <c r="F77" i="44" s="1"/>
  <c r="D78" i="44"/>
  <c r="E78" i="44" s="1"/>
  <c r="F78" i="44" s="1"/>
  <c r="D79" i="44"/>
  <c r="E79" i="44" s="1"/>
  <c r="F79" i="44" s="1"/>
  <c r="D80" i="44"/>
  <c r="E80" i="44" s="1"/>
  <c r="F80" i="44" s="1"/>
  <c r="D81" i="44"/>
  <c r="E81" i="44" s="1"/>
  <c r="F81" i="44" s="1"/>
  <c r="D82" i="44"/>
  <c r="E82" i="44" s="1"/>
  <c r="F82" i="44" s="1"/>
  <c r="D83" i="44"/>
  <c r="E83" i="44" s="1"/>
  <c r="F83" i="44" s="1"/>
  <c r="D84" i="44"/>
  <c r="E84" i="44" s="1"/>
  <c r="D85" i="44"/>
  <c r="E85" i="44" s="1"/>
  <c r="D86" i="44"/>
  <c r="E86" i="44" s="1"/>
  <c r="D87" i="44"/>
  <c r="E87" i="44" s="1"/>
  <c r="F87" i="44" s="1"/>
  <c r="D88" i="44"/>
  <c r="E88" i="44" s="1"/>
  <c r="F88" i="44" s="1"/>
  <c r="D89" i="44"/>
  <c r="E89" i="44" s="1"/>
  <c r="F89" i="44" s="1"/>
  <c r="D90" i="44"/>
  <c r="E90" i="44" s="1"/>
  <c r="F90" i="44" s="1"/>
  <c r="D91" i="44"/>
  <c r="E91" i="44" s="1"/>
  <c r="F91" i="44" s="1"/>
  <c r="D92" i="44"/>
  <c r="E92" i="44" s="1"/>
  <c r="F92" i="44" s="1"/>
  <c r="D93" i="44"/>
  <c r="E93" i="44" s="1"/>
  <c r="F93" i="44" s="1"/>
  <c r="D94" i="44"/>
  <c r="E94" i="44" s="1"/>
  <c r="D95" i="44"/>
  <c r="E95" i="44" s="1"/>
  <c r="D96" i="44"/>
  <c r="E96" i="44" s="1"/>
  <c r="D97" i="44"/>
  <c r="E97" i="44" s="1"/>
  <c r="F97" i="44" s="1"/>
  <c r="D98" i="44"/>
  <c r="E98" i="44" s="1"/>
  <c r="F98" i="44" s="1"/>
  <c r="D99" i="44"/>
  <c r="E99" i="44" s="1"/>
  <c r="F99" i="44" s="1"/>
  <c r="D100" i="44"/>
  <c r="E100" i="44" s="1"/>
  <c r="F100" i="44" s="1"/>
  <c r="D101" i="44"/>
  <c r="E101" i="44" s="1"/>
  <c r="F101" i="44" s="1"/>
  <c r="D102" i="44"/>
  <c r="E102" i="44" s="1"/>
  <c r="F102" i="44" s="1"/>
  <c r="D103" i="44"/>
  <c r="E103" i="44" s="1"/>
  <c r="F103" i="44" s="1"/>
  <c r="D104" i="44"/>
  <c r="E104" i="44" s="1"/>
  <c r="D105" i="44"/>
  <c r="E105" i="44" s="1"/>
  <c r="D106" i="44"/>
  <c r="E106" i="44" s="1"/>
  <c r="D107" i="44"/>
  <c r="E107" i="44" s="1"/>
  <c r="F107" i="44" s="1"/>
  <c r="D108" i="44"/>
  <c r="E108" i="44" s="1"/>
  <c r="F108" i="44" s="1"/>
  <c r="D109" i="44"/>
  <c r="E109" i="44" s="1"/>
  <c r="F109" i="44" s="1"/>
  <c r="D110" i="44"/>
  <c r="E110" i="44" s="1"/>
  <c r="F110" i="44" s="1"/>
  <c r="D111" i="44"/>
  <c r="E111" i="44" s="1"/>
  <c r="F111" i="44" s="1"/>
  <c r="D112" i="44"/>
  <c r="E112" i="44" s="1"/>
  <c r="F112" i="44" s="1"/>
  <c r="D113" i="44"/>
  <c r="E113" i="44" s="1"/>
  <c r="F113" i="44" s="1"/>
  <c r="D114" i="44"/>
  <c r="E114" i="44" s="1"/>
  <c r="D115" i="44"/>
  <c r="E115" i="44" s="1"/>
  <c r="D116" i="44"/>
  <c r="E116" i="44" s="1"/>
  <c r="D117" i="44"/>
  <c r="E117" i="44" s="1"/>
  <c r="F117" i="44" s="1"/>
  <c r="D118" i="44"/>
  <c r="E118" i="44" s="1"/>
  <c r="F118" i="44" s="1"/>
  <c r="D119" i="44"/>
  <c r="E119" i="44" s="1"/>
  <c r="F119" i="44" s="1"/>
  <c r="D120" i="44"/>
  <c r="E120" i="44" s="1"/>
  <c r="F120" i="44" s="1"/>
  <c r="D121" i="44"/>
  <c r="E121" i="44" s="1"/>
  <c r="F121" i="44" s="1"/>
  <c r="D122" i="44"/>
  <c r="E122" i="44" s="1"/>
  <c r="F122" i="44" s="1"/>
  <c r="F106" i="44" l="1"/>
  <c r="F76" i="44"/>
  <c r="F96" i="44"/>
  <c r="F86" i="44"/>
  <c r="F115" i="44"/>
  <c r="F105" i="44"/>
  <c r="F95" i="44"/>
  <c r="F85" i="44"/>
  <c r="F75" i="44"/>
  <c r="F174" i="44" s="1"/>
  <c r="G119" i="44" s="1"/>
  <c r="F130" i="44"/>
  <c r="F116" i="44"/>
  <c r="F114" i="44"/>
  <c r="F104" i="44"/>
  <c r="F94" i="44"/>
  <c r="F84" i="44"/>
  <c r="F74" i="44"/>
  <c r="D42" i="46"/>
  <c r="F42" i="46"/>
  <c r="H42" i="46" s="1"/>
  <c r="F162" i="44"/>
  <c r="F170" i="44"/>
  <c r="C8" i="44"/>
  <c r="D8" i="44"/>
  <c r="F8" i="44"/>
  <c r="E14" i="44"/>
  <c r="G8" i="44"/>
  <c r="F132" i="44"/>
  <c r="F136" i="44"/>
  <c r="F140" i="44"/>
  <c r="F144" i="44"/>
  <c r="F148" i="44"/>
  <c r="F152" i="44"/>
  <c r="F156" i="44"/>
  <c r="F160" i="44"/>
  <c r="F164" i="44"/>
  <c r="F168" i="44"/>
  <c r="F172" i="44"/>
  <c r="F125" i="44"/>
  <c r="F129" i="44"/>
  <c r="F133" i="44"/>
  <c r="F137" i="44"/>
  <c r="F141" i="44"/>
  <c r="F145" i="44"/>
  <c r="F149" i="44"/>
  <c r="F153" i="44"/>
  <c r="F157" i="44"/>
  <c r="F161" i="44"/>
  <c r="F165" i="44"/>
  <c r="F169" i="44"/>
  <c r="E13" i="44"/>
  <c r="F14" i="53" s="1"/>
  <c r="D67" i="44"/>
  <c r="F13" i="53"/>
  <c r="E24" i="44"/>
  <c r="D7" i="53"/>
  <c r="F127" i="44"/>
  <c r="F131" i="44"/>
  <c r="F135" i="44"/>
  <c r="F139" i="44"/>
  <c r="F143" i="44"/>
  <c r="F147" i="44"/>
  <c r="F151" i="44"/>
  <c r="F155" i="44"/>
  <c r="F159" i="44"/>
  <c r="F163" i="44"/>
  <c r="F167" i="44"/>
  <c r="F171" i="44"/>
  <c r="G7" i="44" l="1"/>
  <c r="G14" i="44"/>
  <c r="G15" i="44" s="1"/>
  <c r="F7" i="44"/>
  <c r="F14" i="44"/>
  <c r="F15" i="44" s="1"/>
  <c r="C7" i="44"/>
  <c r="C14" i="44"/>
  <c r="C15" i="44" s="1"/>
  <c r="E22" i="44"/>
  <c r="D29" i="53"/>
  <c r="F24" i="44"/>
  <c r="D24" i="44"/>
  <c r="G24" i="44"/>
  <c r="C24" i="44"/>
  <c r="E39" i="44"/>
  <c r="C26" i="46"/>
  <c r="E15" i="44"/>
  <c r="C27" i="46" s="1"/>
  <c r="D14" i="44"/>
  <c r="D15" i="44" s="1"/>
  <c r="D7" i="44"/>
  <c r="I123" i="44"/>
  <c r="H123" i="44"/>
  <c r="G73" i="44"/>
  <c r="H75" i="44"/>
  <c r="G77" i="44"/>
  <c r="H79" i="44"/>
  <c r="H81" i="44"/>
  <c r="H83" i="44"/>
  <c r="G85" i="44"/>
  <c r="H87" i="44"/>
  <c r="G89" i="44"/>
  <c r="G91" i="44"/>
  <c r="I93" i="44"/>
  <c r="H93" i="44"/>
  <c r="I97" i="44"/>
  <c r="H97" i="44"/>
  <c r="G103" i="44"/>
  <c r="H107" i="44"/>
  <c r="G113" i="44"/>
  <c r="I117" i="44"/>
  <c r="H117" i="44"/>
  <c r="G121" i="44"/>
  <c r="G123" i="44"/>
  <c r="I73" i="44"/>
  <c r="H73" i="44"/>
  <c r="G75" i="44"/>
  <c r="I75" i="44"/>
  <c r="I77" i="44"/>
  <c r="G79" i="44"/>
  <c r="I79" i="44"/>
  <c r="I81" i="44"/>
  <c r="G83" i="44"/>
  <c r="I83" i="44"/>
  <c r="I85" i="44"/>
  <c r="G87" i="44"/>
  <c r="I87" i="44"/>
  <c r="I89" i="44"/>
  <c r="I91" i="44"/>
  <c r="H91" i="44"/>
  <c r="G93" i="44"/>
  <c r="I95" i="44"/>
  <c r="H95" i="44"/>
  <c r="G97" i="44"/>
  <c r="I103" i="44"/>
  <c r="H103" i="44"/>
  <c r="G107" i="44"/>
  <c r="I113" i="44"/>
  <c r="H113" i="44"/>
  <c r="G117" i="44"/>
  <c r="I121" i="44"/>
  <c r="H121" i="44"/>
  <c r="I74" i="44"/>
  <c r="H74" i="44"/>
  <c r="G76" i="44"/>
  <c r="I78" i="44"/>
  <c r="H78" i="44"/>
  <c r="G80" i="44"/>
  <c r="I82" i="44"/>
  <c r="H82" i="44"/>
  <c r="G84" i="44"/>
  <c r="I86" i="44"/>
  <c r="H86" i="44"/>
  <c r="G88" i="44"/>
  <c r="I90" i="44"/>
  <c r="H90" i="44"/>
  <c r="G92" i="44"/>
  <c r="I94" i="44"/>
  <c r="H94" i="44"/>
  <c r="G96" i="44"/>
  <c r="I98" i="44"/>
  <c r="H98" i="44"/>
  <c r="G100" i="44"/>
  <c r="I102" i="44"/>
  <c r="H102" i="44"/>
  <c r="G104" i="44"/>
  <c r="I106" i="44"/>
  <c r="H106" i="44"/>
  <c r="G108" i="44"/>
  <c r="I110" i="44"/>
  <c r="H110" i="44"/>
  <c r="G112" i="44"/>
  <c r="I114" i="44"/>
  <c r="H114" i="44"/>
  <c r="G116" i="44"/>
  <c r="I118" i="44"/>
  <c r="H118" i="44"/>
  <c r="G120" i="44"/>
  <c r="I122" i="44"/>
  <c r="H122" i="44"/>
  <c r="G99" i="44"/>
  <c r="I101" i="44"/>
  <c r="H101" i="44"/>
  <c r="G105" i="44"/>
  <c r="I109" i="44"/>
  <c r="H109" i="44"/>
  <c r="G111" i="44"/>
  <c r="I115" i="44"/>
  <c r="H115" i="44"/>
  <c r="G170" i="44"/>
  <c r="H166" i="44"/>
  <c r="I166" i="44"/>
  <c r="G164" i="44"/>
  <c r="H160" i="44"/>
  <c r="I160" i="44"/>
  <c r="G158" i="44"/>
  <c r="H154" i="44"/>
  <c r="I154" i="44"/>
  <c r="G152" i="44"/>
  <c r="H148" i="44"/>
  <c r="I148" i="44"/>
  <c r="G146" i="44"/>
  <c r="H142" i="44"/>
  <c r="I142" i="44"/>
  <c r="G140" i="44"/>
  <c r="H138" i="44"/>
  <c r="I138" i="44"/>
  <c r="G134" i="44"/>
  <c r="H132" i="44"/>
  <c r="I132" i="44"/>
  <c r="G130" i="44"/>
  <c r="H128" i="44"/>
  <c r="I128" i="44"/>
  <c r="G126" i="44"/>
  <c r="H173" i="44"/>
  <c r="I173" i="44"/>
  <c r="G171" i="44"/>
  <c r="H169" i="44"/>
  <c r="I169" i="44"/>
  <c r="G167" i="44"/>
  <c r="H165" i="44"/>
  <c r="I165" i="44"/>
  <c r="G163" i="44"/>
  <c r="H161" i="44"/>
  <c r="I161" i="44"/>
  <c r="G159" i="44"/>
  <c r="H157" i="44"/>
  <c r="I157" i="44"/>
  <c r="G155" i="44"/>
  <c r="H153" i="44"/>
  <c r="I153" i="44"/>
  <c r="G151" i="44"/>
  <c r="H149" i="44"/>
  <c r="I149" i="44"/>
  <c r="G147" i="44"/>
  <c r="H145" i="44"/>
  <c r="I145" i="44"/>
  <c r="G143" i="44"/>
  <c r="H141" i="44"/>
  <c r="I141" i="44"/>
  <c r="G139" i="44"/>
  <c r="H137" i="44"/>
  <c r="I137" i="44"/>
  <c r="G135" i="44"/>
  <c r="H133" i="44"/>
  <c r="I133" i="44"/>
  <c r="G131" i="44"/>
  <c r="H129" i="44"/>
  <c r="I129" i="44"/>
  <c r="G127" i="44"/>
  <c r="H125" i="44"/>
  <c r="I125" i="44"/>
  <c r="G156" i="44"/>
  <c r="I136" i="44"/>
  <c r="H170" i="44"/>
  <c r="I170" i="44"/>
  <c r="G166" i="44"/>
  <c r="H164" i="44"/>
  <c r="I164" i="44"/>
  <c r="G160" i="44"/>
  <c r="H158" i="44"/>
  <c r="I158" i="44"/>
  <c r="G154" i="44"/>
  <c r="H152" i="44"/>
  <c r="I152" i="44"/>
  <c r="G148" i="44"/>
  <c r="H146" i="44"/>
  <c r="I146" i="44"/>
  <c r="G142" i="44"/>
  <c r="H140" i="44"/>
  <c r="I140" i="44"/>
  <c r="G138" i="44"/>
  <c r="H134" i="44"/>
  <c r="I134" i="44"/>
  <c r="G132" i="44"/>
  <c r="H130" i="44"/>
  <c r="I130" i="44"/>
  <c r="G128" i="44"/>
  <c r="H126" i="44"/>
  <c r="I126" i="44"/>
  <c r="G173" i="44"/>
  <c r="H171" i="44"/>
  <c r="I171" i="44"/>
  <c r="G169" i="44"/>
  <c r="H167" i="44"/>
  <c r="I167" i="44"/>
  <c r="G165" i="44"/>
  <c r="H163" i="44"/>
  <c r="I163" i="44"/>
  <c r="G161" i="44"/>
  <c r="H159" i="44"/>
  <c r="I159" i="44"/>
  <c r="G157" i="44"/>
  <c r="H155" i="44"/>
  <c r="I155" i="44"/>
  <c r="G153" i="44"/>
  <c r="H151" i="44"/>
  <c r="I151" i="44"/>
  <c r="G149" i="44"/>
  <c r="H147" i="44"/>
  <c r="I147" i="44"/>
  <c r="G145" i="44"/>
  <c r="H143" i="44"/>
  <c r="I143" i="44"/>
  <c r="G141" i="44"/>
  <c r="H139" i="44"/>
  <c r="I139" i="44"/>
  <c r="G137" i="44"/>
  <c r="H135" i="44"/>
  <c r="I135" i="44"/>
  <c r="G133" i="44"/>
  <c r="H131" i="44"/>
  <c r="I131" i="44"/>
  <c r="G129" i="44"/>
  <c r="H127" i="44"/>
  <c r="I127" i="44"/>
  <c r="G125" i="44"/>
  <c r="G172" i="44"/>
  <c r="H168" i="44"/>
  <c r="I168" i="44"/>
  <c r="G162" i="44"/>
  <c r="H156" i="44"/>
  <c r="I156" i="44"/>
  <c r="G150" i="44"/>
  <c r="H144" i="44"/>
  <c r="I144" i="44"/>
  <c r="G136" i="44"/>
  <c r="H124" i="44"/>
  <c r="I124" i="44"/>
  <c r="H172" i="44"/>
  <c r="I172" i="44"/>
  <c r="G168" i="44"/>
  <c r="H162" i="44"/>
  <c r="I162" i="44"/>
  <c r="H150" i="44"/>
  <c r="I150" i="44"/>
  <c r="G144" i="44"/>
  <c r="H136" i="44"/>
  <c r="G124" i="44"/>
  <c r="H77" i="44"/>
  <c r="G81" i="44"/>
  <c r="H85" i="44"/>
  <c r="H89" i="44"/>
  <c r="G95" i="44"/>
  <c r="I107" i="44"/>
  <c r="G74" i="44"/>
  <c r="I76" i="44"/>
  <c r="H76" i="44"/>
  <c r="G78" i="44"/>
  <c r="I80" i="44"/>
  <c r="H80" i="44"/>
  <c r="G82" i="44"/>
  <c r="I84" i="44"/>
  <c r="H84" i="44"/>
  <c r="G86" i="44"/>
  <c r="I88" i="44"/>
  <c r="H88" i="44"/>
  <c r="G90" i="44"/>
  <c r="I92" i="44"/>
  <c r="H92" i="44"/>
  <c r="G94" i="44"/>
  <c r="I96" i="44"/>
  <c r="H96" i="44"/>
  <c r="G98" i="44"/>
  <c r="I100" i="44"/>
  <c r="H100" i="44"/>
  <c r="G102" i="44"/>
  <c r="I104" i="44"/>
  <c r="H104" i="44"/>
  <c r="G106" i="44"/>
  <c r="I108" i="44"/>
  <c r="H108" i="44"/>
  <c r="G110" i="44"/>
  <c r="I112" i="44"/>
  <c r="H112" i="44"/>
  <c r="G114" i="44"/>
  <c r="I116" i="44"/>
  <c r="H116" i="44"/>
  <c r="G118" i="44"/>
  <c r="I120" i="44"/>
  <c r="H120" i="44"/>
  <c r="G122" i="44"/>
  <c r="I99" i="44"/>
  <c r="H99" i="44"/>
  <c r="G101" i="44"/>
  <c r="I105" i="44"/>
  <c r="H105" i="44"/>
  <c r="G109" i="44"/>
  <c r="I111" i="44"/>
  <c r="H111" i="44"/>
  <c r="G115" i="44"/>
  <c r="I119" i="44"/>
  <c r="H119" i="44"/>
  <c r="D9" i="44" l="1"/>
  <c r="E10" i="53"/>
  <c r="D11" i="44"/>
  <c r="E12" i="53" s="1"/>
  <c r="D12" i="44"/>
  <c r="D27" i="46"/>
  <c r="E27" i="46"/>
  <c r="E54" i="44"/>
  <c r="D18" i="53"/>
  <c r="F39" i="44"/>
  <c r="C39" i="44"/>
  <c r="G39" i="44"/>
  <c r="D39" i="44"/>
  <c r="E37" i="44"/>
  <c r="E23" i="44"/>
  <c r="E27" i="44"/>
  <c r="F32" i="53"/>
  <c r="E26" i="44"/>
  <c r="F34" i="53" s="1"/>
  <c r="D10" i="53"/>
  <c r="C9" i="44"/>
  <c r="C11" i="44"/>
  <c r="D12" i="53" s="1"/>
  <c r="C12" i="44"/>
  <c r="D13" i="53" s="1"/>
  <c r="F9" i="44"/>
  <c r="F11" i="44"/>
  <c r="G12" i="53" s="1"/>
  <c r="F12" i="44"/>
  <c r="G10" i="53"/>
  <c r="G12" i="44"/>
  <c r="H10" i="53"/>
  <c r="G9" i="44"/>
  <c r="G11" i="44"/>
  <c r="H12" i="53" s="1"/>
  <c r="D26" i="46"/>
  <c r="E26" i="46"/>
  <c r="H174" i="44"/>
  <c r="G174" i="44"/>
  <c r="F35" i="53" l="1"/>
  <c r="C54" i="46"/>
  <c r="C67" i="44"/>
  <c r="E28" i="44"/>
  <c r="F36" i="53" s="1"/>
  <c r="E38" i="44"/>
  <c r="F21" i="53"/>
  <c r="E42" i="44"/>
  <c r="E41" i="44"/>
  <c r="F23" i="53" s="1"/>
  <c r="D54" i="44"/>
  <c r="F54" i="44"/>
  <c r="G54" i="44"/>
  <c r="D40" i="53"/>
  <c r="C54" i="44"/>
  <c r="H13" i="53"/>
  <c r="G13" i="44"/>
  <c r="H14" i="53" s="1"/>
  <c r="G13" i="53"/>
  <c r="F13" i="44"/>
  <c r="G14" i="53" s="1"/>
  <c r="E29" i="44"/>
  <c r="E30" i="44" s="1"/>
  <c r="F23" i="44"/>
  <c r="G23" i="44"/>
  <c r="D23" i="44"/>
  <c r="C23" i="44"/>
  <c r="E13" i="53"/>
  <c r="D13" i="44"/>
  <c r="E14" i="53" s="1"/>
  <c r="E49" i="44"/>
  <c r="I174" i="44"/>
  <c r="G64" i="46"/>
  <c r="E64" i="46"/>
  <c r="E51" i="44"/>
  <c r="C22" i="44" l="1"/>
  <c r="C29" i="44"/>
  <c r="C30" i="44" s="1"/>
  <c r="D22" i="44"/>
  <c r="D29" i="44"/>
  <c r="D30" i="44" s="1"/>
  <c r="F22" i="44"/>
  <c r="F29" i="44"/>
  <c r="F30" i="44" s="1"/>
  <c r="F24" i="53"/>
  <c r="C44" i="46"/>
  <c r="E67" i="44"/>
  <c r="E43" i="44"/>
  <c r="F25" i="53" s="1"/>
  <c r="E44" i="44"/>
  <c r="E45" i="44" s="1"/>
  <c r="F38" i="44"/>
  <c r="G38" i="44"/>
  <c r="D38" i="44"/>
  <c r="C38" i="44"/>
  <c r="G22" i="44"/>
  <c r="G29" i="44"/>
  <c r="G30" i="44" s="1"/>
  <c r="F54" i="46"/>
  <c r="H54" i="46" s="1"/>
  <c r="D54" i="46"/>
  <c r="C51" i="44"/>
  <c r="C50" i="44" s="1"/>
  <c r="F51" i="44"/>
  <c r="C47" i="44"/>
  <c r="D51" i="44"/>
  <c r="G51" i="44"/>
  <c r="D39" i="53"/>
  <c r="D49" i="44"/>
  <c r="F41" i="53"/>
  <c r="E50" i="44"/>
  <c r="F49" i="44"/>
  <c r="G49" i="44"/>
  <c r="E52" i="44"/>
  <c r="J174" i="44"/>
  <c r="C68" i="46" s="1"/>
  <c r="C66" i="46"/>
  <c r="C37" i="44" l="1"/>
  <c r="C44" i="44"/>
  <c r="C45" i="44" s="1"/>
  <c r="G37" i="44"/>
  <c r="G44" i="44"/>
  <c r="G45" i="44" s="1"/>
  <c r="G32" i="53"/>
  <c r="F26" i="44"/>
  <c r="G34" i="53" s="1"/>
  <c r="F27" i="44"/>
  <c r="E32" i="53"/>
  <c r="D27" i="44"/>
  <c r="D26" i="44"/>
  <c r="E34" i="53" s="1"/>
  <c r="D32" i="53"/>
  <c r="C26" i="44"/>
  <c r="D34" i="53" s="1"/>
  <c r="C27" i="44"/>
  <c r="D35" i="53" s="1"/>
  <c r="H32" i="53"/>
  <c r="G26" i="44"/>
  <c r="H34" i="53" s="1"/>
  <c r="G27" i="44"/>
  <c r="D37" i="44"/>
  <c r="D44" i="44"/>
  <c r="D45" i="44" s="1"/>
  <c r="F37" i="44"/>
  <c r="F44" i="44"/>
  <c r="F45" i="44" s="1"/>
  <c r="F44" i="46"/>
  <c r="H44" i="46" s="1"/>
  <c r="D44" i="46"/>
  <c r="E53" i="44"/>
  <c r="F43" i="53"/>
  <c r="E56" i="44"/>
  <c r="F45" i="53" s="1"/>
  <c r="F68" i="46"/>
  <c r="H68" i="46" s="1"/>
  <c r="D68" i="46"/>
  <c r="H41" i="53"/>
  <c r="G50" i="44"/>
  <c r="F42" i="53"/>
  <c r="E57" i="44"/>
  <c r="F46" i="53" s="1"/>
  <c r="E58" i="44"/>
  <c r="F47" i="53" s="1"/>
  <c r="D50" i="44"/>
  <c r="E41" i="53"/>
  <c r="D42" i="53"/>
  <c r="C58" i="44"/>
  <c r="D47" i="53" s="1"/>
  <c r="D66" i="46"/>
  <c r="F66" i="46"/>
  <c r="H66" i="46" s="1"/>
  <c r="G41" i="53"/>
  <c r="F50" i="44"/>
  <c r="F42" i="44" l="1"/>
  <c r="G21" i="53"/>
  <c r="F41" i="44"/>
  <c r="G23" i="53" s="1"/>
  <c r="E21" i="53"/>
  <c r="D42" i="44"/>
  <c r="D41" i="44"/>
  <c r="E23" i="53" s="1"/>
  <c r="E35" i="53"/>
  <c r="D28" i="44"/>
  <c r="E36" i="53" s="1"/>
  <c r="G35" i="53"/>
  <c r="F28" i="44"/>
  <c r="G36" i="53" s="1"/>
  <c r="H21" i="53"/>
  <c r="G42" i="44"/>
  <c r="G41" i="44"/>
  <c r="H23" i="53" s="1"/>
  <c r="D21" i="53"/>
  <c r="C42" i="44"/>
  <c r="D24" i="53" s="1"/>
  <c r="C41" i="44"/>
  <c r="D23" i="53" s="1"/>
  <c r="H35" i="53"/>
  <c r="G28" i="44"/>
  <c r="H36" i="53" s="1"/>
  <c r="G42" i="53"/>
  <c r="E42" i="53"/>
  <c r="H42" i="53"/>
  <c r="D53" i="44"/>
  <c r="F53" i="44"/>
  <c r="E59" i="44"/>
  <c r="E60" i="44" s="1"/>
  <c r="C53" i="44"/>
  <c r="G53" i="44"/>
  <c r="B70" i="46"/>
  <c r="D70" i="46"/>
  <c r="F70" i="46"/>
  <c r="H70" i="46"/>
  <c r="E24" i="53" l="1"/>
  <c r="D43" i="44"/>
  <c r="E25" i="53" s="1"/>
  <c r="G24" i="53"/>
  <c r="F43" i="44"/>
  <c r="G25" i="53" s="1"/>
  <c r="H24" i="53"/>
  <c r="G43" i="44"/>
  <c r="H25" i="53" s="1"/>
  <c r="C52" i="44"/>
  <c r="C59" i="44"/>
  <c r="C60" i="44" s="1"/>
  <c r="F59" i="44"/>
  <c r="F60" i="44" s="1"/>
  <c r="F52" i="44"/>
  <c r="G52" i="44"/>
  <c r="G59" i="44"/>
  <c r="G60" i="44" s="1"/>
  <c r="D59" i="44"/>
  <c r="D60" i="44" s="1"/>
  <c r="D52" i="44"/>
  <c r="E43" i="53" l="1"/>
  <c r="D56" i="44"/>
  <c r="E45" i="53" s="1"/>
  <c r="D57" i="44"/>
  <c r="G43" i="53"/>
  <c r="F56" i="44"/>
  <c r="G45" i="53" s="1"/>
  <c r="F57" i="44"/>
  <c r="H43" i="53"/>
  <c r="G56" i="44"/>
  <c r="H45" i="53" s="1"/>
  <c r="G57" i="44"/>
  <c r="D43" i="53"/>
  <c r="C56" i="44"/>
  <c r="D45" i="53" s="1"/>
  <c r="C57" i="44"/>
  <c r="D46" i="53" s="1"/>
  <c r="G46" i="53" l="1"/>
  <c r="F58" i="44"/>
  <c r="G47" i="53" s="1"/>
  <c r="H46" i="53"/>
  <c r="G58" i="44"/>
  <c r="H47" i="53" s="1"/>
  <c r="E46" i="53"/>
  <c r="D58" i="44"/>
  <c r="E47" i="5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Morcom</author>
  </authors>
  <commentList>
    <comment ref="B7" authorId="0" shapeId="0" xr:uid="{00000000-0006-0000-0200-000001000000}">
      <text>
        <r>
          <rPr>
            <sz val="8"/>
            <color indexed="81"/>
            <rFont val="Tahoma"/>
            <family val="2"/>
          </rPr>
          <t>This section reviews the current performance of your business or product for a full year period. Inputs include Revenue, the level of expenses that vary with your sales (Variable Costs), and those that don't (Fixed Costs). Inputs do not have to be perfect but should reasonably reflect business operation. You can analyze a component of the business or a specific product by including values that apply only to the area under analysis. As an example we will analyze Acme Widgets producers of quality Widgets.</t>
        </r>
      </text>
    </comment>
    <comment ref="C9" authorId="0" shapeId="0" xr:uid="{00000000-0006-0000-0200-000002000000}">
      <text>
        <r>
          <rPr>
            <sz val="8"/>
            <color indexed="81"/>
            <rFont val="Tahoma"/>
            <family val="2"/>
          </rPr>
          <t>Input a name for the business or product. This appears as an identifier on the Output Sheets. Acme Widgets is my id.</t>
        </r>
      </text>
    </comment>
    <comment ref="C11" authorId="0" shapeId="0" xr:uid="{00000000-0006-0000-0200-000003000000}">
      <text>
        <r>
          <rPr>
            <sz val="8"/>
            <color indexed="81"/>
            <rFont val="Tahoma"/>
            <family val="2"/>
          </rPr>
          <t>Input the Revenue generated by the business or product for the current year. If you are setting the price for a new product or service input your forecast sales for a year. Current revenue for Acme Widgets is 500,000  per annum.</t>
        </r>
      </text>
    </comment>
    <comment ref="C13" authorId="0" shapeId="0" xr:uid="{00000000-0006-0000-0200-000004000000}">
      <text>
        <r>
          <rPr>
            <sz val="8"/>
            <color indexed="81"/>
            <rFont val="Tahoma"/>
            <family val="2"/>
          </rPr>
          <t>Select your Sales input as Price (average revenue per sale) or Num Sales (Number of Sales). This allows you to input your Sales breakdown directly as the average price per sale or the number of sales per year. My input will be based on average price, so I select Price.</t>
        </r>
      </text>
    </comment>
    <comment ref="C14" authorId="0" shapeId="0" xr:uid="{00000000-0006-0000-0200-000005000000}">
      <text>
        <r>
          <rPr>
            <sz val="8"/>
            <color indexed="81"/>
            <rFont val="Tahoma"/>
            <family val="2"/>
          </rPr>
          <t>Input the average revenue per sale (Price) or the average number of sales (Num Sales). Acme Widgets sell Widgets ranging in price from 10 to 100. The average sale price is 27. I have selected Sales input as Price and now input 27. The model calculates the number of sales per year as 18,519. This provides total annual revenue of 500,000.</t>
        </r>
      </text>
    </comment>
    <comment ref="C16" authorId="0" shapeId="0" xr:uid="{00000000-0006-0000-0200-000006000000}">
      <text>
        <r>
          <rPr>
            <sz val="8"/>
            <color indexed="81"/>
            <rFont val="Tahoma"/>
            <family val="2"/>
          </rPr>
          <t>Select your Expense input as Monetary or Percent. This allows you to input your Expenses directly in Monetary (Dollars, Pounds etc) or Percentage terms. I select Monetary inputs.</t>
        </r>
      </text>
    </comment>
    <comment ref="C17" authorId="0" shapeId="0" xr:uid="{00000000-0006-0000-0200-000007000000}">
      <text>
        <r>
          <rPr>
            <sz val="8"/>
            <color indexed="81"/>
            <rFont val="Tahoma"/>
            <family val="2"/>
          </rPr>
          <t>Variable Costs change with the volume of product or service you provide. These costs include materials, production, distribution, and transaction costs. The variable cost to produce, sell, and distribute my 18,519 widgets is 345,000. I input this as my Variable Cost.  It is calculated as 69% of revenue. If desired you can change the label associated with this cell.</t>
        </r>
      </text>
    </comment>
    <comment ref="C18" authorId="0" shapeId="0" xr:uid="{00000000-0006-0000-0200-000008000000}">
      <text>
        <r>
          <rPr>
            <sz val="8"/>
            <color indexed="81"/>
            <rFont val="Tahoma"/>
            <family val="2"/>
          </rPr>
          <t>Fixed Costs are expenses which remain constant (up to a point) while the volume of sales vary.  This includes administration, location, and finance costs. Keeping the doors of Acme Widgets open costs 80,000 a year even if I don’t sell a single widget. If desired you can change the label associated with this cell.</t>
        </r>
      </text>
    </comment>
    <comment ref="C19" authorId="0" shapeId="0" xr:uid="{00000000-0006-0000-0200-000009000000}">
      <text>
        <r>
          <rPr>
            <sz val="8"/>
            <color indexed="81"/>
            <rFont val="Tahoma"/>
            <family val="2"/>
          </rPr>
          <t>Operating Surplus reflects the before tax operating profit/loss of the business for the full years trading. It is calculated as the Revenue less Variable and Fixed Costs. It excludes asset investment. Assets include property, equipment, and capital reinvestment in the business.  The Operating Surplus represents the day to day (short term) business performance. The current Operating Surplus for Acme Widgets is 75,000 per annum. If desired you can change the label associated with this cell.</t>
        </r>
      </text>
    </comment>
    <comment ref="B23" authorId="0" shapeId="0" xr:uid="{00000000-0006-0000-0200-00000A000000}">
      <text>
        <r>
          <rPr>
            <sz val="8"/>
            <color rgb="FF000000"/>
            <rFont val="Tahoma"/>
            <family val="2"/>
          </rPr>
          <t>Current Breakeven Analysis applies your current performance input to determine breakeven points and the required revenue and number of sales for a desired surplus under current trading conditions.</t>
        </r>
      </text>
    </comment>
    <comment ref="C26" authorId="0" shapeId="0" xr:uid="{00000000-0006-0000-0200-00000B000000}">
      <text>
        <r>
          <rPr>
            <sz val="8"/>
            <color indexed="81"/>
            <rFont val="Tahoma"/>
            <family val="2"/>
          </rPr>
          <t>This is the annual revenue required before any profit is generated by the business. If revenue is less than this the business will lose money for the period. Acme Widgets must generate 258,065 a year just to breakeven.</t>
        </r>
      </text>
    </comment>
    <comment ref="D26" authorId="0" shapeId="0" xr:uid="{00000000-0006-0000-0200-00000C000000}">
      <text>
        <r>
          <rPr>
            <sz val="8"/>
            <color indexed="81"/>
            <rFont val="Tahoma"/>
            <family val="2"/>
          </rPr>
          <t>This is the monthly revenue required before any profit is generated by the business. If revenue is less than this the business will lose money for the period. Acme Widgets must generate 21,505 a month just to breakeven.</t>
        </r>
      </text>
    </comment>
    <comment ref="E26" authorId="0" shapeId="0" xr:uid="{00000000-0006-0000-0200-00000D000000}">
      <text>
        <r>
          <rPr>
            <sz val="8"/>
            <color indexed="81"/>
            <rFont val="Tahoma"/>
            <family val="2"/>
          </rPr>
          <t>This is the weekly revenue required before any profit is generated by the business. If revenue is less than this the business will lose money for the period. Acme Widgets must generate 4,963 a week just to breakeven.</t>
        </r>
      </text>
    </comment>
    <comment ref="C27" authorId="0" shapeId="0" xr:uid="{00000000-0006-0000-0200-00000E000000}">
      <text>
        <r>
          <rPr>
            <sz val="8"/>
            <color indexed="81"/>
            <rFont val="Tahoma"/>
            <family val="2"/>
          </rPr>
          <t>This is the annual number of sales required before any profit is generated by the business. If the number of sales is less than this the business will lose money for the period. Acme Widgets must generate 9,558 sales a year just to breakeven.</t>
        </r>
      </text>
    </comment>
    <comment ref="D27" authorId="0" shapeId="0" xr:uid="{00000000-0006-0000-0200-00000F000000}">
      <text>
        <r>
          <rPr>
            <sz val="8"/>
            <color indexed="81"/>
            <rFont val="Tahoma"/>
            <family val="2"/>
          </rPr>
          <t>This is the monthly number of sales required before any profit is generated by the business. If the number of sales is less than this the business will lose money for the period. Acme Widgets must generate 796 sales a month just to breakeven.</t>
        </r>
      </text>
    </comment>
    <comment ref="E27" authorId="0" shapeId="0" xr:uid="{00000000-0006-0000-0200-000010000000}">
      <text>
        <r>
          <rPr>
            <sz val="8"/>
            <color indexed="81"/>
            <rFont val="Tahoma"/>
            <family val="2"/>
          </rPr>
          <t>This is the monthly number of sales required before any profit is generated by the business. If the number of sales is less than this the business will lose money for the period. Acme Widgets must generate 184 sales a year just to breakeven.</t>
        </r>
      </text>
    </comment>
    <comment ref="B29" authorId="0" shapeId="0" xr:uid="{00000000-0006-0000-0200-000011000000}">
      <text>
        <r>
          <rPr>
            <sz val="8"/>
            <color indexed="81"/>
            <rFont val="Tahoma"/>
            <family val="2"/>
          </rPr>
          <t>The Breakeven Chart plots the Revenue, Variable Cost, Fixed Cost, and Surplus against the Number of Sales for a year. The red line indicates total costs and the black line revenue. Where they cross is the breakeven point. The green area to the right of the breakeven point represents profit, the green area to the left of breakeven is a loss.</t>
        </r>
      </text>
    </comment>
    <comment ref="C31" authorId="0" shapeId="0" xr:uid="{00000000-0006-0000-0200-000012000000}">
      <text>
        <r>
          <rPr>
            <sz val="8"/>
            <color indexed="81"/>
            <rFont val="Tahoma"/>
            <family val="2"/>
          </rPr>
          <t>You can input your desired surplus for a week, month, or year. The model will calculate the revenue and number of sales required to generate this surplus based on current pricing. This can be applied for budgeting and goal setting. Acme Widgets' goal is to increase the surplus to 90,000 per annum.</t>
        </r>
      </text>
    </comment>
    <comment ref="E31" authorId="0" shapeId="0" xr:uid="{00000000-0006-0000-0200-000013000000}">
      <text>
        <r>
          <rPr>
            <sz val="8"/>
            <color indexed="81"/>
            <rFont val="Tahoma"/>
            <family val="2"/>
          </rPr>
          <t>Select your surplus input as Year, Month, or Week. I select Year.</t>
        </r>
      </text>
    </comment>
    <comment ref="C32" authorId="0" shapeId="0" xr:uid="{00000000-0006-0000-0200-000014000000}">
      <text>
        <r>
          <rPr>
            <sz val="8"/>
            <color indexed="81"/>
            <rFont val="Tahoma"/>
            <family val="2"/>
          </rPr>
          <t>This is the revenue needed to generate your required surplus for the period. Acme Widgets must generate 548,387 annually for a 90,000 surplus.</t>
        </r>
      </text>
    </comment>
    <comment ref="E32" authorId="0" shapeId="0" xr:uid="{00000000-0006-0000-0200-000015000000}">
      <text>
        <r>
          <rPr>
            <sz val="8"/>
            <color indexed="81"/>
            <rFont val="Tahoma"/>
            <family val="2"/>
          </rPr>
          <t>This is the number of sales needed to generate your required surplus for the period. Acme Widgets must generate 20,311 sales  annually for a 90,000 surplus.</t>
        </r>
      </text>
    </comment>
    <comment ref="B36" authorId="0" shapeId="0" xr:uid="{00000000-0006-0000-0200-000016000000}">
      <text>
        <r>
          <rPr>
            <sz val="8"/>
            <color indexed="81"/>
            <rFont val="Tahoma"/>
            <family val="2"/>
          </rPr>
          <t>Pricing Analysis allows you to test the impact of pricing changes.  Input estimated changes in the number of sales for changes in price to test the impact on revenue and surplus.</t>
        </r>
      </text>
    </comment>
    <comment ref="B38" authorId="0" shapeId="0" xr:uid="{00000000-0006-0000-0200-000017000000}">
      <text>
        <r>
          <rPr>
            <sz val="8"/>
            <color indexed="81"/>
            <rFont val="Tahoma"/>
            <family val="2"/>
          </rPr>
          <t>Increased Average Price allows you to determine the revenue and surplus generated by an increased price. The ratio of price to number of sales is applied in extended pricing analysis.</t>
        </r>
      </text>
    </comment>
    <comment ref="C38" authorId="0" shapeId="0" xr:uid="{00000000-0006-0000-0200-000018000000}">
      <text>
        <r>
          <rPr>
            <sz val="8"/>
            <color indexed="81"/>
            <rFont val="Tahoma"/>
            <family val="2"/>
          </rPr>
          <t>Select your Increased Average Price input as Units or Percent. This allows you to input directly in Units (Monetary and Number of Sales) or Percentage terms. I select Percent.</t>
        </r>
      </text>
    </comment>
    <comment ref="C39" authorId="0" shapeId="0" xr:uid="{00000000-0006-0000-0200-000019000000}">
      <text>
        <r>
          <rPr>
            <sz val="8"/>
            <color indexed="81"/>
            <rFont val="Tahoma"/>
            <family val="2"/>
          </rPr>
          <t>Input the amount of average  price increase to test. This increase is relative to your current price. The ratio of price change to number of sales change will be applied in the extended pricing analysis. As a percentage this price increase should be no greater than 50%. For Acme Widgets I will test a price increase of 15%.</t>
        </r>
      </text>
    </comment>
    <comment ref="G39" authorId="0" shapeId="0" xr:uid="{00000000-0006-0000-0200-00001A000000}">
      <text>
        <r>
          <rPr>
            <sz val="8"/>
            <color indexed="81"/>
            <rFont val="Tahoma"/>
            <family val="2"/>
          </rPr>
          <t>This is the increased average price.</t>
        </r>
      </text>
    </comment>
    <comment ref="C40" authorId="0" shapeId="0" xr:uid="{00000000-0006-0000-0200-00001B000000}">
      <text>
        <r>
          <rPr>
            <sz val="8"/>
            <color indexed="81"/>
            <rFont val="Tahoma"/>
            <family val="2"/>
          </rPr>
          <t>Input the estimated impact on the number of sales your price increase will have. Consider competitor and consumer reactions. The ratio of price change to number of sales change will be applied in the extended pricing analysis. For Acme Widgets I estimate a price increase of 15% will result in a number of sales decrease of 20%.</t>
        </r>
      </text>
    </comment>
    <comment ref="G40" authorId="0" shapeId="0" xr:uid="{00000000-0006-0000-0200-00001C000000}">
      <text>
        <r>
          <rPr>
            <sz val="8"/>
            <color indexed="81"/>
            <rFont val="Tahoma"/>
            <family val="2"/>
          </rPr>
          <t>This is the decreased number of sales.</t>
        </r>
      </text>
    </comment>
    <comment ref="C42" authorId="0" shapeId="0" xr:uid="{00000000-0006-0000-0200-00001D000000}">
      <text>
        <r>
          <rPr>
            <sz val="8"/>
            <color indexed="81"/>
            <rFont val="Tahoma"/>
            <family val="2"/>
          </rPr>
          <t>This is the revenue calculated from the increased price and corresponding number of sales. A 15% increase in price results in Acme Widgets' revenue decreasing to 460,000 a year.</t>
        </r>
      </text>
    </comment>
    <comment ref="C44" authorId="0" shapeId="0" xr:uid="{00000000-0006-0000-0200-00001E000000}">
      <text>
        <r>
          <rPr>
            <sz val="8"/>
            <color indexed="81"/>
            <rFont val="Tahoma"/>
            <family val="2"/>
          </rPr>
          <t>This is the operating surplus (profit) based on the increased price and the corresponding number of sales. By increasing the average price by 15% the Acme Widget surplus will increase 29,000 per annum to 104,000. This occurs even though revenue has decreased. The Variable Cost applied is the Variable Cost per Unit produced as calculated from the current performance input.</t>
        </r>
      </text>
    </comment>
    <comment ref="B46" authorId="0" shapeId="0" xr:uid="{00000000-0006-0000-0200-00001F000000}">
      <text>
        <r>
          <rPr>
            <sz val="8"/>
            <color indexed="81"/>
            <rFont val="Tahoma"/>
            <family val="2"/>
          </rPr>
          <t>The Breakeven Chart plots the Revenue, Variable Cost, Fixed Cost, and Surplus against the Number of Sales for a year. The red line indicates total costs and the black line revenue. Where they cross is the breakeven point. The green area to the right of the breakeven point represents profit, the green area to the left of breakeven is a loss.</t>
        </r>
      </text>
    </comment>
    <comment ref="B48" authorId="0" shapeId="0" xr:uid="{00000000-0006-0000-0200-000020000000}">
      <text>
        <r>
          <rPr>
            <sz val="8"/>
            <color indexed="81"/>
            <rFont val="Tahoma"/>
            <family val="2"/>
          </rPr>
          <t>Decreased Average Price allows you to determine the revenue and surplus generated by a decreased price. The ratio of price to number of sales is applied in extended pricing analysis.</t>
        </r>
      </text>
    </comment>
    <comment ref="C48" authorId="0" shapeId="0" xr:uid="{00000000-0006-0000-0200-000021000000}">
      <text>
        <r>
          <rPr>
            <sz val="8"/>
            <color indexed="81"/>
            <rFont val="Tahoma"/>
            <family val="2"/>
          </rPr>
          <t>Select your Decreased Average Price input as Units or Percent. This allows you to input directly in Units (Monetary and Number of Sales) or Percentage terms. I select Percent.</t>
        </r>
      </text>
    </comment>
    <comment ref="C49" authorId="0" shapeId="0" xr:uid="{00000000-0006-0000-0200-000022000000}">
      <text>
        <r>
          <rPr>
            <sz val="8"/>
            <color indexed="81"/>
            <rFont val="Tahoma"/>
            <family val="2"/>
          </rPr>
          <t>Input the amount of average  price decrease to test. This decrease is relative to your current price. The ratio of price change to number of sales change will be applied in the extended pricing analysis. As a percentage this price decrease should be no greater than 50%. For Acme Widgets I will test a price decrease of 15%.</t>
        </r>
      </text>
    </comment>
    <comment ref="C50" authorId="0" shapeId="0" xr:uid="{00000000-0006-0000-0200-000023000000}">
      <text>
        <r>
          <rPr>
            <sz val="8"/>
            <color indexed="81"/>
            <rFont val="Tahoma"/>
            <family val="2"/>
          </rPr>
          <t>Input the estimated impact on the number of sales your price decrease will have. Consider competitor and consumer reactions. The ratio of price change to number of sales change will be applied in the extended pricing analysis. For Acme Widgets I estimate a price decrease of 15% will result in a number of sales increase of 25%.</t>
        </r>
      </text>
    </comment>
    <comment ref="C52" authorId="0" shapeId="0" xr:uid="{00000000-0006-0000-0200-000024000000}">
      <text>
        <r>
          <rPr>
            <sz val="8"/>
            <color indexed="81"/>
            <rFont val="Tahoma"/>
            <family val="2"/>
          </rPr>
          <t>This is the revenue calculated from the decreased price and corresponding number of sales. A 15% decrease in price results in Acme Widgets' revenue increasing to 531,250 a year.</t>
        </r>
      </text>
    </comment>
    <comment ref="C54" authorId="0" shapeId="0" xr:uid="{00000000-0006-0000-0200-000025000000}">
      <text>
        <r>
          <rPr>
            <sz val="8"/>
            <color indexed="81"/>
            <rFont val="Tahoma"/>
            <family val="2"/>
          </rPr>
          <t>This is the operating surplus (profit) based on the decreased price and the corresponding number of sales. By decreasing the average price by 15% the Acme Widget surplus will decrease 55,000 per annum to 20,000. The Variable Cost applied is the Variable Cost per Unit produced as calculated from the current performance input.</t>
        </r>
      </text>
    </comment>
    <comment ref="B56" authorId="0" shapeId="0" xr:uid="{00000000-0006-0000-0200-000026000000}">
      <text>
        <r>
          <rPr>
            <sz val="8"/>
            <color indexed="81"/>
            <rFont val="Tahoma"/>
            <family val="2"/>
          </rPr>
          <t>The Breakeven Chart plots the Revenue, Cost of Sales, Overheads, and Surplus against the Number of Sales for a year. The red line indicates total costs and the black line revenue. Where they cross is the breakeven point. The green area to the right of the breakeven point represents profit, the green area to the left of breakeven is a loss.</t>
        </r>
      </text>
    </comment>
    <comment ref="B58" authorId="0" shapeId="0" xr:uid="{00000000-0006-0000-0200-000027000000}">
      <text>
        <r>
          <rPr>
            <sz val="8"/>
            <color indexed="81"/>
            <rFont val="Tahoma"/>
            <family val="2"/>
          </rPr>
          <t>The Price Analysis Chart plots the Number of Sales, Revenue, and Surplus for each of the defined price settings, Current, Increased, and Decreased.</t>
        </r>
      </text>
    </comment>
    <comment ref="B62" authorId="0" shapeId="0" xr:uid="{00000000-0006-0000-0200-000028000000}">
      <text>
        <r>
          <rPr>
            <sz val="8"/>
            <color indexed="81"/>
            <rFont val="Tahoma"/>
            <family val="2"/>
          </rPr>
          <t>Extended Pricing Analysis projects outcomes for pricing from 50% less than current to 50% more than the current price. It applies the ratio of price to number of sales defined in the increased and decreased price analysis and calculates the optimum price. The optimum price provides the highest surplus (profit). This information is intended to indicate outcomes based on your inputs. These inputs should be regularly refined to ensure they remain current.</t>
        </r>
      </text>
    </comment>
    <comment ref="E64" authorId="0" shapeId="0" xr:uid="{00000000-0006-0000-0200-000029000000}">
      <text>
        <r>
          <rPr>
            <sz val="8"/>
            <color indexed="81"/>
            <rFont val="Tahoma"/>
            <family val="2"/>
          </rPr>
          <t>This is the price that will generate the highest surplus (profit).</t>
        </r>
      </text>
    </comment>
    <comment ref="C66" authorId="0" shapeId="0" xr:uid="{00000000-0006-0000-0200-00002A000000}">
      <text>
        <r>
          <rPr>
            <sz val="8"/>
            <color indexed="81"/>
            <rFont val="Tahoma"/>
            <family val="2"/>
          </rPr>
          <t>This is the revenue calculated from the optimum price and the corresponding number of sales. At the optimum price Acme Widgets' revenue decreases to 431,067 a year.</t>
        </r>
      </text>
    </comment>
    <comment ref="C68" authorId="0" shapeId="0" xr:uid="{00000000-0006-0000-0200-00002B000000}">
      <text>
        <r>
          <rPr>
            <sz val="8"/>
            <color indexed="81"/>
            <rFont val="Tahoma"/>
            <family val="2"/>
          </rPr>
          <t>This is the operating surplus (profit) based on the optimum price and the corresponding number of sales. At the optimum price the Acme Widget surplus will increase by 32,267 per annum to 107,267. By increasing prices 22% the surplus will increase by 43%. This surplus is based on Fixed Costs remaining constant and the Variable Cost per Unit produced as calculated from the current performance input.</t>
        </r>
      </text>
    </comment>
    <comment ref="B72" authorId="0" shapeId="0" xr:uid="{00000000-0006-0000-0200-00002C000000}">
      <text>
        <r>
          <rPr>
            <sz val="8"/>
            <color indexed="81"/>
            <rFont val="Tahoma"/>
            <family val="2"/>
          </rPr>
          <t>The Breakeven Chart plots the Revenue, Variable Cost, Fixed Cost, and Surplus against the Number of Sales for a year. The red line indicates total costs and the black line revenue. Where they cross is the breakeven point. The green area to the right of the breakeven point represents profit, the green area to the left of breakeven is a loss.</t>
        </r>
      </text>
    </comment>
    <comment ref="B74" authorId="0" shapeId="0" xr:uid="{00000000-0006-0000-0200-00002D000000}">
      <text>
        <r>
          <rPr>
            <sz val="8"/>
            <color indexed="81"/>
            <rFont val="Tahoma"/>
            <family val="2"/>
          </rPr>
          <t>The Extended Price Analysis Chart plots the Number of Sales, Revenue, and Surplus projections for prices ranging from -50% to +50% of the Current price. It also identifies the current price setting and the Optimum price to maximize your surplus.</t>
        </r>
      </text>
    </comment>
    <comment ref="B78" authorId="0" shapeId="0" xr:uid="{00000000-0006-0000-0200-00002E000000}">
      <text>
        <r>
          <rPr>
            <sz val="8"/>
            <color indexed="81"/>
            <rFont val="Tahoma"/>
            <family val="2"/>
          </rPr>
          <t>Breakeven tables are provided for Current, Increased, Decreased, and Optimum pricing. They provide calculations for the number of sales from 0 to double the input amount. These results are also represented in the Breakeven Charts.</t>
        </r>
      </text>
    </comment>
  </commentList>
</comments>
</file>

<file path=xl/sharedStrings.xml><?xml version="1.0" encoding="utf-8"?>
<sst xmlns="http://schemas.openxmlformats.org/spreadsheetml/2006/main" count="275" uniqueCount="228">
  <si>
    <t>Input a name for the business or product. This appears as an identifier on the Output Sheets. Acme Widgets is my id.</t>
  </si>
  <si>
    <t>Input the Revenue generated by the business or product for the current year. If you are setting the price for a new product or service input your forecast sales for a year. Current revenue for Acme Widgets is 500,000  per annum.</t>
  </si>
  <si>
    <t>Select your Sales input as Price (average revenue per sale) or Num Sales (Number of Sales). This allows you to input your Sales breakdown directly as the average price per sale or the number of sales per year. My input will be based on average price, so I select Price.</t>
  </si>
  <si>
    <t>Input the average revenue per sale (Price) or the average number of sales (Num Sales). Acme Widgets sell Widgets ranging in price from 10 to 100. The average sale price is 27. I have selected Sales input as Price and now input 27. The model calculates the number of sales per year as 18,519. This provides total annual revenue of 500,000.</t>
  </si>
  <si>
    <t>Select your Expense input as Monetary or Percent. This allows you to input your Expenses directly in Monetary (Dollars, Pounds etc) or Percentage terms. I select Monetary inputs.</t>
  </si>
  <si>
    <t>Current Breakeven Analysis applies your current performance input to determine breakeven points and the required revenue and number of sales for a desired surplus under current trading conditions.</t>
  </si>
  <si>
    <t>This is the revenue required before any profit is generated by the business. If revenue is less than this the business will lose money for the period. Acme Widgets must generate 258,065 a year just to breakeven.</t>
  </si>
  <si>
    <t>This is the number of sales required before any profit is generated by the business. If the number of sales is less than this the business will lose money for the period. Acme Widgets must generate 9,558 sales a year just to breakeven.</t>
  </si>
  <si>
    <t>This is the revenue required to generate your desired surplus for the period. Acme Widgets must generate 548,387 annually for a 90,000 surplus. The corresponding Number of Sales required is 20,311 annually.</t>
  </si>
  <si>
    <t>This section provides analysis based on current performance data.</t>
  </si>
  <si>
    <t>An average price increase of</t>
  </si>
  <si>
    <t>Increased Average Price</t>
  </si>
  <si>
    <t>Decreased Average Price</t>
  </si>
  <si>
    <t>Pricing Analysis allows you to test the impact of pricing changes.  Input estimated changes in the number of sales for changes in price to test the impact on revenue and surplus.</t>
  </si>
  <si>
    <t>Input the amount of average  price increase to test. This increase is relative to your current price. The ratio of price change to number of sales change will be applied in the extended pricing analysis. As a percentage this price increase should be no greater than 50%. For Acme Widgets I will test a price increase of 15%.</t>
  </si>
  <si>
    <t>Input the estimated impact on the number of sales your price increase will have. Consider competitor and consumer reactions. The ratio of price change to number of sales change will be applied in the extended pricing analysis. For Acme Widgets I estimate a price increase of 15% will result in a number of sales decrease of 20%.</t>
  </si>
  <si>
    <t>This is the revenue calculated from the increased price and corresponding number of sales. A 15% increase in price results in Acme Widgets' revenue decreasing to 460,000 a year.</t>
  </si>
  <si>
    <t>With an Operating Surplus of</t>
  </si>
  <si>
    <t>You currently require Revenue of</t>
  </si>
  <si>
    <t>To generate a surplus of</t>
  </si>
  <si>
    <t>Input the amount of average  price decrease to test. This decrease is relative to your current price. The ratio of price change to number of sales change will be applied in the extended pricing analysis. As a percentage this price decrease should be no greater than 50%. For Acme Widgets I will test a price decrease of 15%.</t>
  </si>
  <si>
    <t>This is the revenue calculated from the decreased price and corresponding number of sales. A 15% decrease in price results in Acme Widgets' revenue increasing to 531,250 a year.</t>
  </si>
  <si>
    <t>The Price Analysis Chart plots the Number of Sales, Revenue, and Surplus for each of the defined price settings, Current, Increased, and Decreased.</t>
  </si>
  <si>
    <t>Extended Pricing Analysis projects outcomes for pricing from 50% less than current to 50% more than the current price. It applies the ratio of price to number of sales defined in the increased and decreased price analysis and calculates the optimum price. The optimum price provides the highest surplus (profit). This information is intended to indicate outcomes based on your inputs. These inputs should be regularly refined to ensure they remain current.</t>
  </si>
  <si>
    <t>This is the price that will generate the highest surplus (profit).</t>
  </si>
  <si>
    <t>This is the revenue calculated from the optimum price and the corresponding number of sales. At the optimum price Acme Widgets' revenue decreases to 431,067 a year.</t>
  </si>
  <si>
    <t>The Extended Price Analysis Chart plots the Number of Sales, Revenue, and Surplus projections for prices ranging from -50% to +50% of the Current price. It also identifies the current price setting and the Optimum price to maximize your surplus.</t>
  </si>
  <si>
    <t>Breakeven tables are provided for Current, Increased, Decreased, and Optimum pricing. They provide calculations for the number of sales from 0 to double the input amount. These results are also represented in the Breakeven Charts.</t>
  </si>
  <si>
    <t>Operating surplus (profit/loss).</t>
  </si>
  <si>
    <t>Test the impact of price increases and decreases.</t>
  </si>
  <si>
    <t>Project price change impacts to identify your optimum price.</t>
  </si>
  <si>
    <t>Optimum Price Breakeven Chart</t>
  </si>
  <si>
    <t>An average price decrease of</t>
  </si>
  <si>
    <t>Decreased Price Breakeven Chart</t>
  </si>
  <si>
    <t>Extended Price Analysis Chart</t>
  </si>
  <si>
    <t>Current Price Breakeven Table</t>
  </si>
  <si>
    <t>Increased Price Breakeven Table</t>
  </si>
  <si>
    <t>Decreased Price Breakeven Table</t>
  </si>
  <si>
    <t>Input Point</t>
  </si>
  <si>
    <t>Optimum Price Breakeven Table</t>
  </si>
  <si>
    <t>Breakeven Tables - Pricing and Breakeven Analysis</t>
  </si>
  <si>
    <t>Breakeven Tables</t>
  </si>
  <si>
    <t>Revenue needed to cover costs.</t>
  </si>
  <si>
    <t>Sales needed to cover costs.</t>
  </si>
  <si>
    <t>Current Price Breakeven Chart</t>
  </si>
  <si>
    <t>Increased Price Breakeven Chart</t>
  </si>
  <si>
    <t>Optimum Number</t>
  </si>
  <si>
    <t>Input - Pricing and Breakeven Analysis</t>
  </si>
  <si>
    <t>Acme Widgets</t>
  </si>
  <si>
    <t>Price  Analysis Chart</t>
  </si>
  <si>
    <t>generating</t>
  </si>
  <si>
    <t>sales.</t>
  </si>
  <si>
    <t>Current Price</t>
  </si>
  <si>
    <t>Decreased Price</t>
  </si>
  <si>
    <t>Decrease Price Sales/Price Ratio</t>
  </si>
  <si>
    <t>Increase Price Sales/Price Ratio</t>
  </si>
  <si>
    <t>Optimum Price</t>
  </si>
  <si>
    <t>Pricing Analysis</t>
  </si>
  <si>
    <t>Applying extended price analysis the optimum average sale price is</t>
  </si>
  <si>
    <t>Current Breakeven Number of Sales is</t>
  </si>
  <si>
    <t>Extended Pricing Analysis</t>
  </si>
  <si>
    <t>Current Breakeven Analysis</t>
  </si>
  <si>
    <t>Price (revenue per sale) &amp; Number of Sales</t>
  </si>
  <si>
    <t>Set the Sales Input as Price or Num Sales.</t>
  </si>
  <si>
    <t>Unit Sales Price</t>
  </si>
  <si>
    <t>Total Costs</t>
  </si>
  <si>
    <t>Breakeven Point Number of Sales</t>
  </si>
  <si>
    <t>Increased Price</t>
  </si>
  <si>
    <t>Monthly</t>
  </si>
  <si>
    <t>Weekly</t>
  </si>
  <si>
    <t>Revenue</t>
  </si>
  <si>
    <t>Number of Sales</t>
  </si>
  <si>
    <t>Surplus</t>
  </si>
  <si>
    <t>Num Sales</t>
  </si>
  <si>
    <t>Sales</t>
  </si>
  <si>
    <t>Annually</t>
  </si>
  <si>
    <t>Current Breakeven Revenue is</t>
  </si>
  <si>
    <t>per</t>
  </si>
  <si>
    <t>Year</t>
  </si>
  <si>
    <t>Month</t>
  </si>
  <si>
    <t>Week</t>
  </si>
  <si>
    <t>from</t>
  </si>
  <si>
    <t>Breakeven Point Revenue</t>
  </si>
  <si>
    <t>sales during the period.</t>
  </si>
  <si>
    <t>Price</t>
  </si>
  <si>
    <t>Decrease</t>
  </si>
  <si>
    <t>Current</t>
  </si>
  <si>
    <t>Increase</t>
  </si>
  <si>
    <t>This results in Revenue of</t>
  </si>
  <si>
    <t>or</t>
  </si>
  <si>
    <t>to</t>
  </si>
  <si>
    <t>makes the</t>
  </si>
  <si>
    <t xml:space="preserve">or </t>
  </si>
  <si>
    <t>annual Number of Sales decrease by</t>
  </si>
  <si>
    <t>annual Number of Sales increase by</t>
  </si>
  <si>
    <t>By proceeding you acknowledge acceptance of our</t>
  </si>
  <si>
    <t>Additional detail on macros is available in Microsoft Excel Help.</t>
  </si>
  <si>
    <t>by proceeding you acknowledge acceptance of our Terms and Conditions.</t>
  </si>
  <si>
    <t>Instruction Sheet</t>
  </si>
  <si>
    <t>Blue cells require input. View comments by positioning your mouse over the red marker cell or click the hyperlink for the</t>
  </si>
  <si>
    <t>Current Operating Performance Data</t>
  </si>
  <si>
    <t xml:space="preserve"> Macros must be enabled for the software to function.</t>
  </si>
  <si>
    <t>Annual costs that do not vary with revenue.</t>
  </si>
  <si>
    <t>.</t>
  </si>
  <si>
    <t>Business Revenue</t>
  </si>
  <si>
    <t>Expenses</t>
  </si>
  <si>
    <t>Operating Surplus</t>
  </si>
  <si>
    <t>Percent</t>
  </si>
  <si>
    <t>Monetary</t>
  </si>
  <si>
    <t>Annual business revenue for the current year.</t>
  </si>
  <si>
    <t>Annual costs that vary with the level of revenue.</t>
  </si>
  <si>
    <t>Set the Expense Input as Monetary or Percent.</t>
  </si>
  <si>
    <t>This appears on the Output Sheets.</t>
  </si>
  <si>
    <t>This section reviews current business performance for a full year.</t>
  </si>
  <si>
    <t>Business Name or Identifier</t>
  </si>
  <si>
    <t>Input</t>
  </si>
  <si>
    <t>Outline</t>
  </si>
  <si>
    <t>Contact Details</t>
  </si>
  <si>
    <t>Terms and Conditions</t>
  </si>
  <si>
    <t xml:space="preserve"> </t>
  </si>
  <si>
    <t>Bizpep retain all intellectual property rights. It is prohibited to use the software, concepts, formats, and systems obtained from Bizpep in any manner outside their intended use as designed and defined by Bizpep.</t>
  </si>
  <si>
    <t>Bizpep provide tools to support business. The specific suitability of these tools must be independently assessed.</t>
  </si>
  <si>
    <t>Services including software, concepts, formats, and systems are provided as is and with no warranties of any kind, whether expressed or implied.</t>
  </si>
  <si>
    <t>In no event shall Bizpep, its principals, distributors, employees, or other associated parties, be liable for any incidental, consequential, or punitive damages whatsoever relating to software or service use.</t>
  </si>
  <si>
    <t>You may not sell or require payment in any form for Bizpep software. Evaluation software must be distributed without cost or penalty to the user.</t>
  </si>
  <si>
    <t>In addition use of software and services is entirely at the users risk, and use acknowledges that Bizpep is held harmless from any claims or losses relating to software or services provided.</t>
  </si>
  <si>
    <t>Payment is online at:</t>
  </si>
  <si>
    <t>You may not modify, translate, reverse engineer, decompile, disassemble or create derivative works based on Bizpep software, services or concepts.</t>
  </si>
  <si>
    <t>Overview</t>
  </si>
  <si>
    <t>The user must assume the entire risk of using Bizpep software or services, and agrees to hold Bizpep harmless from any claims or losses relating to service or software use.</t>
  </si>
  <si>
    <t>You can input your desired surplus for a week, month, or year. The model will calculate the revenue and number of sales required to generate this surplus based on current pricing. This can be applied for budgeting and goal setting. Acme Widgets' goal is to increase the surplus to 90,000 per annum.</t>
  </si>
  <si>
    <t>Input the estimated impact on the number of sales your price decrease will have. Consider competitor and consumer reactions. The ratio of price change to number of sales change will be applied in the extended pricing analysis. For Acme Widgets I estimate a price decrease of 15% will result in a number of sales increase of 25%.</t>
  </si>
  <si>
    <t>Input average Price or Number of Sales per year.</t>
  </si>
  <si>
    <t>Units</t>
  </si>
  <si>
    <t>Increased Average Price allows you to determine the revenue and surplus generated by an increased price. The ratio of price to number of sales is applied in extended pricing analysis. Select your Increased Average Price input as Units or Percent. This allows you to input directly in Units (Monetary and Number of Sales) or Percentage terms. I select Percent.</t>
  </si>
  <si>
    <t>Decreased Average Price allows you to determine the revenue and surplus generated by a decreased price. The ratio of price to number of sales is applied in extended pricing analysis. Select your Decreased Average Price input as Units or Percent. This allows you to input directly in Units (Monetary and Number of Sales) or Percentage terms. I select Percent.</t>
  </si>
  <si>
    <t>Variable Costs</t>
  </si>
  <si>
    <t>Fixed Costs</t>
  </si>
  <si>
    <t>Variable Costs per Unit</t>
  </si>
  <si>
    <t>Variable Cost %</t>
  </si>
  <si>
    <t xml:space="preserve"> Surplus %</t>
  </si>
  <si>
    <t>http://www.bizpeponline.com/</t>
  </si>
  <si>
    <t>This section reviews the current performance of your business or product for a full year period. Inputs include Revenue, the level of expenses that vary with your sales (Variable Costs), and those that don't (Fixed Costs). Inputs do not have to be perfect but should reasonably reflect business operation. You can analyze a component of the business or a specific product by including values that apply only to the area under analysis. As an example we will analyze Acme Widgets producers of quality Widgets.</t>
  </si>
  <si>
    <t>The Breakeven Chart plots the Revenue, Variable Cost, Fixed Cost, and Surplus against the Number of Sales for a year. The red line indicates total costs and the black line revenue. Where they cross is the breakeven point. The green area to the right of the breakeven point represents profit, the green area to the left of breakeven is a loss.</t>
  </si>
  <si>
    <t>This is the operating surplus (profit) based on the increased price and the corresponding number of sales. By increasing the average price by 15% the Acme Widget surplus will increase 29,000 per annum to 104,000. This occurs even though revenue has decreased. The Variable Cost applied is the Variable Cost per Unit produced as calculated from the current performance input.</t>
  </si>
  <si>
    <t>This is the operating surplus (profit) based on the decreased price and the corresponding number of sales. By decreasing the average price by 15% the Acme Widget surplus will decrease 55,000 per annum to 20,000. The Variable Cost applied is the Variable Cost per Unit produced as calculated from the current performance input.</t>
  </si>
  <si>
    <t>This is the operating surplus (profit) based on the optimum price and the corresponding number of sales. At the optimum price the Acme Widget surplus will increase by 32,267 per annum to 107,267. By increasing prices 22% the surplus will increase by 43%. This surplus is based on Fixed Costs remaining constant and Variable Costs per Unit produced as calculated from the current performance input.</t>
  </si>
  <si>
    <t>Variable Costs change with the volume of product or service you provide. These costs include materials, production, distribution, and transaction costs. The variable cost to produce, sell, and distribute my 18,519 widgets is 345,000. I input this as the Variable Cost.  It is calculated as 69% of revenue.  If desired you can change the label associated with this cell.</t>
  </si>
  <si>
    <t>Fixed Costs are expenses which remain constant (up to a point) while the volume of sales vary.  This includes administration, location, and finance costs. Keeping the doors of Acme Widgets open costs 80,000 a year even if I don’t sell a single widget.  If desired you can change the label associated with this cell.</t>
  </si>
  <si>
    <t>Operating Surplus reflects the before tax operating profit/loss of the business for the full years trading. It is calculated as the Revenue less Variable Costs less Fixed Costs. It excludes asset investment. Assets include property, equipment, and capital reinvestment in the business.  The Operating Surplus represents the day to day (short term) business performance. The current Operating Surplus for Acme Widgets is 75,000 per annum.  If desired you can change the label associated with this cell.</t>
  </si>
  <si>
    <t xml:space="preserve">Initial input is in blue cells on the Input Sheet. Use the tabs at the bottom of the window to select the Input Sheet. Non-input cells are protected to maintain formula integrity. </t>
  </si>
  <si>
    <t>http://www.businessperformanceanalysis.com/</t>
  </si>
  <si>
    <t>This software uses macros and has been digitally signed.</t>
  </si>
  <si>
    <t>If macros are disabled you cannot access the Input Sheet.</t>
  </si>
  <si>
    <t>Software licensed to</t>
  </si>
  <si>
    <t>by</t>
  </si>
  <si>
    <t>Bizpep</t>
  </si>
  <si>
    <t>For Software Support and additional Business Support Software visit:</t>
  </si>
  <si>
    <t>www.bizpeponline.com</t>
  </si>
  <si>
    <r>
      <t>Order Now</t>
    </r>
    <r>
      <rPr>
        <sz val="10"/>
        <rFont val="Arial"/>
        <family val="2"/>
      </rPr>
      <t xml:space="preserve"> for immediate online delivery and receive a </t>
    </r>
    <r>
      <rPr>
        <b/>
        <sz val="10"/>
        <rFont val="Arial"/>
        <family val="2"/>
      </rPr>
      <t>30 day money back guarantee for just:</t>
    </r>
    <r>
      <rPr>
        <sz val="10"/>
        <rFont val="Arial"/>
        <family val="2"/>
      </rPr>
      <t xml:space="preserve"> </t>
    </r>
  </si>
  <si>
    <t>Single User Non-Commercial License - Multi-user licenses attract a 30% discount.</t>
  </si>
  <si>
    <t>Secure online payment is available at:</t>
  </si>
  <si>
    <t>As soon as your transaction is completed you will receive Registration Details by return email.</t>
  </si>
  <si>
    <t>This will register your software and enable all inputs.</t>
  </si>
  <si>
    <t>Software which is not correctly licensed exposes individuals and business to serious risk.</t>
  </si>
  <si>
    <t>1. Outline</t>
  </si>
  <si>
    <t>2. Scope</t>
  </si>
  <si>
    <t>Conditions of use apply to all Bizpep services, software, and information presented. They cover all Bizpep principles, employees, distributors and other associated parties.</t>
  </si>
  <si>
    <t>Use acknowledges acceptance. Full copyright is maintained by Bizpep.</t>
  </si>
  <si>
    <t>3. Evaluation</t>
  </si>
  <si>
    <t>All other features including cell and macro protection are the same in evaluation and registered software. All non-input cells and macros remain protected to ensure the integrity of the formula and programming.</t>
  </si>
  <si>
    <t>4. Install / Uninstall</t>
  </si>
  <si>
    <t>This software is in Microsoft Excel format. To run this software you must have Excel installed on your computer and macros must be enabled.</t>
  </si>
  <si>
    <t>If software is downloaded as a Self-Extracting SetUp file (with a .exe extension) when you run the downloaded file it will extract and install the Excel program.</t>
  </si>
  <si>
    <t>If software is downloaded as a standard Compressed Zip file (with a .zip extension) it requires unzipping for use. Trial Zip software is available free from www.winzip.com.</t>
  </si>
  <si>
    <t>Once you have extracted the Excel file you can run the software from the program icons or by simply opening the Excel file.</t>
  </si>
  <si>
    <t>No system files are changed when you use this software. To uninstall run the Uninstall program or simply delete all associated files.</t>
  </si>
  <si>
    <t>5. Purchase</t>
  </si>
  <si>
    <t>To register software and enable all inputs requires payment:</t>
  </si>
  <si>
    <t xml:space="preserve">Upon receipt of payment Bizpep will provide by return email registration details to maintain the software and enable all inputs. </t>
  </si>
  <si>
    <t>All non-input cells and macros remain protected to ensure the integrity of the formula and programming.</t>
  </si>
  <si>
    <t>6. License</t>
  </si>
  <si>
    <t>Number of Licenses</t>
  </si>
  <si>
    <t>The number of licenses you purchase is the maximum Number of Users and the maximum Number of Computer Systems the purchased software can be installed on or that can access the software if on a network.</t>
  </si>
  <si>
    <t>If you purchase a single user license (Quantity set to 1) the software must only be accessible from one computer and there must only be one user.</t>
  </si>
  <si>
    <t xml:space="preserve">To run the software on more than one computer, a network, or provide for additional users you must purchase a Multi-user license by setting the purchase quantity to the required number of user licenses. </t>
  </si>
  <si>
    <t>Multi-user licenses attract a 30% discount.</t>
  </si>
  <si>
    <t>Non-Commercial License</t>
  </si>
  <si>
    <t>This license is for non-commercial private and internal business use only. It does not cover the commercial use of software for inter-business support, advice, or consulting.</t>
  </si>
  <si>
    <t xml:space="preserve">Commercial License </t>
  </si>
  <si>
    <t>This license allows the commercial use of software for inter-business support, advice, or consulting.</t>
  </si>
  <si>
    <t>www.bizpeponline.com/ContactUs.html</t>
  </si>
  <si>
    <t>All rights of any kind which are not expressly granted are entirely and exclusively reserved to and by Bizpep.</t>
  </si>
  <si>
    <t>For software support and to contact us please submit your request at:</t>
  </si>
  <si>
    <t>Additional business support software and online help are available at:</t>
  </si>
  <si>
    <t>US$69.00</t>
  </si>
  <si>
    <t>Pricing and Breakeven Analysis Excel 30</t>
  </si>
  <si>
    <t>You can also try our web based Breakeven and Price Analysis Modules at:</t>
  </si>
  <si>
    <t>They run directly in your browser with no download required.</t>
  </si>
  <si>
    <t>The model determines the Optimum Pricing to maximize your surplus and can be applied  to new or established businesses, product/service lines, or individual items. It is compact, easy to use, and requires minimal inputs. Outputs include Breakeven Charts for Current, Increased, Decreased, and Optimum pricing. Analysis determines the Optimum Price to maximize your business surplus, and the Revenue, Surplus, and Number of Sales are calculated for prices ranging from -50% to +50% of the current price.</t>
  </si>
  <si>
    <t>Pricing and Breakeven Analysis Excel format will determine the impact of a price change on your business. It calculates current breakeven points using revenue, variable cost, and fixed cost inputs. These are combined with estimates for price and sales volume variations to produce revenue and surplus (profit/loss) forecasts.</t>
  </si>
  <si>
    <t>Pricing and Breakeven Analysis Excel format will determine the impact of a price change on your business. It calculates current breakeven points using revenue, variable cost, and fixed cost inputs. These are combined with estimates for price and sales volume variations to produce revenue and surplus (profit/loss) forecasts. The model determines the Optimum Pricing to maximize your surplus and can be applied  to new or established businesses, product/service lines, or individual items. It is compact, easy to use, and requires minimal inputs. Outputs include Breakeven Charts for Current, Increased, Decreased, and Optimum pricing. Analysis determines the Optimum Price to maximize your business surplus, and the Revenue, Surplus, and Number of Sales are calculated for prices ranging from -50% to +50% of the current price.</t>
  </si>
  <si>
    <t>For questions, suggestions, support or additional business software please visit:</t>
  </si>
  <si>
    <t>Software is provide free for Evaluation. Example Business data is used for Current Performance input values (gray cells) in Evaluation Mode and cannot be changed in Evaluation Mode. Registering software removes restrictions on Current Performance input values (gray cells) allowing individual business data to be entered.</t>
  </si>
  <si>
    <t>Registering software removes restrictions on Current Performance input values (gray cells).</t>
  </si>
  <si>
    <r>
      <t xml:space="preserve">For software registered with a </t>
    </r>
    <r>
      <rPr>
        <b/>
        <sz val="10"/>
        <rFont val="Arial"/>
        <family val="2"/>
      </rPr>
      <t>Non-Commercial License</t>
    </r>
    <r>
      <rPr>
        <sz val="10"/>
        <rFont val="Arial"/>
        <family val="2"/>
      </rPr>
      <t xml:space="preserve"> a</t>
    </r>
    <r>
      <rPr>
        <sz val="10"/>
        <rFont val="Arial"/>
        <family val="2"/>
      </rPr>
      <t>ll other features including cell and macro protection are the same as in evaluation software. All non-input cells and macros remain protected to ensure the integrity of the formula and programming.</t>
    </r>
  </si>
  <si>
    <t>8. Intellectual Property</t>
  </si>
  <si>
    <t>9. Hold Harmless</t>
  </si>
  <si>
    <t>10. Distribution</t>
  </si>
  <si>
    <t>11. Contact Details</t>
  </si>
  <si>
    <r>
      <t xml:space="preserve">For software registered with a </t>
    </r>
    <r>
      <rPr>
        <b/>
        <sz val="10"/>
        <rFont val="Arial"/>
        <family val="2"/>
      </rPr>
      <t>Commercial License</t>
    </r>
    <r>
      <rPr>
        <sz val="10"/>
        <rFont val="Arial"/>
        <family val="2"/>
      </rPr>
      <t xml:space="preserve"> an additional calculation sheet named Worksheet is displayed and all calculation sheets are protected without a password. This allows them to be unprotected to view the underlying formula and undertake minor refinements. All macros remain protected.</t>
    </r>
  </si>
  <si>
    <t>All input is on the Input Sheet. Click the tab or hyperlinks to access. Blue cells allow input. You can format cells, rows and columns on the calculation sheets using standard Excel functions.</t>
  </si>
  <si>
    <t>Source License</t>
  </si>
  <si>
    <t>This license allows you to access and modify all software code including macros. For additional details please submit your request at:</t>
  </si>
  <si>
    <t>7. Software Support</t>
  </si>
  <si>
    <t>Bizpep offer support for operation and application of registered software. Simply submit your support request at:</t>
  </si>
  <si>
    <t>You may freely distribute this software in Evaluation form without Registration Codes.  Any software distributed must require the user to provide payment to Bizpep to maintain the software as originally designed.</t>
  </si>
  <si>
    <t>Not Licensed, Evaluation Mode.</t>
  </si>
  <si>
    <t>Inputs for Current Performance values (gray cells) are limited to Example Business data.</t>
  </si>
  <si>
    <t>Payment is required to Register this software and enable all inputs.</t>
  </si>
  <si>
    <t>http://www.bizpeponline.com/PricingBreakevenReg.html</t>
  </si>
  <si>
    <t>Copyright © Bizpep 2010 - www.bizpeponline.com.</t>
  </si>
  <si>
    <t>Registering evaluation software with a Non-Commercial License removes restrictions on Current Performance input values (gray cells). All other features including cell and macro protection are the same in evaluation and registered Non-Commercial software.</t>
  </si>
  <si>
    <t>Registering evaluation software with a Commercial License removes restrictions on Current Performance input values (gray cells) and provides authorization for Commercial use.</t>
  </si>
  <si>
    <t>Once you have registered your software with your Commercial license calculation sheets are protected without a password. To unprotect a calculation sheet from the sheet go Review, Unprotect Sheet when using Excel 2007 or Tools, Protection, Unprotect Sheet when using Excel 97-2003. An additional calcualtion sheet named Worksheet is also displayed and includes underlying formula and calculations. Unprotecting the sheets allows you to view the underlying formula and undertake minor refinements. All non calculation sheets and macros remain password protected. Any changes to formula may impact on the validity of the software. It is recommended that you save a master copy to ensure you always have a valid version.</t>
  </si>
  <si>
    <t>From details on how to enable macros please refer to:</t>
  </si>
  <si>
    <t>http://www.bizpeponline.com/PricingBreakeven.html#excel</t>
  </si>
  <si>
    <t>Build 20100302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</si>
</sst>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1" x14ac:knownFonts="1">
    <font>
      <sz val="10"/>
      <name val="Arial"/>
    </font>
    <font>
      <sz val="10"/>
      <name val="Arial"/>
      <family val="2"/>
    </font>
    <font>
      <b/>
      <sz val="10"/>
      <name val="Arial"/>
      <family val="2"/>
    </font>
    <font>
      <sz val="10"/>
      <name val="Arial"/>
      <family val="2"/>
    </font>
    <font>
      <u/>
      <sz val="10"/>
      <color indexed="12"/>
      <name val="Arial"/>
      <family val="2"/>
    </font>
    <font>
      <b/>
      <u/>
      <sz val="10"/>
      <name val="Arial"/>
      <family val="2"/>
    </font>
    <font>
      <sz val="10"/>
      <color indexed="9"/>
      <name val="Arial"/>
      <family val="2"/>
    </font>
    <font>
      <sz val="8"/>
      <name val="Arial"/>
      <family val="2"/>
    </font>
    <font>
      <b/>
      <sz val="14"/>
      <name val="Arial"/>
      <family val="2"/>
    </font>
    <font>
      <b/>
      <u/>
      <sz val="14"/>
      <color indexed="12"/>
      <name val="Arial"/>
      <family val="2"/>
    </font>
    <font>
      <b/>
      <u/>
      <sz val="10"/>
      <color indexed="12"/>
      <name val="Arial"/>
      <family val="2"/>
    </font>
    <font>
      <sz val="8"/>
      <color indexed="81"/>
      <name val="Tahoma"/>
      <family val="2"/>
    </font>
    <font>
      <b/>
      <sz val="8"/>
      <name val="Arial"/>
      <family val="2"/>
    </font>
    <font>
      <b/>
      <sz val="10"/>
      <color indexed="10"/>
      <name val="Arial"/>
      <family val="2"/>
    </font>
    <font>
      <sz val="14"/>
      <name val="Arial"/>
      <family val="2"/>
    </font>
    <font>
      <u/>
      <sz val="14"/>
      <color indexed="12"/>
      <name val="Arial"/>
      <family val="2"/>
    </font>
    <font>
      <sz val="10"/>
      <color indexed="10"/>
      <name val="Arial"/>
      <family val="2"/>
    </font>
    <font>
      <b/>
      <sz val="14"/>
      <color indexed="10"/>
      <name val="Arial"/>
      <family val="2"/>
    </font>
    <font>
      <u/>
      <sz val="10"/>
      <color indexed="12"/>
      <name val="Arial"/>
      <family val="2"/>
    </font>
    <font>
      <u/>
      <sz val="10"/>
      <color indexed="9"/>
      <name val="Arial"/>
      <family val="2"/>
    </font>
    <font>
      <u/>
      <sz val="10"/>
      <color indexed="10"/>
      <name val="Arial"/>
      <family val="2"/>
    </font>
    <font>
      <b/>
      <sz val="10"/>
      <color indexed="58"/>
      <name val="Arial"/>
      <family val="2"/>
    </font>
    <font>
      <b/>
      <sz val="14"/>
      <color indexed="58"/>
      <name val="Arial"/>
      <family val="2"/>
    </font>
    <font>
      <sz val="10"/>
      <color indexed="58"/>
      <name val="Arial"/>
      <family val="2"/>
    </font>
    <font>
      <b/>
      <sz val="12"/>
      <color indexed="10"/>
      <name val="Arial"/>
      <family val="2"/>
    </font>
    <font>
      <sz val="8"/>
      <name val="Arial"/>
      <family val="2"/>
    </font>
    <font>
      <u/>
      <sz val="8"/>
      <color indexed="12"/>
      <name val="Arial"/>
      <family val="2"/>
    </font>
    <font>
      <b/>
      <sz val="12"/>
      <name val="Arial"/>
      <family val="2"/>
    </font>
    <font>
      <u/>
      <sz val="8"/>
      <color indexed="12"/>
      <name val="Arial"/>
      <family val="2"/>
    </font>
    <font>
      <sz val="10"/>
      <color indexed="8"/>
      <name val="Arial"/>
      <family val="2"/>
    </font>
    <font>
      <sz val="8"/>
      <color rgb="FF000000"/>
      <name val="Tahoma"/>
      <family val="2"/>
    </font>
  </fonts>
  <fills count="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rgb="FFCCCCCC"/>
        <bgColor indexed="64"/>
      </patternFill>
    </fill>
  </fills>
  <borders count="43">
    <border>
      <left/>
      <right/>
      <top/>
      <bottom/>
      <diagonal/>
    </border>
    <border>
      <left style="thin">
        <color indexed="8"/>
      </left>
      <right style="thin">
        <color indexed="8"/>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8"/>
      </right>
      <top/>
      <bottom/>
      <diagonal/>
    </border>
    <border>
      <left style="thin">
        <color indexed="64"/>
      </left>
      <right style="thin">
        <color indexed="64"/>
      </right>
      <top/>
      <bottom/>
      <diagonal/>
    </border>
    <border>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8"/>
      </left>
      <right style="thin">
        <color indexed="8"/>
      </right>
      <top style="dotted">
        <color indexed="8"/>
      </top>
      <bottom style="dotted">
        <color indexed="8"/>
      </bottom>
      <diagonal/>
    </border>
    <border>
      <left style="thin">
        <color indexed="8"/>
      </left>
      <right style="thin">
        <color indexed="8"/>
      </right>
      <top style="mediumDashDotDot">
        <color indexed="10"/>
      </top>
      <bottom/>
      <diagonal/>
    </border>
    <border>
      <left style="thin">
        <color indexed="8"/>
      </left>
      <right style="thin">
        <color indexed="8"/>
      </right>
      <top/>
      <bottom style="mediumDashDotDot">
        <color indexed="10"/>
      </bottom>
      <diagonal/>
    </border>
    <border>
      <left style="thin">
        <color indexed="8"/>
      </left>
      <right style="thin">
        <color indexed="8"/>
      </right>
      <top/>
      <bottom style="dotted">
        <color indexed="8"/>
      </bottom>
      <diagonal/>
    </border>
    <border>
      <left style="thin">
        <color indexed="8"/>
      </left>
      <right/>
      <top/>
      <bottom/>
      <diagonal/>
    </border>
    <border>
      <left style="thin">
        <color indexed="8"/>
      </left>
      <right style="thin">
        <color indexed="8"/>
      </right>
      <top style="mediumDashDot">
        <color indexed="10"/>
      </top>
      <bottom/>
      <diagonal/>
    </border>
    <border>
      <left style="thin">
        <color indexed="8"/>
      </left>
      <right style="thin">
        <color indexed="8"/>
      </right>
      <top/>
      <bottom style="mediumDashDot">
        <color indexed="10"/>
      </bottom>
      <diagonal/>
    </border>
    <border>
      <left style="thin">
        <color indexed="8"/>
      </left>
      <right style="thin">
        <color indexed="8"/>
      </right>
      <top style="dashed">
        <color indexed="8"/>
      </top>
      <bottom style="dashed">
        <color indexed="8"/>
      </bottom>
      <diagonal/>
    </border>
    <border>
      <left/>
      <right style="thin">
        <color indexed="8"/>
      </right>
      <top style="dashed">
        <color indexed="8"/>
      </top>
      <bottom style="dashed">
        <color indexed="8"/>
      </bottom>
      <diagonal/>
    </border>
    <border>
      <left style="thin">
        <color indexed="8"/>
      </left>
      <right/>
      <top style="dotted">
        <color indexed="8"/>
      </top>
      <bottom/>
      <diagonal/>
    </border>
    <border>
      <left/>
      <right/>
      <top style="dotted">
        <color indexed="8"/>
      </top>
      <bottom/>
      <diagonal/>
    </border>
    <border>
      <left/>
      <right style="thin">
        <color indexed="8"/>
      </right>
      <top style="dotted">
        <color indexed="8"/>
      </top>
      <bottom/>
      <diagonal/>
    </border>
    <border>
      <left style="thin">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thin">
        <color indexed="8"/>
      </left>
      <right/>
      <top style="dashed">
        <color indexed="8"/>
      </top>
      <bottom style="dashed">
        <color indexed="8"/>
      </bottom>
      <diagonal/>
    </border>
    <border>
      <left/>
      <right/>
      <top style="dashed">
        <color indexed="8"/>
      </top>
      <bottom style="dashed">
        <color indexed="8"/>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ashed">
        <color indexed="64"/>
      </bottom>
      <diagonal/>
    </border>
    <border>
      <left/>
      <right/>
      <top style="dotted">
        <color indexed="64"/>
      </top>
      <bottom style="dashed">
        <color indexed="64"/>
      </bottom>
      <diagonal/>
    </border>
    <border>
      <left/>
      <right style="thin">
        <color indexed="64"/>
      </right>
      <top style="dotted">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thin">
        <color indexed="64"/>
      </right>
      <top style="dashed">
        <color indexed="64"/>
      </top>
      <bottom style="dashed">
        <color indexed="64"/>
      </bottom>
      <diagonal/>
    </border>
    <border>
      <left/>
      <right/>
      <top style="thin">
        <color indexed="64"/>
      </top>
      <bottom/>
      <diagonal/>
    </border>
  </borders>
  <cellStyleXfs count="9">
    <xf numFmtId="0" fontId="0" fillId="2" borderId="0"/>
    <xf numFmtId="0" fontId="4" fillId="0" borderId="0" applyNumberFormat="0" applyFill="0" applyBorder="0" applyAlignment="0" applyProtection="0">
      <alignment vertical="top"/>
      <protection locked="0"/>
    </xf>
    <xf numFmtId="0" fontId="1" fillId="0" borderId="0"/>
    <xf numFmtId="0" fontId="1" fillId="2" borderId="0">
      <alignment vertical="top"/>
    </xf>
    <xf numFmtId="0" fontId="1" fillId="2" borderId="0">
      <alignment vertical="top"/>
    </xf>
    <xf numFmtId="0" fontId="1" fillId="2" borderId="0"/>
    <xf numFmtId="0" fontId="1" fillId="0" borderId="0"/>
    <xf numFmtId="0" fontId="1" fillId="2" borderId="0"/>
    <xf numFmtId="0" fontId="4" fillId="0" borderId="0" applyNumberFormat="0" applyFill="0" applyBorder="0" applyAlignment="0" applyProtection="0">
      <alignment vertical="top"/>
      <protection locked="0"/>
    </xf>
  </cellStyleXfs>
  <cellXfs count="404">
    <xf numFmtId="0" fontId="0" fillId="2" borderId="0" xfId="0"/>
    <xf numFmtId="0" fontId="1" fillId="2" borderId="0" xfId="3">
      <alignment vertical="top"/>
    </xf>
    <xf numFmtId="0" fontId="0" fillId="2" borderId="0" xfId="0" applyProtection="1">
      <protection hidden="1"/>
    </xf>
    <xf numFmtId="0" fontId="1" fillId="2" borderId="0" xfId="4" applyProtection="1">
      <alignment vertical="top"/>
      <protection hidden="1"/>
    </xf>
    <xf numFmtId="0" fontId="1" fillId="2" borderId="0" xfId="4">
      <alignment vertical="top"/>
    </xf>
    <xf numFmtId="49" fontId="1" fillId="2" borderId="0" xfId="4" applyNumberFormat="1" applyAlignment="1" applyProtection="1">
      <alignment horizontal="justify" vertical="top" wrapText="1"/>
      <protection hidden="1"/>
    </xf>
    <xf numFmtId="49" fontId="8" fillId="2" borderId="0" xfId="4" applyNumberFormat="1" applyFont="1" applyAlignment="1" applyProtection="1">
      <alignment horizontal="center" vertical="top" wrapText="1"/>
      <protection hidden="1"/>
    </xf>
    <xf numFmtId="49" fontId="9" fillId="0" borderId="0" xfId="1" applyNumberFormat="1" applyFont="1" applyBorder="1" applyAlignment="1" applyProtection="1">
      <alignment horizontal="center" vertical="top" wrapText="1"/>
      <protection hidden="1"/>
    </xf>
    <xf numFmtId="49" fontId="9" fillId="2" borderId="0" xfId="1" applyNumberFormat="1" applyFont="1" applyFill="1" applyAlignment="1" applyProtection="1">
      <alignment horizontal="center" vertical="top" wrapText="1"/>
      <protection hidden="1"/>
    </xf>
    <xf numFmtId="49" fontId="7" fillId="2" borderId="0" xfId="4" applyNumberFormat="1" applyFont="1" applyAlignment="1" applyProtection="1">
      <alignment horizontal="center" vertical="top" wrapText="1"/>
      <protection hidden="1"/>
    </xf>
    <xf numFmtId="49" fontId="1" fillId="2" borderId="0" xfId="4" applyNumberFormat="1" applyAlignment="1">
      <alignment horizontal="justify" vertical="top" wrapText="1"/>
    </xf>
    <xf numFmtId="49" fontId="1" fillId="2" borderId="0" xfId="3" applyNumberFormat="1" applyProtection="1">
      <alignment vertical="top"/>
      <protection hidden="1"/>
    </xf>
    <xf numFmtId="49" fontId="1" fillId="2" borderId="0" xfId="3" applyNumberFormat="1" applyAlignment="1" applyProtection="1">
      <alignment horizontal="justify" vertical="top" wrapText="1"/>
      <protection hidden="1"/>
    </xf>
    <xf numFmtId="49" fontId="1" fillId="2" borderId="0" xfId="3" applyNumberFormat="1" applyAlignment="1" applyProtection="1">
      <alignment horizontal="left" vertical="top" wrapText="1"/>
      <protection hidden="1"/>
    </xf>
    <xf numFmtId="0" fontId="1" fillId="2" borderId="0" xfId="3" applyAlignment="1">
      <alignment horizontal="left" vertical="top"/>
    </xf>
    <xf numFmtId="49" fontId="8" fillId="2" borderId="0" xfId="4" applyNumberFormat="1" applyFont="1" applyAlignment="1" applyProtection="1">
      <alignment horizontal="center" vertical="top"/>
      <protection hidden="1"/>
    </xf>
    <xf numFmtId="49" fontId="1" fillId="2" borderId="1" xfId="4" applyNumberFormat="1" applyBorder="1" applyAlignment="1" applyProtection="1">
      <alignment horizontal="justify" vertical="top" wrapText="1"/>
      <protection hidden="1"/>
    </xf>
    <xf numFmtId="49" fontId="2" fillId="2" borderId="1" xfId="4" applyNumberFormat="1" applyFont="1" applyBorder="1" applyAlignment="1" applyProtection="1">
      <alignment horizontal="justify" vertical="top" wrapText="1"/>
      <protection hidden="1"/>
    </xf>
    <xf numFmtId="49" fontId="3" fillId="2" borderId="1" xfId="4" applyNumberFormat="1" applyFont="1" applyBorder="1" applyAlignment="1" applyProtection="1">
      <alignment horizontal="justify" vertical="top" wrapText="1"/>
      <protection hidden="1"/>
    </xf>
    <xf numFmtId="49" fontId="2" fillId="2" borderId="1" xfId="4" applyNumberFormat="1" applyFont="1" applyBorder="1" applyAlignment="1" applyProtection="1">
      <alignment horizontal="center" vertical="top" wrapText="1"/>
      <protection hidden="1"/>
    </xf>
    <xf numFmtId="49" fontId="4" fillId="2" borderId="1" xfId="1" applyNumberFormat="1" applyFill="1" applyBorder="1" applyAlignment="1" applyProtection="1">
      <alignment horizontal="center" vertical="top" wrapText="1"/>
      <protection hidden="1"/>
    </xf>
    <xf numFmtId="49" fontId="13" fillId="2" borderId="1" xfId="4" applyNumberFormat="1" applyFont="1" applyBorder="1" applyAlignment="1" applyProtection="1">
      <alignment horizontal="center" vertical="top" wrapText="1"/>
      <protection hidden="1"/>
    </xf>
    <xf numFmtId="49" fontId="2" fillId="2" borderId="2" xfId="0" applyNumberFormat="1" applyFont="1" applyBorder="1" applyAlignment="1" applyProtection="1">
      <alignment horizontal="right" vertical="top" wrapText="1"/>
      <protection hidden="1"/>
    </xf>
    <xf numFmtId="49" fontId="2" fillId="2" borderId="3" xfId="0" applyNumberFormat="1" applyFont="1" applyBorder="1" applyAlignment="1" applyProtection="1">
      <alignment horizontal="justify" vertical="top" wrapText="1"/>
      <protection hidden="1"/>
    </xf>
    <xf numFmtId="49" fontId="2" fillId="2" borderId="4" xfId="0" applyNumberFormat="1" applyFont="1" applyBorder="1" applyAlignment="1" applyProtection="1">
      <alignment horizontal="justify" vertical="top" wrapText="1"/>
      <protection hidden="1"/>
    </xf>
    <xf numFmtId="0" fontId="1" fillId="2" borderId="0" xfId="3" applyAlignment="1" applyProtection="1">
      <alignment horizontal="justify" vertical="top" wrapText="1"/>
      <protection hidden="1"/>
    </xf>
    <xf numFmtId="49" fontId="2" fillId="3" borderId="5" xfId="0" applyNumberFormat="1" applyFont="1" applyFill="1" applyBorder="1" applyAlignment="1" applyProtection="1">
      <alignment horizontal="justify" vertical="top" wrapText="1"/>
      <protection hidden="1"/>
    </xf>
    <xf numFmtId="0" fontId="1" fillId="2" borderId="6" xfId="4" applyBorder="1" applyProtection="1">
      <alignment vertical="top"/>
      <protection hidden="1"/>
    </xf>
    <xf numFmtId="49" fontId="8" fillId="2" borderId="0" xfId="1" applyNumberFormat="1" applyFont="1" applyFill="1" applyAlignment="1" applyProtection="1">
      <alignment horizontal="center" vertical="top" wrapText="1"/>
      <protection hidden="1"/>
    </xf>
    <xf numFmtId="49" fontId="2" fillId="2" borderId="7" xfId="0" applyNumberFormat="1" applyFont="1" applyBorder="1" applyAlignment="1" applyProtection="1">
      <alignment horizontal="justify" vertical="top" wrapText="1"/>
      <protection hidden="1"/>
    </xf>
    <xf numFmtId="0" fontId="0" fillId="2" borderId="0" xfId="0" applyAlignment="1" applyProtection="1">
      <alignment horizontal="justify" vertical="top" wrapText="1"/>
      <protection hidden="1"/>
    </xf>
    <xf numFmtId="0" fontId="3" fillId="2" borderId="0" xfId="0" applyFont="1" applyAlignment="1" applyProtection="1">
      <alignment horizontal="justify" vertical="top" wrapText="1"/>
      <protection hidden="1"/>
    </xf>
    <xf numFmtId="3" fontId="0" fillId="2" borderId="0" xfId="0" applyNumberFormat="1" applyProtection="1">
      <protection hidden="1"/>
    </xf>
    <xf numFmtId="3" fontId="2" fillId="2" borderId="0" xfId="0" applyNumberFormat="1" applyFont="1" applyAlignment="1" applyProtection="1">
      <alignment horizontal="center" wrapText="1"/>
      <protection hidden="1"/>
    </xf>
    <xf numFmtId="3" fontId="4" fillId="2" borderId="2" xfId="1" applyNumberFormat="1" applyFill="1" applyBorder="1" applyAlignment="1" applyProtection="1">
      <alignment horizontal="center" vertical="top" wrapText="1"/>
      <protection hidden="1"/>
    </xf>
    <xf numFmtId="3" fontId="10" fillId="2" borderId="2" xfId="1" applyNumberFormat="1" applyFont="1" applyFill="1" applyBorder="1" applyAlignment="1" applyProtection="1">
      <alignment horizontal="left" vertical="top" wrapText="1"/>
      <protection hidden="1"/>
    </xf>
    <xf numFmtId="3" fontId="4" fillId="2" borderId="2" xfId="1" applyNumberFormat="1" applyFill="1" applyBorder="1" applyAlignment="1" applyProtection="1">
      <alignment horizontal="left" vertical="top" wrapText="1"/>
      <protection hidden="1"/>
    </xf>
    <xf numFmtId="3" fontId="4" fillId="2" borderId="2" xfId="1" applyNumberFormat="1" applyFill="1" applyBorder="1" applyAlignment="1" applyProtection="1">
      <alignment horizontal="right" vertical="top" wrapText="1"/>
      <protection hidden="1"/>
    </xf>
    <xf numFmtId="3" fontId="3" fillId="2" borderId="2" xfId="1" applyNumberFormat="1" applyFont="1" applyFill="1" applyBorder="1" applyAlignment="1" applyProtection="1">
      <alignment horizontal="right" vertical="top" wrapText="1"/>
      <protection hidden="1"/>
    </xf>
    <xf numFmtId="3" fontId="2" fillId="2" borderId="2" xfId="1" applyNumberFormat="1" applyFont="1" applyFill="1" applyBorder="1" applyAlignment="1" applyProtection="1">
      <alignment horizontal="left" vertical="top" wrapText="1"/>
      <protection hidden="1"/>
    </xf>
    <xf numFmtId="3" fontId="0" fillId="2" borderId="8" xfId="0" applyNumberFormat="1" applyBorder="1" applyProtection="1">
      <protection hidden="1"/>
    </xf>
    <xf numFmtId="3" fontId="1" fillId="2" borderId="0" xfId="0" applyNumberFormat="1" applyFont="1" applyAlignment="1" applyProtection="1">
      <alignment vertical="top"/>
      <protection hidden="1"/>
    </xf>
    <xf numFmtId="3" fontId="16" fillId="2" borderId="0" xfId="0" applyNumberFormat="1" applyFont="1" applyAlignment="1" applyProtection="1">
      <alignment horizontal="left"/>
      <protection hidden="1"/>
    </xf>
    <xf numFmtId="3" fontId="4" fillId="2" borderId="0" xfId="1" applyNumberFormat="1" applyFill="1" applyBorder="1" applyAlignment="1" applyProtection="1">
      <alignment horizontal="center" vertical="top" wrapText="1"/>
      <protection hidden="1"/>
    </xf>
    <xf numFmtId="3" fontId="3" fillId="2" borderId="0" xfId="0" applyNumberFormat="1" applyFont="1" applyAlignment="1" applyProtection="1">
      <alignment horizontal="left" vertical="top" wrapText="1"/>
      <protection hidden="1"/>
    </xf>
    <xf numFmtId="3" fontId="0" fillId="2" borderId="0" xfId="0" applyNumberFormat="1" applyAlignment="1" applyProtection="1">
      <alignment vertical="top"/>
      <protection hidden="1"/>
    </xf>
    <xf numFmtId="3" fontId="3" fillId="2" borderId="0" xfId="1" applyNumberFormat="1" applyFont="1" applyFill="1" applyBorder="1" applyAlignment="1" applyProtection="1">
      <alignment horizontal="left" vertical="top" wrapText="1"/>
      <protection hidden="1"/>
    </xf>
    <xf numFmtId="3" fontId="3" fillId="0" borderId="0" xfId="1" applyNumberFormat="1" applyFont="1" applyFill="1" applyBorder="1" applyAlignment="1" applyProtection="1">
      <alignment horizontal="center" vertical="top" wrapText="1"/>
      <protection hidden="1"/>
    </xf>
    <xf numFmtId="3" fontId="2" fillId="3" borderId="9" xfId="1" applyNumberFormat="1" applyFont="1" applyFill="1" applyBorder="1" applyAlignment="1" applyProtection="1">
      <alignment horizontal="center" vertical="top" wrapText="1"/>
      <protection hidden="1"/>
    </xf>
    <xf numFmtId="3" fontId="3" fillId="3" borderId="8" xfId="1" applyNumberFormat="1" applyFont="1" applyFill="1" applyBorder="1" applyAlignment="1" applyProtection="1">
      <alignment horizontal="center" vertical="top" wrapText="1"/>
      <protection hidden="1"/>
    </xf>
    <xf numFmtId="3" fontId="3" fillId="2" borderId="0" xfId="1" applyNumberFormat="1" applyFont="1" applyFill="1" applyBorder="1" applyAlignment="1" applyProtection="1">
      <alignment horizontal="center" vertical="top" wrapText="1"/>
      <protection hidden="1"/>
    </xf>
    <xf numFmtId="3" fontId="2" fillId="3" borderId="10" xfId="1" applyNumberFormat="1" applyFont="1" applyFill="1" applyBorder="1" applyAlignment="1" applyProtection="1">
      <alignment horizontal="center" vertical="top" wrapText="1"/>
      <protection hidden="1"/>
    </xf>
    <xf numFmtId="3" fontId="3" fillId="3" borderId="0" xfId="1" applyNumberFormat="1" applyFont="1" applyFill="1" applyBorder="1" applyAlignment="1" applyProtection="1">
      <alignment horizontal="center" vertical="top" wrapText="1"/>
      <protection hidden="1"/>
    </xf>
    <xf numFmtId="3" fontId="17" fillId="2" borderId="0" xfId="0" applyNumberFormat="1" applyFont="1" applyAlignment="1" applyProtection="1">
      <alignment horizontal="center" vertical="top"/>
      <protection hidden="1"/>
    </xf>
    <xf numFmtId="3" fontId="4" fillId="2" borderId="7" xfId="1" applyNumberFormat="1" applyFill="1" applyBorder="1" applyAlignment="1" applyProtection="1">
      <alignment horizontal="right" vertical="top" wrapText="1"/>
      <protection hidden="1"/>
    </xf>
    <xf numFmtId="0" fontId="0" fillId="4" borderId="9" xfId="0" applyFill="1" applyBorder="1" applyAlignment="1" applyProtection="1">
      <alignment horizontal="justify" vertical="top" wrapText="1"/>
      <protection hidden="1"/>
    </xf>
    <xf numFmtId="0" fontId="0" fillId="3" borderId="10" xfId="0" applyFill="1" applyBorder="1" applyAlignment="1" applyProtection="1">
      <alignment horizontal="justify" vertical="top" wrapText="1"/>
      <protection hidden="1"/>
    </xf>
    <xf numFmtId="0" fontId="0" fillId="0" borderId="10" xfId="0" applyFill="1" applyBorder="1" applyAlignment="1" applyProtection="1">
      <alignment horizontal="left" vertical="top" wrapText="1"/>
      <protection hidden="1"/>
    </xf>
    <xf numFmtId="0" fontId="0" fillId="4" borderId="9" xfId="0" applyFill="1" applyBorder="1" applyAlignment="1" applyProtection="1">
      <alignment horizontal="left" vertical="top" wrapText="1"/>
      <protection hidden="1"/>
    </xf>
    <xf numFmtId="0" fontId="0" fillId="4" borderId="10" xfId="0" applyFill="1" applyBorder="1" applyAlignment="1" applyProtection="1">
      <alignment horizontal="left" vertical="top" wrapText="1"/>
      <protection hidden="1"/>
    </xf>
    <xf numFmtId="0" fontId="0" fillId="3" borderId="10" xfId="0" applyFill="1" applyBorder="1" applyAlignment="1" applyProtection="1">
      <alignment horizontal="left" vertical="top" wrapText="1"/>
      <protection hidden="1"/>
    </xf>
    <xf numFmtId="0" fontId="0" fillId="3" borderId="8" xfId="0" applyFill="1" applyBorder="1" applyAlignment="1" applyProtection="1">
      <alignment horizontal="left" vertical="top" wrapText="1"/>
      <protection hidden="1"/>
    </xf>
    <xf numFmtId="0" fontId="0" fillId="2" borderId="10" xfId="0" applyBorder="1" applyAlignment="1" applyProtection="1">
      <alignment horizontal="justify" vertical="top" wrapText="1"/>
      <protection hidden="1"/>
    </xf>
    <xf numFmtId="3" fontId="10" fillId="2" borderId="3" xfId="1" applyNumberFormat="1" applyFont="1" applyFill="1" applyBorder="1" applyAlignment="1" applyProtection="1">
      <alignment horizontal="left" vertical="top" wrapText="1"/>
      <protection hidden="1"/>
    </xf>
    <xf numFmtId="3" fontId="10" fillId="2" borderId="7" xfId="1" applyNumberFormat="1" applyFont="1" applyFill="1" applyBorder="1" applyAlignment="1" applyProtection="1">
      <alignment horizontal="left" vertical="top" wrapText="1"/>
      <protection hidden="1"/>
    </xf>
    <xf numFmtId="3" fontId="10" fillId="2" borderId="7" xfId="1" applyNumberFormat="1" applyFont="1" applyFill="1" applyBorder="1" applyAlignment="1" applyProtection="1">
      <alignment horizontal="right" vertical="top" wrapText="1"/>
      <protection hidden="1"/>
    </xf>
    <xf numFmtId="3" fontId="10" fillId="2" borderId="4" xfId="1" applyNumberFormat="1" applyFont="1" applyFill="1" applyBorder="1" applyAlignment="1" applyProtection="1">
      <alignment horizontal="right" vertical="top" wrapText="1"/>
      <protection hidden="1"/>
    </xf>
    <xf numFmtId="0" fontId="4" fillId="2" borderId="0" xfId="1" applyNumberFormat="1" applyFill="1" applyBorder="1" applyAlignment="1" applyProtection="1">
      <alignment horizontal="justify" vertical="top" wrapText="1"/>
      <protection hidden="1"/>
    </xf>
    <xf numFmtId="49" fontId="2" fillId="2" borderId="2" xfId="0" applyNumberFormat="1" applyFont="1" applyBorder="1" applyAlignment="1" applyProtection="1">
      <alignment horizontal="left" vertical="top" wrapText="1"/>
      <protection hidden="1"/>
    </xf>
    <xf numFmtId="0" fontId="0" fillId="2" borderId="11" xfId="0" applyBorder="1" applyAlignment="1" applyProtection="1">
      <alignment horizontal="justify" vertical="top" wrapText="1"/>
      <protection hidden="1"/>
    </xf>
    <xf numFmtId="0" fontId="3" fillId="2" borderId="0" xfId="1" applyNumberFormat="1" applyFont="1" applyFill="1" applyBorder="1" applyAlignment="1" applyProtection="1">
      <alignment horizontal="justify" vertical="top" wrapText="1"/>
      <protection hidden="1"/>
    </xf>
    <xf numFmtId="49" fontId="3" fillId="2" borderId="0" xfId="3" applyNumberFormat="1" applyFont="1" applyProtection="1">
      <alignment vertical="top"/>
      <protection hidden="1"/>
    </xf>
    <xf numFmtId="0" fontId="3" fillId="2" borderId="9" xfId="0" applyFont="1" applyBorder="1" applyAlignment="1" applyProtection="1">
      <alignment horizontal="left" vertical="top" wrapText="1"/>
      <protection hidden="1"/>
    </xf>
    <xf numFmtId="0" fontId="3" fillId="4" borderId="10" xfId="0" applyFont="1" applyFill="1" applyBorder="1" applyAlignment="1" applyProtection="1">
      <alignment horizontal="left" vertical="top" wrapText="1"/>
      <protection hidden="1"/>
    </xf>
    <xf numFmtId="0" fontId="3" fillId="2" borderId="0" xfId="3" applyFont="1" applyAlignment="1" applyProtection="1">
      <alignment horizontal="justify" vertical="top" wrapText="1"/>
      <protection hidden="1"/>
    </xf>
    <xf numFmtId="0" fontId="1" fillId="0" borderId="0" xfId="2"/>
    <xf numFmtId="0" fontId="1" fillId="0" borderId="0" xfId="2" applyProtection="1">
      <protection hidden="1"/>
    </xf>
    <xf numFmtId="0" fontId="2" fillId="2" borderId="7" xfId="2" applyFont="1" applyFill="1" applyBorder="1" applyAlignment="1" applyProtection="1">
      <alignment horizontal="right"/>
      <protection hidden="1"/>
    </xf>
    <xf numFmtId="0" fontId="2" fillId="2" borderId="3" xfId="2" applyFont="1" applyFill="1" applyBorder="1" applyAlignment="1" applyProtection="1">
      <alignment horizontal="left"/>
      <protection hidden="1"/>
    </xf>
    <xf numFmtId="0" fontId="2" fillId="2" borderId="0" xfId="2" applyFont="1" applyFill="1" applyProtection="1">
      <protection hidden="1"/>
    </xf>
    <xf numFmtId="3" fontId="1" fillId="2" borderId="0" xfId="2" applyNumberFormat="1" applyFill="1" applyAlignment="1" applyProtection="1">
      <alignment horizontal="right"/>
      <protection hidden="1"/>
    </xf>
    <xf numFmtId="0" fontId="5" fillId="2" borderId="0" xfId="2" applyFont="1" applyFill="1" applyProtection="1">
      <protection hidden="1"/>
    </xf>
    <xf numFmtId="0" fontId="1" fillId="2" borderId="0" xfId="2" applyFill="1" applyProtection="1">
      <protection hidden="1"/>
    </xf>
    <xf numFmtId="0" fontId="2" fillId="2" borderId="7" xfId="2" applyFont="1" applyFill="1" applyBorder="1" applyAlignment="1" applyProtection="1">
      <alignment horizontal="left"/>
      <protection hidden="1"/>
    </xf>
    <xf numFmtId="0" fontId="2" fillId="2" borderId="4" xfId="2" applyFont="1" applyFill="1" applyBorder="1" applyAlignment="1" applyProtection="1">
      <alignment horizontal="left"/>
      <protection hidden="1"/>
    </xf>
    <xf numFmtId="3" fontId="16" fillId="2" borderId="0" xfId="1" applyNumberFormat="1" applyFont="1" applyFill="1" applyBorder="1" applyAlignment="1" applyProtection="1">
      <alignment horizontal="left" vertical="top" wrapText="1"/>
      <protection hidden="1"/>
    </xf>
    <xf numFmtId="3" fontId="16" fillId="2" borderId="0" xfId="0" applyNumberFormat="1" applyFont="1" applyAlignment="1" applyProtection="1">
      <alignment horizontal="left" vertical="center" wrapText="1"/>
      <protection hidden="1"/>
    </xf>
    <xf numFmtId="3" fontId="3" fillId="3" borderId="9" xfId="1" applyNumberFormat="1" applyFont="1" applyFill="1" applyBorder="1" applyAlignment="1" applyProtection="1">
      <alignment horizontal="center" vertical="top" wrapText="1"/>
      <protection hidden="1"/>
    </xf>
    <xf numFmtId="3" fontId="3" fillId="3" borderId="12" xfId="1" applyNumberFormat="1" applyFont="1" applyFill="1" applyBorder="1" applyAlignment="1" applyProtection="1">
      <alignment horizontal="center" vertical="top" wrapText="1"/>
      <protection hidden="1"/>
    </xf>
    <xf numFmtId="3" fontId="2" fillId="3" borderId="4" xfId="1" applyNumberFormat="1" applyFont="1" applyFill="1" applyBorder="1" applyAlignment="1" applyProtection="1">
      <alignment horizontal="center" vertical="top" wrapText="1"/>
      <protection hidden="1"/>
    </xf>
    <xf numFmtId="3" fontId="1" fillId="2" borderId="12" xfId="2" applyNumberFormat="1" applyFill="1" applyBorder="1" applyProtection="1">
      <protection hidden="1"/>
    </xf>
    <xf numFmtId="3" fontId="1" fillId="2" borderId="8" xfId="2" applyNumberFormat="1" applyFill="1" applyBorder="1" applyProtection="1">
      <protection hidden="1"/>
    </xf>
    <xf numFmtId="164" fontId="1" fillId="2" borderId="10" xfId="2" applyNumberFormat="1" applyFill="1" applyBorder="1" applyProtection="1">
      <protection hidden="1"/>
    </xf>
    <xf numFmtId="3" fontId="3" fillId="2" borderId="2" xfId="1" applyNumberFormat="1" applyFont="1" applyFill="1" applyBorder="1" applyAlignment="1" applyProtection="1">
      <alignment horizontal="left" vertical="top" wrapText="1"/>
      <protection hidden="1"/>
    </xf>
    <xf numFmtId="3" fontId="3" fillId="3" borderId="3" xfId="1" applyNumberFormat="1" applyFont="1" applyFill="1" applyBorder="1" applyAlignment="1" applyProtection="1">
      <alignment horizontal="center" vertical="top" wrapText="1"/>
      <protection hidden="1"/>
    </xf>
    <xf numFmtId="3" fontId="3" fillId="3" borderId="4" xfId="1" applyNumberFormat="1" applyFont="1" applyFill="1" applyBorder="1" applyAlignment="1" applyProtection="1">
      <alignment horizontal="center" vertical="top" wrapText="1"/>
      <protection hidden="1"/>
    </xf>
    <xf numFmtId="3" fontId="3" fillId="3" borderId="13" xfId="1" applyNumberFormat="1" applyFont="1" applyFill="1" applyBorder="1" applyAlignment="1" applyProtection="1">
      <alignment horizontal="center" vertical="top" wrapText="1"/>
      <protection hidden="1"/>
    </xf>
    <xf numFmtId="3" fontId="3" fillId="3" borderId="14" xfId="1" applyNumberFormat="1" applyFont="1" applyFill="1" applyBorder="1" applyAlignment="1" applyProtection="1">
      <alignment horizontal="center" vertical="top" wrapText="1"/>
      <protection hidden="1"/>
    </xf>
    <xf numFmtId="3" fontId="2" fillId="3" borderId="0" xfId="1" applyNumberFormat="1" applyFont="1" applyFill="1" applyBorder="1" applyAlignment="1" applyProtection="1">
      <alignment horizontal="center" vertical="top" wrapText="1"/>
      <protection hidden="1"/>
    </xf>
    <xf numFmtId="3" fontId="3" fillId="2" borderId="8" xfId="2" applyNumberFormat="1" applyFont="1" applyFill="1" applyBorder="1" applyProtection="1">
      <protection hidden="1"/>
    </xf>
    <xf numFmtId="9" fontId="3" fillId="2" borderId="8" xfId="2" applyNumberFormat="1" applyFont="1" applyFill="1" applyBorder="1" applyProtection="1">
      <protection hidden="1"/>
    </xf>
    <xf numFmtId="3" fontId="3" fillId="2" borderId="12" xfId="2" applyNumberFormat="1" applyFont="1" applyFill="1" applyBorder="1" applyProtection="1">
      <protection hidden="1"/>
    </xf>
    <xf numFmtId="164" fontId="3" fillId="2" borderId="10" xfId="2" applyNumberFormat="1" applyFont="1" applyFill="1" applyBorder="1" applyProtection="1">
      <protection hidden="1"/>
    </xf>
    <xf numFmtId="0" fontId="2" fillId="0" borderId="7" xfId="2" applyFont="1" applyBorder="1" applyProtection="1">
      <protection hidden="1"/>
    </xf>
    <xf numFmtId="0" fontId="2" fillId="0" borderId="4" xfId="2" applyFont="1" applyBorder="1" applyProtection="1">
      <protection hidden="1"/>
    </xf>
    <xf numFmtId="3" fontId="1" fillId="0" borderId="8" xfId="2" applyNumberFormat="1" applyBorder="1" applyProtection="1">
      <protection hidden="1"/>
    </xf>
    <xf numFmtId="3" fontId="1" fillId="0" borderId="10" xfId="2" applyNumberFormat="1" applyBorder="1" applyProtection="1">
      <protection hidden="1"/>
    </xf>
    <xf numFmtId="3" fontId="2" fillId="0" borderId="0" xfId="1" applyNumberFormat="1" applyFont="1" applyFill="1" applyBorder="1" applyAlignment="1" applyProtection="1">
      <alignment horizontal="center" vertical="top" wrapText="1"/>
      <protection hidden="1"/>
    </xf>
    <xf numFmtId="3" fontId="0" fillId="2" borderId="0" xfId="0" applyNumberFormat="1" applyAlignment="1" applyProtection="1">
      <alignment horizontal="center"/>
      <protection hidden="1"/>
    </xf>
    <xf numFmtId="164" fontId="2" fillId="3" borderId="8" xfId="0" applyNumberFormat="1" applyFont="1" applyFill="1" applyBorder="1" applyAlignment="1" applyProtection="1">
      <alignment horizontal="center"/>
      <protection hidden="1"/>
    </xf>
    <xf numFmtId="3" fontId="2" fillId="3" borderId="5" xfId="1" applyNumberFormat="1" applyFont="1" applyFill="1" applyBorder="1" applyAlignment="1" applyProtection="1">
      <alignment horizontal="center" vertical="top" wrapText="1"/>
      <protection hidden="1"/>
    </xf>
    <xf numFmtId="3" fontId="0" fillId="2" borderId="0" xfId="0" applyNumberFormat="1" applyAlignment="1" applyProtection="1">
      <alignment horizontal="center" vertical="top"/>
      <protection hidden="1"/>
    </xf>
    <xf numFmtId="3" fontId="2" fillId="3" borderId="0" xfId="0" applyNumberFormat="1" applyFont="1" applyFill="1" applyAlignment="1" applyProtection="1">
      <alignment horizontal="center" vertical="top"/>
      <protection hidden="1"/>
    </xf>
    <xf numFmtId="3" fontId="0" fillId="0" borderId="0" xfId="0" applyNumberFormat="1" applyFill="1" applyAlignment="1" applyProtection="1">
      <alignment vertical="top"/>
      <protection hidden="1"/>
    </xf>
    <xf numFmtId="3" fontId="0" fillId="0" borderId="0" xfId="0" applyNumberFormat="1" applyFill="1" applyProtection="1">
      <protection hidden="1"/>
    </xf>
    <xf numFmtId="9" fontId="1" fillId="0" borderId="0" xfId="2" applyNumberFormat="1"/>
    <xf numFmtId="0" fontId="2" fillId="2" borderId="0" xfId="2" applyFont="1" applyFill="1" applyAlignment="1" applyProtection="1">
      <alignment horizontal="center"/>
      <protection hidden="1"/>
    </xf>
    <xf numFmtId="0" fontId="2" fillId="0" borderId="0" xfId="2" applyFont="1" applyProtection="1">
      <protection hidden="1"/>
    </xf>
    <xf numFmtId="0" fontId="5" fillId="0" borderId="0" xfId="2" applyFont="1" applyProtection="1">
      <protection hidden="1"/>
    </xf>
    <xf numFmtId="3" fontId="2" fillId="3" borderId="0" xfId="0" applyNumberFormat="1" applyFont="1" applyFill="1" applyAlignment="1" applyProtection="1">
      <alignment horizontal="center"/>
      <protection hidden="1"/>
    </xf>
    <xf numFmtId="3" fontId="3" fillId="2" borderId="0" xfId="0" applyNumberFormat="1" applyFont="1" applyAlignment="1" applyProtection="1">
      <alignment horizontal="center"/>
      <protection hidden="1"/>
    </xf>
    <xf numFmtId="3" fontId="2" fillId="0" borderId="0" xfId="0" applyNumberFormat="1" applyFont="1" applyFill="1" applyAlignment="1" applyProtection="1">
      <alignment horizontal="center" vertical="top"/>
      <protection hidden="1"/>
    </xf>
    <xf numFmtId="3" fontId="3" fillId="0" borderId="0" xfId="0" applyNumberFormat="1" applyFont="1" applyFill="1" applyAlignment="1" applyProtection="1">
      <alignment horizontal="center"/>
      <protection hidden="1"/>
    </xf>
    <xf numFmtId="3" fontId="2" fillId="0" borderId="5" xfId="1" applyNumberFormat="1" applyFont="1" applyFill="1" applyBorder="1" applyAlignment="1" applyProtection="1">
      <alignment horizontal="center" vertical="top" wrapText="1"/>
      <protection hidden="1"/>
    </xf>
    <xf numFmtId="3" fontId="2" fillId="0" borderId="12" xfId="1" applyNumberFormat="1" applyFont="1" applyFill="1" applyBorder="1" applyAlignment="1" applyProtection="1">
      <alignment horizontal="center" vertical="top" wrapText="1"/>
      <protection hidden="1"/>
    </xf>
    <xf numFmtId="3" fontId="2" fillId="2" borderId="12" xfId="1" applyNumberFormat="1" applyFont="1" applyFill="1" applyBorder="1" applyAlignment="1" applyProtection="1">
      <alignment horizontal="center" vertical="top" wrapText="1"/>
      <protection hidden="1"/>
    </xf>
    <xf numFmtId="3" fontId="2" fillId="0" borderId="2" xfId="1" applyNumberFormat="1" applyFont="1" applyFill="1" applyBorder="1" applyAlignment="1" applyProtection="1">
      <alignment horizontal="left" vertical="top" wrapText="1"/>
      <protection hidden="1"/>
    </xf>
    <xf numFmtId="3" fontId="6" fillId="2" borderId="0" xfId="1" applyNumberFormat="1" applyFont="1" applyFill="1" applyBorder="1" applyAlignment="1" applyProtection="1">
      <alignment horizontal="center" vertical="top" wrapText="1"/>
      <protection hidden="1"/>
    </xf>
    <xf numFmtId="3" fontId="3" fillId="2" borderId="0" xfId="0" applyNumberFormat="1" applyFont="1" applyProtection="1">
      <protection hidden="1"/>
    </xf>
    <xf numFmtId="0" fontId="2" fillId="2" borderId="4" xfId="2" applyFont="1" applyFill="1" applyBorder="1" applyAlignment="1" applyProtection="1">
      <alignment horizontal="right"/>
      <protection hidden="1"/>
    </xf>
    <xf numFmtId="9" fontId="1" fillId="0" borderId="0" xfId="2" applyNumberFormat="1" applyProtection="1">
      <protection hidden="1"/>
    </xf>
    <xf numFmtId="3" fontId="4" fillId="2" borderId="0" xfId="1" applyNumberFormat="1" applyFill="1" applyBorder="1" applyAlignment="1" applyProtection="1">
      <alignment vertical="top"/>
      <protection hidden="1"/>
    </xf>
    <xf numFmtId="3" fontId="3" fillId="2" borderId="0" xfId="1" applyNumberFormat="1" applyFont="1" applyFill="1" applyBorder="1" applyAlignment="1" applyProtection="1">
      <alignment vertical="top"/>
      <protection hidden="1"/>
    </xf>
    <xf numFmtId="9" fontId="3" fillId="2" borderId="0" xfId="1" applyNumberFormat="1" applyFont="1" applyFill="1" applyBorder="1" applyAlignment="1" applyProtection="1">
      <alignment horizontal="right" vertical="top" wrapText="1"/>
      <protection hidden="1"/>
    </xf>
    <xf numFmtId="3" fontId="2" fillId="2" borderId="0" xfId="1" applyNumberFormat="1" applyFont="1" applyFill="1" applyBorder="1" applyAlignment="1" applyProtection="1">
      <alignment horizontal="right" vertical="top" wrapText="1"/>
      <protection hidden="1"/>
    </xf>
    <xf numFmtId="3" fontId="3" fillId="2" borderId="8" xfId="1" applyNumberFormat="1" applyFont="1" applyFill="1" applyBorder="1" applyAlignment="1" applyProtection="1">
      <alignment horizontal="right" vertical="top" wrapText="1"/>
      <protection hidden="1"/>
    </xf>
    <xf numFmtId="9" fontId="3" fillId="2" borderId="10" xfId="1" applyNumberFormat="1" applyFont="1" applyFill="1" applyBorder="1" applyAlignment="1" applyProtection="1">
      <alignment horizontal="right" vertical="top" wrapText="1"/>
      <protection hidden="1"/>
    </xf>
    <xf numFmtId="3" fontId="2" fillId="2" borderId="3" xfId="1" applyNumberFormat="1" applyFont="1" applyFill="1" applyBorder="1" applyAlignment="1" applyProtection="1">
      <alignment horizontal="left" vertical="top" wrapText="1"/>
      <protection hidden="1"/>
    </xf>
    <xf numFmtId="3" fontId="2" fillId="2" borderId="4" xfId="1" applyNumberFormat="1" applyFont="1" applyFill="1" applyBorder="1" applyAlignment="1" applyProtection="1">
      <alignment horizontal="left" vertical="top" wrapText="1"/>
      <protection hidden="1"/>
    </xf>
    <xf numFmtId="3" fontId="2" fillId="2" borderId="5" xfId="1" applyNumberFormat="1" applyFont="1" applyFill="1" applyBorder="1" applyAlignment="1" applyProtection="1">
      <alignment horizontal="right" vertical="top" wrapText="1"/>
      <protection hidden="1"/>
    </xf>
    <xf numFmtId="3" fontId="2" fillId="2" borderId="7" xfId="1" applyNumberFormat="1" applyFont="1" applyFill="1" applyBorder="1" applyAlignment="1" applyProtection="1">
      <alignment horizontal="right" vertical="top" wrapText="1"/>
      <protection hidden="1"/>
    </xf>
    <xf numFmtId="3" fontId="2" fillId="2" borderId="4" xfId="1" applyNumberFormat="1" applyFont="1" applyFill="1" applyBorder="1" applyAlignment="1" applyProtection="1">
      <alignment horizontal="right" vertical="top" wrapText="1"/>
      <protection hidden="1"/>
    </xf>
    <xf numFmtId="3" fontId="3" fillId="2" borderId="7" xfId="1" applyNumberFormat="1" applyFont="1" applyFill="1" applyBorder="1" applyAlignment="1" applyProtection="1">
      <alignment horizontal="right" vertical="top" wrapText="1"/>
      <protection hidden="1"/>
    </xf>
    <xf numFmtId="9" fontId="3" fillId="2" borderId="4" xfId="1" applyNumberFormat="1" applyFont="1" applyFill="1" applyBorder="1" applyAlignment="1" applyProtection="1">
      <alignment horizontal="right" vertical="top" wrapText="1"/>
      <protection hidden="1"/>
    </xf>
    <xf numFmtId="3" fontId="2" fillId="2" borderId="9" xfId="1" applyNumberFormat="1" applyFont="1" applyFill="1" applyBorder="1" applyAlignment="1" applyProtection="1">
      <alignment horizontal="right" vertical="top" wrapText="1"/>
      <protection hidden="1"/>
    </xf>
    <xf numFmtId="3" fontId="2" fillId="3" borderId="5" xfId="1" applyNumberFormat="1" applyFont="1" applyFill="1" applyBorder="1" applyAlignment="1" applyProtection="1">
      <alignment horizontal="right" vertical="top" wrapText="1"/>
      <protection hidden="1"/>
    </xf>
    <xf numFmtId="3" fontId="3" fillId="3" borderId="7" xfId="1" applyNumberFormat="1" applyFont="1" applyFill="1" applyBorder="1" applyAlignment="1" applyProtection="1">
      <alignment horizontal="right" vertical="top" wrapText="1"/>
      <protection hidden="1"/>
    </xf>
    <xf numFmtId="9" fontId="3" fillId="3" borderId="4" xfId="1" applyNumberFormat="1" applyFont="1" applyFill="1" applyBorder="1" applyAlignment="1" applyProtection="1">
      <alignment horizontal="right" vertical="top" wrapText="1"/>
      <protection hidden="1"/>
    </xf>
    <xf numFmtId="3" fontId="3" fillId="2" borderId="3" xfId="1" applyNumberFormat="1" applyFont="1" applyFill="1" applyBorder="1" applyAlignment="1" applyProtection="1">
      <alignment horizontal="right" vertical="top" wrapText="1"/>
      <protection hidden="1"/>
    </xf>
    <xf numFmtId="3" fontId="3" fillId="3" borderId="3" xfId="1" applyNumberFormat="1" applyFont="1" applyFill="1" applyBorder="1" applyAlignment="1" applyProtection="1">
      <alignment horizontal="right" vertical="top" wrapText="1"/>
      <protection hidden="1"/>
    </xf>
    <xf numFmtId="4" fontId="3" fillId="3" borderId="12" xfId="1" applyNumberFormat="1" applyFont="1" applyFill="1" applyBorder="1" applyAlignment="1" applyProtection="1">
      <alignment horizontal="center" vertical="top" wrapText="1"/>
      <protection hidden="1"/>
    </xf>
    <xf numFmtId="4" fontId="3" fillId="3" borderId="10" xfId="1" applyNumberFormat="1" applyFont="1" applyFill="1" applyBorder="1" applyAlignment="1" applyProtection="1">
      <alignment horizontal="center" vertical="top" wrapText="1"/>
      <protection hidden="1"/>
    </xf>
    <xf numFmtId="3" fontId="3" fillId="3" borderId="5" xfId="1" applyNumberFormat="1" applyFont="1" applyFill="1" applyBorder="1" applyAlignment="1" applyProtection="1">
      <alignment horizontal="center" vertical="top" wrapText="1"/>
      <protection hidden="1"/>
    </xf>
    <xf numFmtId="3" fontId="0" fillId="2" borderId="2" xfId="0" applyNumberFormat="1" applyBorder="1" applyProtection="1">
      <protection hidden="1"/>
    </xf>
    <xf numFmtId="3" fontId="3" fillId="0" borderId="2" xfId="1" applyNumberFormat="1" applyFont="1" applyFill="1" applyBorder="1" applyAlignment="1" applyProtection="1">
      <alignment horizontal="right" vertical="top" wrapText="1"/>
      <protection hidden="1"/>
    </xf>
    <xf numFmtId="164" fontId="2" fillId="0" borderId="8" xfId="0" applyNumberFormat="1" applyFont="1" applyFill="1" applyBorder="1" applyAlignment="1" applyProtection="1">
      <alignment horizontal="center"/>
      <protection hidden="1"/>
    </xf>
    <xf numFmtId="3" fontId="2" fillId="0" borderId="2" xfId="1" applyNumberFormat="1" applyFont="1" applyFill="1" applyBorder="1" applyAlignment="1" applyProtection="1">
      <alignment horizontal="right" vertical="top" wrapText="1"/>
      <protection hidden="1"/>
    </xf>
    <xf numFmtId="3" fontId="4" fillId="2" borderId="4" xfId="1" applyNumberFormat="1" applyFill="1" applyBorder="1" applyAlignment="1" applyProtection="1">
      <alignment horizontal="right" vertical="top" wrapText="1"/>
      <protection hidden="1"/>
    </xf>
    <xf numFmtId="0" fontId="3" fillId="0" borderId="2" xfId="1" applyNumberFormat="1" applyFont="1" applyFill="1" applyBorder="1" applyAlignment="1" applyProtection="1">
      <alignment horizontal="center" vertical="top" wrapText="1"/>
      <protection hidden="1"/>
    </xf>
    <xf numFmtId="0" fontId="0" fillId="0" borderId="9" xfId="0" applyFill="1" applyBorder="1" applyAlignment="1" applyProtection="1">
      <alignment horizontal="left" vertical="top" wrapText="1"/>
      <protection hidden="1"/>
    </xf>
    <xf numFmtId="0" fontId="10" fillId="0" borderId="2" xfId="1" applyNumberFormat="1" applyFont="1" applyFill="1" applyBorder="1" applyAlignment="1" applyProtection="1">
      <alignment horizontal="left" vertical="top" wrapText="1"/>
      <protection hidden="1"/>
    </xf>
    <xf numFmtId="3" fontId="3" fillId="0" borderId="2" xfId="1" applyNumberFormat="1" applyFont="1" applyFill="1" applyBorder="1" applyAlignment="1" applyProtection="1">
      <alignment horizontal="center" vertical="top" wrapText="1"/>
      <protection hidden="1"/>
    </xf>
    <xf numFmtId="0" fontId="0" fillId="4" borderId="5" xfId="0" applyFill="1" applyBorder="1" applyAlignment="1" applyProtection="1">
      <alignment horizontal="justify" vertical="top" wrapText="1"/>
      <protection hidden="1"/>
    </xf>
    <xf numFmtId="3" fontId="10" fillId="0" borderId="2" xfId="1" applyNumberFormat="1" applyFont="1" applyFill="1" applyBorder="1" applyAlignment="1" applyProtection="1">
      <alignment vertical="top" wrapText="1"/>
      <protection hidden="1"/>
    </xf>
    <xf numFmtId="3" fontId="10" fillId="2" borderId="2" xfId="1" applyNumberFormat="1" applyFont="1" applyFill="1" applyBorder="1" applyAlignment="1" applyProtection="1">
      <alignment horizontal="right" vertical="top" wrapText="1"/>
      <protection hidden="1"/>
    </xf>
    <xf numFmtId="0" fontId="0" fillId="3" borderId="5" xfId="0" applyFill="1" applyBorder="1" applyAlignment="1" applyProtection="1">
      <alignment horizontal="justify" vertical="top" wrapText="1"/>
      <protection hidden="1"/>
    </xf>
    <xf numFmtId="0" fontId="0" fillId="3" borderId="3" xfId="0" applyFill="1" applyBorder="1" applyAlignment="1" applyProtection="1">
      <alignment horizontal="justify" vertical="top" wrapText="1"/>
      <protection hidden="1"/>
    </xf>
    <xf numFmtId="0" fontId="0" fillId="3" borderId="4" xfId="0" applyFill="1" applyBorder="1" applyAlignment="1" applyProtection="1">
      <alignment horizontal="justify" vertical="top" wrapText="1"/>
      <protection hidden="1"/>
    </xf>
    <xf numFmtId="0" fontId="0" fillId="4" borderId="4" xfId="0" applyFill="1" applyBorder="1" applyAlignment="1" applyProtection="1">
      <alignment horizontal="justify" vertical="top" wrapText="1"/>
      <protection hidden="1"/>
    </xf>
    <xf numFmtId="0" fontId="0" fillId="3" borderId="5" xfId="0" applyFill="1" applyBorder="1" applyAlignment="1" applyProtection="1">
      <alignment horizontal="left" vertical="top" wrapText="1"/>
      <protection hidden="1"/>
    </xf>
    <xf numFmtId="0" fontId="0" fillId="3" borderId="15" xfId="0" applyFill="1" applyBorder="1" applyAlignment="1" applyProtection="1">
      <alignment horizontal="justify" vertical="top" wrapText="1"/>
      <protection hidden="1"/>
    </xf>
    <xf numFmtId="0" fontId="0" fillId="2" borderId="2" xfId="0" applyBorder="1" applyAlignment="1" applyProtection="1">
      <alignment horizontal="justify" vertical="top" wrapText="1"/>
      <protection hidden="1"/>
    </xf>
    <xf numFmtId="0" fontId="3" fillId="2" borderId="11" xfId="1" applyNumberFormat="1" applyFont="1" applyFill="1" applyBorder="1" applyAlignment="1" applyProtection="1">
      <alignment horizontal="justify" vertical="top" wrapText="1"/>
      <protection hidden="1"/>
    </xf>
    <xf numFmtId="3" fontId="10" fillId="0" borderId="2" xfId="1" applyNumberFormat="1" applyFont="1" applyFill="1" applyBorder="1" applyAlignment="1" applyProtection="1">
      <alignment horizontal="right" vertical="top" wrapText="1"/>
      <protection hidden="1"/>
    </xf>
    <xf numFmtId="0" fontId="6" fillId="2" borderId="0" xfId="0" applyFont="1" applyProtection="1">
      <protection hidden="1"/>
    </xf>
    <xf numFmtId="15" fontId="6" fillId="2" borderId="0" xfId="0" applyNumberFormat="1" applyFont="1" applyProtection="1">
      <protection hidden="1"/>
    </xf>
    <xf numFmtId="0" fontId="10" fillId="2" borderId="2" xfId="0" applyFont="1" applyBorder="1" applyAlignment="1" applyProtection="1">
      <alignment horizontal="right" vertical="top" wrapText="1"/>
      <protection hidden="1"/>
    </xf>
    <xf numFmtId="0" fontId="10" fillId="2" borderId="2" xfId="0" applyFont="1" applyBorder="1" applyAlignment="1" applyProtection="1">
      <alignment vertical="top" wrapText="1"/>
      <protection hidden="1"/>
    </xf>
    <xf numFmtId="0" fontId="18" fillId="2" borderId="2" xfId="0" applyFont="1" applyBorder="1" applyAlignment="1" applyProtection="1">
      <alignment horizontal="right" vertical="top" wrapText="1"/>
      <protection hidden="1"/>
    </xf>
    <xf numFmtId="3" fontId="6" fillId="2" borderId="0" xfId="1" applyNumberFormat="1" applyFont="1" applyFill="1" applyBorder="1" applyAlignment="1" applyProtection="1">
      <alignment horizontal="left" vertical="top" wrapText="1"/>
      <protection hidden="1"/>
    </xf>
    <xf numFmtId="3" fontId="6" fillId="2" borderId="0" xfId="0" applyNumberFormat="1" applyFont="1" applyAlignment="1" applyProtection="1">
      <alignment horizontal="left"/>
      <protection hidden="1"/>
    </xf>
    <xf numFmtId="3" fontId="6" fillId="2" borderId="0" xfId="0" applyNumberFormat="1" applyFont="1" applyAlignment="1" applyProtection="1">
      <alignment horizontal="left" vertical="center" wrapText="1"/>
      <protection hidden="1"/>
    </xf>
    <xf numFmtId="0" fontId="0" fillId="2" borderId="8" xfId="0" applyBorder="1" applyProtection="1">
      <protection hidden="1"/>
    </xf>
    <xf numFmtId="0" fontId="0" fillId="2" borderId="0" xfId="0" applyAlignment="1" applyProtection="1">
      <alignment wrapText="1"/>
      <protection hidden="1"/>
    </xf>
    <xf numFmtId="0" fontId="0" fillId="2" borderId="8" xfId="0" applyBorder="1" applyAlignment="1" applyProtection="1">
      <alignment wrapText="1"/>
      <protection hidden="1"/>
    </xf>
    <xf numFmtId="0" fontId="3" fillId="2" borderId="0" xfId="0" applyFont="1" applyAlignment="1" applyProtection="1">
      <alignment wrapText="1"/>
      <protection hidden="1"/>
    </xf>
    <xf numFmtId="0" fontId="3" fillId="2" borderId="8" xfId="0" applyFont="1" applyBorder="1" applyAlignment="1" applyProtection="1">
      <alignment wrapText="1"/>
      <protection hidden="1"/>
    </xf>
    <xf numFmtId="0" fontId="2" fillId="3" borderId="0" xfId="0" applyFont="1" applyFill="1" applyAlignment="1" applyProtection="1">
      <alignment horizontal="center" vertical="top" wrapText="1"/>
      <protection hidden="1"/>
    </xf>
    <xf numFmtId="0" fontId="0" fillId="2" borderId="0" xfId="0" applyAlignment="1" applyProtection="1">
      <alignment vertical="top" wrapText="1"/>
      <protection hidden="1"/>
    </xf>
    <xf numFmtId="0" fontId="0" fillId="0" borderId="0" xfId="0" applyFill="1" applyAlignment="1" applyProtection="1">
      <alignment vertical="top" wrapText="1"/>
      <protection hidden="1"/>
    </xf>
    <xf numFmtId="0" fontId="3" fillId="0" borderId="0" xfId="0" applyFont="1" applyFill="1" applyAlignment="1" applyProtection="1">
      <alignment horizontal="center" vertical="top" wrapText="1"/>
      <protection hidden="1"/>
    </xf>
    <xf numFmtId="9" fontId="17" fillId="3" borderId="8" xfId="0" applyNumberFormat="1" applyFont="1" applyFill="1" applyBorder="1" applyAlignment="1" applyProtection="1">
      <alignment horizontal="center"/>
      <protection hidden="1"/>
    </xf>
    <xf numFmtId="0" fontId="3" fillId="2" borderId="0" xfId="0" applyFont="1" applyProtection="1">
      <protection hidden="1"/>
    </xf>
    <xf numFmtId="0" fontId="3" fillId="2" borderId="8" xfId="0" applyFont="1" applyBorder="1" applyProtection="1">
      <protection hidden="1"/>
    </xf>
    <xf numFmtId="0" fontId="2" fillId="0" borderId="5" xfId="2" applyFont="1" applyBorder="1" applyAlignment="1" applyProtection="1">
      <alignment horizontal="center"/>
      <protection hidden="1"/>
    </xf>
    <xf numFmtId="0" fontId="2" fillId="0" borderId="9" xfId="2" applyFont="1" applyBorder="1" applyAlignment="1" applyProtection="1">
      <alignment horizontal="center"/>
      <protection hidden="1"/>
    </xf>
    <xf numFmtId="0" fontId="2" fillId="0" borderId="3" xfId="2" applyFont="1" applyBorder="1" applyProtection="1">
      <protection hidden="1"/>
    </xf>
    <xf numFmtId="3" fontId="1" fillId="0" borderId="12" xfId="2" applyNumberFormat="1" applyBorder="1" applyProtection="1">
      <protection hidden="1"/>
    </xf>
    <xf numFmtId="10" fontId="2" fillId="0" borderId="0" xfId="2" applyNumberFormat="1" applyFont="1" applyProtection="1">
      <protection hidden="1"/>
    </xf>
    <xf numFmtId="0" fontId="2" fillId="0" borderId="0" xfId="2" applyFont="1" applyAlignment="1" applyProtection="1">
      <alignment horizontal="center" vertical="top"/>
      <protection hidden="1"/>
    </xf>
    <xf numFmtId="0" fontId="2" fillId="0" borderId="0" xfId="2" applyFont="1" applyAlignment="1" applyProtection="1">
      <alignment horizontal="center" vertical="top" wrapText="1"/>
      <protection hidden="1"/>
    </xf>
    <xf numFmtId="9" fontId="1" fillId="0" borderId="0" xfId="2" applyNumberFormat="1" applyAlignment="1" applyProtection="1">
      <alignment horizontal="right"/>
      <protection hidden="1"/>
    </xf>
    <xf numFmtId="3" fontId="1" fillId="0" borderId="0" xfId="2" applyNumberFormat="1" applyProtection="1">
      <protection hidden="1"/>
    </xf>
    <xf numFmtId="9" fontId="2" fillId="0" borderId="0" xfId="2" applyNumberFormat="1" applyFont="1" applyProtection="1">
      <protection hidden="1"/>
    </xf>
    <xf numFmtId="0" fontId="3" fillId="2" borderId="0" xfId="0" applyFont="1" applyAlignment="1" applyProtection="1">
      <alignment horizontal="right"/>
      <protection hidden="1"/>
    </xf>
    <xf numFmtId="0" fontId="2" fillId="0" borderId="0" xfId="0" applyFont="1" applyFill="1" applyAlignment="1" applyProtection="1">
      <alignment horizontal="center"/>
      <protection hidden="1"/>
    </xf>
    <xf numFmtId="0" fontId="3" fillId="2" borderId="0" xfId="0" applyFont="1" applyAlignment="1" applyProtection="1">
      <alignment horizontal="center"/>
      <protection hidden="1"/>
    </xf>
    <xf numFmtId="0" fontId="2" fillId="2" borderId="0" xfId="0" applyFont="1" applyAlignment="1" applyProtection="1">
      <alignment horizontal="center"/>
      <protection hidden="1"/>
    </xf>
    <xf numFmtId="9" fontId="2" fillId="0" borderId="8" xfId="0" applyNumberFormat="1" applyFont="1" applyFill="1" applyBorder="1" applyAlignment="1" applyProtection="1">
      <alignment horizontal="center"/>
      <protection hidden="1"/>
    </xf>
    <xf numFmtId="3" fontId="2" fillId="0" borderId="2" xfId="1" applyNumberFormat="1" applyFont="1" applyFill="1" applyBorder="1" applyAlignment="1" applyProtection="1">
      <alignment horizontal="center" vertical="top" wrapText="1"/>
      <protection hidden="1"/>
    </xf>
    <xf numFmtId="0" fontId="2" fillId="2" borderId="8" xfId="0" applyFont="1" applyBorder="1" applyAlignment="1" applyProtection="1">
      <alignment horizontal="center"/>
      <protection hidden="1"/>
    </xf>
    <xf numFmtId="3" fontId="3" fillId="4" borderId="0" xfId="1" applyNumberFormat="1" applyFont="1" applyFill="1" applyBorder="1" applyAlignment="1" applyProtection="1">
      <alignment horizontal="center" vertical="top" wrapText="1"/>
      <protection locked="0" hidden="1"/>
    </xf>
    <xf numFmtId="3" fontId="2" fillId="4" borderId="5" xfId="1" applyNumberFormat="1" applyFont="1" applyFill="1" applyBorder="1" applyAlignment="1" applyProtection="1">
      <alignment horizontal="center" vertical="top" wrapText="1"/>
      <protection locked="0" hidden="1"/>
    </xf>
    <xf numFmtId="3" fontId="3" fillId="4" borderId="3" xfId="1" applyNumberFormat="1" applyFont="1" applyFill="1" applyBorder="1" applyAlignment="1" applyProtection="1">
      <alignment horizontal="center" vertical="top" wrapText="1"/>
      <protection locked="0" hidden="1"/>
    </xf>
    <xf numFmtId="3" fontId="3" fillId="4" borderId="4" xfId="1" applyNumberFormat="1" applyFont="1" applyFill="1" applyBorder="1" applyAlignment="1" applyProtection="1">
      <alignment horizontal="center" vertical="top" wrapText="1"/>
      <protection locked="0" hidden="1"/>
    </xf>
    <xf numFmtId="3" fontId="4" fillId="4" borderId="2" xfId="1" applyNumberFormat="1" applyFill="1" applyBorder="1" applyAlignment="1" applyProtection="1">
      <alignment horizontal="right" vertical="top" wrapText="1"/>
      <protection locked="0" hidden="1"/>
    </xf>
    <xf numFmtId="3" fontId="4" fillId="4" borderId="2" xfId="1" applyNumberFormat="1" applyFill="1" applyBorder="1" applyAlignment="1" applyProtection="1">
      <alignment horizontal="left" vertical="top" wrapText="1"/>
      <protection locked="0" hidden="1"/>
    </xf>
    <xf numFmtId="3" fontId="2" fillId="2" borderId="7" xfId="2" applyNumberFormat="1" applyFont="1" applyFill="1" applyBorder="1" applyAlignment="1" applyProtection="1">
      <alignment horizontal="left"/>
      <protection hidden="1"/>
    </xf>
    <xf numFmtId="0" fontId="16" fillId="2" borderId="0" xfId="0" applyFont="1" applyProtection="1">
      <protection hidden="1"/>
    </xf>
    <xf numFmtId="0" fontId="0" fillId="2" borderId="0" xfId="0" applyAlignment="1">
      <alignment horizontal="left"/>
    </xf>
    <xf numFmtId="49" fontId="19" fillId="2" borderId="0" xfId="1" applyNumberFormat="1" applyFont="1" applyFill="1" applyAlignment="1" applyProtection="1">
      <alignment horizontal="left"/>
      <protection hidden="1"/>
    </xf>
    <xf numFmtId="0" fontId="6" fillId="2" borderId="0" xfId="1" applyNumberFormat="1" applyFont="1" applyFill="1" applyAlignment="1" applyProtection="1">
      <alignment horizontal="left"/>
      <protection hidden="1"/>
    </xf>
    <xf numFmtId="49" fontId="8" fillId="0" borderId="0" xfId="4" applyNumberFormat="1" applyFont="1" applyFill="1" applyAlignment="1" applyProtection="1">
      <alignment horizontal="center" vertical="top"/>
      <protection hidden="1"/>
    </xf>
    <xf numFmtId="49" fontId="9" fillId="0" borderId="0" xfId="1" applyNumberFormat="1" applyFont="1" applyFill="1" applyBorder="1" applyAlignment="1" applyProtection="1">
      <alignment horizontal="center" vertical="top" wrapText="1"/>
      <protection hidden="1"/>
    </xf>
    <xf numFmtId="49" fontId="8" fillId="0" borderId="0" xfId="4" applyNumberFormat="1" applyFont="1" applyFill="1" applyAlignment="1" applyProtection="1">
      <alignment horizontal="center" vertical="top" wrapText="1"/>
      <protection hidden="1"/>
    </xf>
    <xf numFmtId="49" fontId="15" fillId="0" borderId="0" xfId="1" applyNumberFormat="1" applyFont="1" applyFill="1" applyBorder="1" applyAlignment="1" applyProtection="1">
      <alignment horizontal="center" vertical="top" wrapText="1"/>
      <protection hidden="1"/>
    </xf>
    <xf numFmtId="0" fontId="20" fillId="0" borderId="0" xfId="1" applyNumberFormat="1" applyFont="1" applyFill="1" applyBorder="1" applyAlignment="1" applyProtection="1">
      <protection hidden="1"/>
    </xf>
    <xf numFmtId="0" fontId="16" fillId="0" borderId="0" xfId="1" applyNumberFormat="1" applyFont="1" applyFill="1" applyBorder="1" applyAlignment="1" applyProtection="1">
      <protection hidden="1"/>
    </xf>
    <xf numFmtId="49" fontId="8" fillId="0" borderId="0" xfId="1" applyNumberFormat="1" applyFont="1" applyFill="1" applyBorder="1" applyAlignment="1" applyProtection="1">
      <alignment horizontal="center" vertical="top" wrapText="1"/>
      <protection hidden="1"/>
    </xf>
    <xf numFmtId="49" fontId="7" fillId="0" borderId="0" xfId="4" applyNumberFormat="1" applyFont="1" applyFill="1" applyAlignment="1" applyProtection="1">
      <alignment horizontal="center" vertical="top" wrapText="1"/>
      <protection hidden="1"/>
    </xf>
    <xf numFmtId="0" fontId="6" fillId="2" borderId="0" xfId="0" applyFont="1"/>
    <xf numFmtId="0" fontId="21" fillId="2" borderId="16" xfId="0" applyFont="1" applyBorder="1" applyAlignment="1" applyProtection="1">
      <alignment horizontal="center"/>
      <protection hidden="1"/>
    </xf>
    <xf numFmtId="49" fontId="22" fillId="0" borderId="1" xfId="4" applyNumberFormat="1" applyFont="1" applyFill="1" applyBorder="1" applyAlignment="1" applyProtection="1">
      <alignment horizontal="center" vertical="top" wrapText="1"/>
      <protection hidden="1"/>
    </xf>
    <xf numFmtId="49" fontId="23" fillId="0" borderId="1" xfId="4" applyNumberFormat="1" applyFont="1" applyFill="1" applyBorder="1" applyAlignment="1" applyProtection="1">
      <alignment horizontal="center" vertical="top" wrapText="1"/>
      <protection hidden="1"/>
    </xf>
    <xf numFmtId="49" fontId="3" fillId="0" borderId="1" xfId="4" applyNumberFormat="1" applyFont="1" applyFill="1" applyBorder="1" applyAlignment="1" applyProtection="1">
      <alignment horizontal="center" vertical="top" wrapText="1"/>
      <protection hidden="1"/>
    </xf>
    <xf numFmtId="0" fontId="2" fillId="0" borderId="1" xfId="6" applyFont="1" applyBorder="1" applyAlignment="1" applyProtection="1">
      <alignment horizontal="left" vertical="top"/>
      <protection hidden="1"/>
    </xf>
    <xf numFmtId="0" fontId="24" fillId="0" borderId="1" xfId="6" applyFont="1" applyBorder="1" applyAlignment="1" applyProtection="1">
      <alignment horizontal="center" vertical="top"/>
      <protection hidden="1"/>
    </xf>
    <xf numFmtId="0" fontId="13" fillId="0" borderId="1" xfId="6" applyFont="1" applyBorder="1" applyAlignment="1" applyProtection="1">
      <alignment horizontal="center" vertical="top"/>
      <protection hidden="1"/>
    </xf>
    <xf numFmtId="0" fontId="2" fillId="0" borderId="1" xfId="6" applyFont="1" applyBorder="1" applyAlignment="1" applyProtection="1">
      <alignment horizontal="center" vertical="top" wrapText="1"/>
      <protection hidden="1"/>
    </xf>
    <xf numFmtId="0" fontId="10" fillId="0" borderId="1" xfId="1" applyFont="1" applyFill="1" applyBorder="1" applyAlignment="1" applyProtection="1">
      <alignment horizontal="center" vertical="top" wrapText="1"/>
      <protection hidden="1"/>
    </xf>
    <xf numFmtId="0" fontId="7" fillId="0" borderId="1" xfId="6" applyFont="1" applyBorder="1" applyAlignment="1" applyProtection="1">
      <alignment horizontal="center" vertical="top" wrapText="1"/>
      <protection hidden="1"/>
    </xf>
    <xf numFmtId="0" fontId="1" fillId="0" borderId="1" xfId="6" applyBorder="1" applyAlignment="1" applyProtection="1">
      <alignment horizontal="left" vertical="top" wrapText="1"/>
      <protection hidden="1"/>
    </xf>
    <xf numFmtId="49" fontId="10" fillId="2" borderId="1" xfId="1" applyNumberFormat="1" applyFont="1" applyFill="1" applyBorder="1" applyAlignment="1" applyProtection="1">
      <alignment horizontal="center" vertical="top" wrapText="1"/>
      <protection hidden="1"/>
    </xf>
    <xf numFmtId="0" fontId="25" fillId="0" borderId="1" xfId="6" applyFont="1" applyBorder="1" applyAlignment="1" applyProtection="1">
      <alignment horizontal="center" vertical="top" wrapText="1"/>
      <protection hidden="1"/>
    </xf>
    <xf numFmtId="49" fontId="26" fillId="2" borderId="1" xfId="1" applyNumberFormat="1" applyFont="1" applyFill="1" applyBorder="1" applyAlignment="1" applyProtection="1">
      <alignment horizontal="center" vertical="top" wrapText="1"/>
      <protection hidden="1"/>
    </xf>
    <xf numFmtId="0" fontId="27" fillId="0" borderId="17" xfId="6" applyFont="1" applyBorder="1" applyAlignment="1" applyProtection="1">
      <alignment horizontal="center" vertical="top" wrapText="1"/>
      <protection hidden="1"/>
    </xf>
    <xf numFmtId="0" fontId="10" fillId="0" borderId="1" xfId="1" applyFont="1" applyBorder="1" applyAlignment="1" applyProtection="1">
      <alignment horizontal="center" vertical="top" wrapText="1"/>
      <protection hidden="1"/>
    </xf>
    <xf numFmtId="0" fontId="25" fillId="0" borderId="18" xfId="6" applyFont="1" applyBorder="1" applyAlignment="1" applyProtection="1">
      <alignment horizontal="center" vertical="top" wrapText="1"/>
      <protection hidden="1"/>
    </xf>
    <xf numFmtId="0" fontId="21" fillId="2" borderId="19" xfId="0" applyFont="1" applyBorder="1" applyAlignment="1" applyProtection="1">
      <alignment horizontal="center" vertical="top" wrapText="1"/>
      <protection hidden="1"/>
    </xf>
    <xf numFmtId="0" fontId="19" fillId="2" borderId="0" xfId="1" applyNumberFormat="1" applyFont="1" applyFill="1" applyAlignment="1" applyProtection="1">
      <protection hidden="1"/>
    </xf>
    <xf numFmtId="0" fontId="6" fillId="2" borderId="0" xfId="1" applyNumberFormat="1" applyFont="1" applyFill="1" applyAlignment="1" applyProtection="1">
      <protection hidden="1"/>
    </xf>
    <xf numFmtId="0" fontId="6" fillId="2" borderId="0" xfId="0" applyFont="1" applyAlignment="1" applyProtection="1">
      <alignment vertical="top"/>
      <protection hidden="1"/>
    </xf>
    <xf numFmtId="0" fontId="6" fillId="2" borderId="0" xfId="4" applyFont="1" applyProtection="1">
      <alignment vertical="top"/>
      <protection hidden="1"/>
    </xf>
    <xf numFmtId="49" fontId="21" fillId="0" borderId="16" xfId="4" applyNumberFormat="1" applyFont="1" applyFill="1" applyBorder="1" applyAlignment="1" applyProtection="1">
      <alignment horizontal="center" vertical="top" wrapText="1"/>
      <protection hidden="1"/>
    </xf>
    <xf numFmtId="0" fontId="1" fillId="0" borderId="0" xfId="6" applyAlignment="1" applyProtection="1">
      <alignment horizontal="left" vertical="top"/>
      <protection hidden="1"/>
    </xf>
    <xf numFmtId="0" fontId="13" fillId="0" borderId="0" xfId="6" applyFont="1" applyAlignment="1" applyProtection="1">
      <alignment horizontal="left" vertical="top"/>
      <protection hidden="1"/>
    </xf>
    <xf numFmtId="0" fontId="13" fillId="0" borderId="20" xfId="6" applyFont="1" applyBorder="1" applyAlignment="1" applyProtection="1">
      <alignment vertical="top"/>
      <protection hidden="1"/>
    </xf>
    <xf numFmtId="0" fontId="13" fillId="0" borderId="0" xfId="6" applyFont="1" applyAlignment="1" applyProtection="1">
      <alignment vertical="top"/>
      <protection hidden="1"/>
    </xf>
    <xf numFmtId="0" fontId="1" fillId="2" borderId="20" xfId="4" applyBorder="1" applyProtection="1">
      <alignment vertical="top"/>
      <protection hidden="1"/>
    </xf>
    <xf numFmtId="0" fontId="3" fillId="0" borderId="1" xfId="6" applyFont="1" applyBorder="1" applyAlignment="1" applyProtection="1">
      <alignment horizontal="center" vertical="top" wrapText="1"/>
      <protection hidden="1"/>
    </xf>
    <xf numFmtId="0" fontId="1" fillId="0" borderId="0" xfId="6" applyAlignment="1" applyProtection="1">
      <alignment horizontal="left" vertical="top" wrapText="1"/>
      <protection hidden="1"/>
    </xf>
    <xf numFmtId="0" fontId="1" fillId="2" borderId="0" xfId="4" applyAlignment="1">
      <alignment horizontal="center" vertical="top" wrapText="1"/>
    </xf>
    <xf numFmtId="0" fontId="1" fillId="0" borderId="0" xfId="6" applyAlignment="1" applyProtection="1">
      <alignment horizontal="center" vertical="top" wrapText="1"/>
      <protection hidden="1"/>
    </xf>
    <xf numFmtId="0" fontId="12" fillId="0" borderId="0" xfId="6" applyFont="1" applyAlignment="1" applyProtection="1">
      <alignment horizontal="center" vertical="top" wrapText="1"/>
      <protection hidden="1"/>
    </xf>
    <xf numFmtId="0" fontId="1" fillId="0" borderId="1" xfId="6" applyBorder="1" applyAlignment="1" applyProtection="1">
      <alignment horizontal="center" vertical="top" wrapText="1"/>
      <protection hidden="1"/>
    </xf>
    <xf numFmtId="0" fontId="2" fillId="0" borderId="0" xfId="6" applyFont="1" applyAlignment="1" applyProtection="1">
      <alignment horizontal="center" vertical="top" wrapText="1"/>
      <protection hidden="1"/>
    </xf>
    <xf numFmtId="49" fontId="18" fillId="0" borderId="1" xfId="1" applyNumberFormat="1" applyFont="1" applyFill="1" applyBorder="1" applyAlignment="1" applyProtection="1">
      <alignment horizontal="center" vertical="top" wrapText="1"/>
      <protection hidden="1"/>
    </xf>
    <xf numFmtId="0" fontId="28" fillId="0" borderId="1" xfId="1" applyFont="1" applyBorder="1" applyAlignment="1" applyProtection="1">
      <alignment horizontal="center" vertical="top" wrapText="1"/>
      <protection hidden="1"/>
    </xf>
    <xf numFmtId="0" fontId="27" fillId="0" borderId="21" xfId="6" applyFont="1" applyBorder="1" applyAlignment="1" applyProtection="1">
      <alignment horizontal="center" vertical="top" wrapText="1"/>
      <protection hidden="1"/>
    </xf>
    <xf numFmtId="0" fontId="7" fillId="0" borderId="22" xfId="1" applyFont="1" applyBorder="1" applyAlignment="1" applyProtection="1">
      <alignment horizontal="center" vertical="top" wrapText="1"/>
      <protection hidden="1"/>
    </xf>
    <xf numFmtId="0" fontId="2" fillId="0" borderId="1" xfId="6" applyFont="1" applyBorder="1" applyAlignment="1" applyProtection="1">
      <alignment horizontal="left" vertical="top" wrapText="1"/>
      <protection hidden="1"/>
    </xf>
    <xf numFmtId="0" fontId="1" fillId="0" borderId="1" xfId="6" applyBorder="1" applyAlignment="1" applyProtection="1">
      <alignment horizontal="justify" vertical="top" wrapText="1"/>
      <protection hidden="1"/>
    </xf>
    <xf numFmtId="0" fontId="1" fillId="2" borderId="1" xfId="4" applyBorder="1">
      <alignment vertical="top"/>
    </xf>
    <xf numFmtId="0" fontId="1" fillId="2" borderId="1" xfId="4" applyBorder="1" applyAlignment="1" applyProtection="1">
      <alignment horizontal="justify" vertical="top" wrapText="1"/>
      <protection hidden="1"/>
    </xf>
    <xf numFmtId="4" fontId="2" fillId="2" borderId="1" xfId="4" applyNumberFormat="1" applyFont="1" applyBorder="1" applyAlignment="1" applyProtection="1">
      <alignment horizontal="center" vertical="top" wrapText="1"/>
      <protection hidden="1"/>
    </xf>
    <xf numFmtId="4" fontId="7" fillId="2" borderId="1" xfId="4" applyNumberFormat="1" applyFont="1" applyBorder="1" applyAlignment="1" applyProtection="1">
      <alignment horizontal="center" vertical="top" wrapText="1"/>
      <protection hidden="1"/>
    </xf>
    <xf numFmtId="49" fontId="2" fillId="2" borderId="1" xfId="4" applyNumberFormat="1" applyFont="1" applyBorder="1" applyAlignment="1" applyProtection="1">
      <alignment horizontal="left" vertical="top" wrapText="1" indent="1"/>
      <protection hidden="1"/>
    </xf>
    <xf numFmtId="49" fontId="2" fillId="2" borderId="1" xfId="4" applyNumberFormat="1" applyFont="1" applyBorder="1" applyAlignment="1" applyProtection="1">
      <alignment horizontal="left" vertical="top" wrapText="1"/>
      <protection hidden="1"/>
    </xf>
    <xf numFmtId="0" fontId="21" fillId="0" borderId="16" xfId="4" applyFont="1" applyFill="1" applyBorder="1" applyAlignment="1" applyProtection="1">
      <alignment horizontal="center" vertical="top" wrapText="1"/>
      <protection hidden="1"/>
    </xf>
    <xf numFmtId="0" fontId="1" fillId="0" borderId="0" xfId="5" applyFill="1" applyProtection="1">
      <protection hidden="1"/>
    </xf>
    <xf numFmtId="0" fontId="1" fillId="2" borderId="0" xfId="5"/>
    <xf numFmtId="0" fontId="8" fillId="0" borderId="0" xfId="5" applyFont="1" applyFill="1" applyAlignment="1" applyProtection="1">
      <alignment horizontal="center"/>
      <protection hidden="1"/>
    </xf>
    <xf numFmtId="49" fontId="14" fillId="0" borderId="0" xfId="5" applyNumberFormat="1" applyFont="1" applyFill="1" applyAlignment="1" applyProtection="1">
      <alignment horizontal="center" vertical="top" wrapText="1"/>
      <protection hidden="1"/>
    </xf>
    <xf numFmtId="0" fontId="14" fillId="0" borderId="0" xfId="5" applyFont="1" applyFill="1" applyProtection="1">
      <protection hidden="1"/>
    </xf>
    <xf numFmtId="49" fontId="7" fillId="0" borderId="0" xfId="5" applyNumberFormat="1" applyFont="1" applyFill="1" applyAlignment="1" applyProtection="1">
      <alignment horizontal="center" vertical="top" wrapText="1"/>
      <protection hidden="1"/>
    </xf>
    <xf numFmtId="49" fontId="2" fillId="0" borderId="0" xfId="5" applyNumberFormat="1" applyFont="1" applyFill="1" applyAlignment="1" applyProtection="1">
      <alignment horizontal="center" vertical="top" wrapText="1"/>
      <protection hidden="1"/>
    </xf>
    <xf numFmtId="0" fontId="6" fillId="0" borderId="0" xfId="5" applyFont="1" applyFill="1" applyProtection="1">
      <protection hidden="1"/>
    </xf>
    <xf numFmtId="3" fontId="17" fillId="0" borderId="0" xfId="5" applyNumberFormat="1" applyFont="1" applyFill="1" applyAlignment="1" applyProtection="1">
      <alignment horizontal="center" vertical="top"/>
      <protection hidden="1"/>
    </xf>
    <xf numFmtId="15" fontId="6" fillId="0" borderId="0" xfId="5" applyNumberFormat="1" applyFont="1" applyFill="1" applyProtection="1">
      <protection hidden="1"/>
    </xf>
    <xf numFmtId="0" fontId="16" fillId="0" borderId="0" xfId="5" applyFont="1" applyFill="1" applyProtection="1">
      <protection hidden="1"/>
    </xf>
    <xf numFmtId="0" fontId="16" fillId="0" borderId="0" xfId="5" applyFont="1" applyFill="1" applyAlignment="1" applyProtection="1">
      <alignment vertical="top"/>
      <protection hidden="1"/>
    </xf>
    <xf numFmtId="0" fontId="6" fillId="2" borderId="0" xfId="5" applyFont="1" applyProtection="1">
      <protection hidden="1"/>
    </xf>
    <xf numFmtId="0" fontId="1" fillId="2" borderId="0" xfId="5" applyProtection="1">
      <protection hidden="1"/>
    </xf>
    <xf numFmtId="0" fontId="16" fillId="2" borderId="0" xfId="5" applyFont="1" applyProtection="1">
      <protection hidden="1"/>
    </xf>
    <xf numFmtId="0" fontId="16" fillId="2" borderId="0" xfId="5" applyFont="1" applyAlignment="1" applyProtection="1">
      <alignment horizontal="left"/>
      <protection hidden="1"/>
    </xf>
    <xf numFmtId="22" fontId="6" fillId="2" borderId="0" xfId="0" applyNumberFormat="1" applyFont="1"/>
    <xf numFmtId="0" fontId="6" fillId="2" borderId="0" xfId="5" applyFont="1" applyAlignment="1" applyProtection="1">
      <alignment horizontal="left"/>
      <protection hidden="1"/>
    </xf>
    <xf numFmtId="0" fontId="6" fillId="2" borderId="0" xfId="5" applyFont="1" applyAlignment="1" applyProtection="1">
      <alignment horizontal="left" vertical="top"/>
      <protection hidden="1"/>
    </xf>
    <xf numFmtId="49" fontId="6" fillId="2" borderId="0" xfId="5" applyNumberFormat="1" applyFont="1" applyAlignment="1" applyProtection="1">
      <alignment horizontal="left"/>
      <protection hidden="1"/>
    </xf>
    <xf numFmtId="49" fontId="2" fillId="3" borderId="7" xfId="0" applyNumberFormat="1" applyFont="1" applyFill="1" applyBorder="1" applyAlignment="1" applyProtection="1">
      <alignment horizontal="justify" vertical="top" wrapText="1"/>
      <protection hidden="1"/>
    </xf>
    <xf numFmtId="2" fontId="1" fillId="2" borderId="1" xfId="4" applyNumberFormat="1" applyBorder="1" applyAlignment="1" applyProtection="1">
      <alignment horizontal="justify" vertical="top"/>
      <protection hidden="1"/>
    </xf>
    <xf numFmtId="0" fontId="29" fillId="2" borderId="1" xfId="0" applyFont="1" applyBorder="1" applyAlignment="1">
      <alignment horizontal="justify" vertical="top" wrapText="1"/>
    </xf>
    <xf numFmtId="3" fontId="3" fillId="5" borderId="0" xfId="1" applyNumberFormat="1" applyFont="1" applyFill="1" applyBorder="1" applyAlignment="1" applyProtection="1">
      <alignment horizontal="center" vertical="top" wrapText="1"/>
      <protection hidden="1"/>
    </xf>
    <xf numFmtId="3" fontId="2" fillId="5" borderId="5" xfId="1" applyNumberFormat="1" applyFont="1" applyFill="1" applyBorder="1" applyAlignment="1" applyProtection="1">
      <alignment horizontal="center" vertical="top" wrapText="1"/>
      <protection hidden="1"/>
    </xf>
    <xf numFmtId="3" fontId="3" fillId="5" borderId="5" xfId="1" applyNumberFormat="1" applyFont="1" applyFill="1" applyBorder="1" applyAlignment="1" applyProtection="1">
      <alignment horizontal="center" vertical="top" wrapText="1"/>
      <protection hidden="1"/>
    </xf>
    <xf numFmtId="3" fontId="3" fillId="5" borderId="3" xfId="1" applyNumberFormat="1" applyFont="1" applyFill="1" applyBorder="1" applyAlignment="1" applyProtection="1">
      <alignment horizontal="center" vertical="top" wrapText="1"/>
      <protection hidden="1"/>
    </xf>
    <xf numFmtId="3" fontId="3" fillId="5" borderId="7" xfId="1" applyNumberFormat="1" applyFont="1" applyFill="1" applyBorder="1" applyAlignment="1" applyProtection="1">
      <alignment horizontal="center" vertical="top" wrapText="1"/>
      <protection hidden="1"/>
    </xf>
    <xf numFmtId="0" fontId="1" fillId="2" borderId="0" xfId="7" applyProtection="1">
      <protection hidden="1"/>
    </xf>
    <xf numFmtId="0" fontId="1" fillId="2" borderId="0" xfId="7"/>
    <xf numFmtId="0" fontId="21" fillId="2" borderId="16" xfId="7" applyFont="1" applyBorder="1" applyAlignment="1" applyProtection="1">
      <alignment horizontal="center"/>
      <protection hidden="1"/>
    </xf>
    <xf numFmtId="49" fontId="2" fillId="2" borderId="1" xfId="7" applyNumberFormat="1" applyFont="1" applyBorder="1" applyAlignment="1" applyProtection="1">
      <alignment horizontal="center" vertical="top" wrapText="1"/>
      <protection hidden="1"/>
    </xf>
    <xf numFmtId="49" fontId="13" fillId="2" borderId="1" xfId="7" applyNumberFormat="1" applyFont="1" applyBorder="1" applyAlignment="1" applyProtection="1">
      <alignment horizontal="center" vertical="top" wrapText="1"/>
      <protection hidden="1"/>
    </xf>
    <xf numFmtId="0" fontId="1" fillId="2" borderId="1" xfId="7" applyBorder="1" applyProtection="1">
      <protection hidden="1"/>
    </xf>
    <xf numFmtId="49" fontId="1" fillId="2" borderId="1" xfId="7" applyNumberFormat="1" applyBorder="1" applyAlignment="1" applyProtection="1">
      <alignment horizontal="center" vertical="top" wrapText="1"/>
      <protection hidden="1"/>
    </xf>
    <xf numFmtId="49" fontId="4" fillId="2" borderId="1" xfId="8" applyNumberFormat="1" applyFill="1" applyBorder="1" applyAlignment="1" applyProtection="1">
      <alignment horizontal="center" vertical="top" wrapText="1"/>
      <protection hidden="1"/>
    </xf>
    <xf numFmtId="0" fontId="21" fillId="2" borderId="23" xfId="7" applyFont="1" applyBorder="1" applyAlignment="1" applyProtection="1">
      <alignment horizontal="center" vertical="top" wrapText="1"/>
      <protection hidden="1"/>
    </xf>
    <xf numFmtId="3" fontId="17" fillId="2" borderId="0" xfId="7" applyNumberFormat="1" applyFont="1" applyAlignment="1" applyProtection="1">
      <alignment horizontal="center" vertical="top"/>
      <protection hidden="1"/>
    </xf>
    <xf numFmtId="49" fontId="9" fillId="0" borderId="0" xfId="8" applyNumberFormat="1" applyFont="1" applyBorder="1" applyAlignment="1" applyProtection="1">
      <alignment horizontal="center" vertical="top" wrapText="1"/>
      <protection hidden="1"/>
    </xf>
    <xf numFmtId="49" fontId="9" fillId="2" borderId="0" xfId="8" applyNumberFormat="1" applyFont="1" applyFill="1" applyAlignment="1" applyProtection="1">
      <alignment horizontal="center" vertical="top" wrapText="1"/>
      <protection hidden="1"/>
    </xf>
    <xf numFmtId="49" fontId="8" fillId="2" borderId="0" xfId="8" applyNumberFormat="1" applyFont="1" applyFill="1" applyAlignment="1" applyProtection="1">
      <alignment horizontal="center" vertical="top" wrapText="1"/>
      <protection hidden="1"/>
    </xf>
    <xf numFmtId="3" fontId="8" fillId="2" borderId="0" xfId="1" applyNumberFormat="1" applyFont="1" applyFill="1" applyAlignment="1" applyProtection="1">
      <alignment horizontal="center" vertical="top"/>
      <protection hidden="1"/>
    </xf>
    <xf numFmtId="3" fontId="9" fillId="2" borderId="0" xfId="1" applyNumberFormat="1" applyFont="1" applyFill="1" applyAlignment="1" applyProtection="1">
      <alignment horizontal="center" vertical="top"/>
      <protection hidden="1"/>
    </xf>
    <xf numFmtId="3" fontId="7" fillId="2" borderId="0" xfId="4" applyNumberFormat="1" applyFont="1" applyAlignment="1" applyProtection="1">
      <alignment horizontal="center" vertical="top"/>
      <protection hidden="1"/>
    </xf>
    <xf numFmtId="3" fontId="9" fillId="0" borderId="0" xfId="1" applyNumberFormat="1" applyFont="1" applyBorder="1" applyAlignment="1" applyProtection="1">
      <alignment horizontal="center" vertical="top"/>
      <protection hidden="1"/>
    </xf>
    <xf numFmtId="3" fontId="8" fillId="2" borderId="0" xfId="4" applyNumberFormat="1" applyFont="1" applyAlignment="1" applyProtection="1">
      <alignment horizontal="center" vertical="top"/>
      <protection hidden="1"/>
    </xf>
    <xf numFmtId="3" fontId="17" fillId="2" borderId="0" xfId="0" applyNumberFormat="1" applyFont="1" applyAlignment="1" applyProtection="1">
      <alignment horizontal="center" vertical="top"/>
      <protection hidden="1"/>
    </xf>
    <xf numFmtId="0" fontId="21" fillId="2" borderId="31" xfId="0" applyFont="1" applyBorder="1" applyAlignment="1" applyProtection="1">
      <alignment horizontal="center"/>
      <protection hidden="1"/>
    </xf>
    <xf numFmtId="0" fontId="21" fillId="2" borderId="32" xfId="0" applyFont="1" applyBorder="1" applyAlignment="1" applyProtection="1">
      <alignment horizontal="center"/>
      <protection hidden="1"/>
    </xf>
    <xf numFmtId="0" fontId="21" fillId="2" borderId="24" xfId="0" applyFont="1" applyBorder="1" applyAlignment="1" applyProtection="1">
      <alignment horizontal="center"/>
      <protection hidden="1"/>
    </xf>
    <xf numFmtId="3" fontId="0" fillId="2" borderId="2" xfId="0" applyNumberFormat="1" applyBorder="1" applyAlignment="1" applyProtection="1">
      <alignment vertical="top"/>
      <protection hidden="1"/>
    </xf>
    <xf numFmtId="0" fontId="0" fillId="2" borderId="0" xfId="0" applyProtection="1">
      <protection hidden="1"/>
    </xf>
    <xf numFmtId="0" fontId="0" fillId="2" borderId="8" xfId="0" applyBorder="1" applyProtection="1">
      <protection hidden="1"/>
    </xf>
    <xf numFmtId="3" fontId="2" fillId="0" borderId="0" xfId="1" applyNumberFormat="1" applyFont="1" applyFill="1" applyBorder="1" applyAlignment="1" applyProtection="1">
      <alignment horizontal="center" vertical="top" wrapText="1"/>
      <protection hidden="1"/>
    </xf>
    <xf numFmtId="0" fontId="0" fillId="2" borderId="0" xfId="0" applyAlignment="1" applyProtection="1">
      <alignment horizontal="center" vertical="top" wrapText="1"/>
      <protection hidden="1"/>
    </xf>
    <xf numFmtId="3" fontId="4" fillId="2" borderId="2" xfId="1" applyNumberFormat="1" applyFill="1" applyBorder="1" applyAlignment="1" applyProtection="1">
      <alignment horizontal="right" vertical="top" wrapText="1"/>
      <protection hidden="1"/>
    </xf>
    <xf numFmtId="0" fontId="4" fillId="2" borderId="0" xfId="1" applyFill="1" applyBorder="1" applyAlignment="1" applyProtection="1">
      <alignment vertical="top" wrapText="1"/>
      <protection hidden="1"/>
    </xf>
    <xf numFmtId="0" fontId="17" fillId="2" borderId="0" xfId="0" applyFont="1" applyAlignment="1" applyProtection="1">
      <alignment horizontal="center"/>
      <protection hidden="1"/>
    </xf>
    <xf numFmtId="0" fontId="0" fillId="2" borderId="0" xfId="0" applyAlignment="1" applyProtection="1">
      <alignment horizontal="center"/>
      <protection hidden="1"/>
    </xf>
    <xf numFmtId="0" fontId="0" fillId="2" borderId="8" xfId="0" applyBorder="1" applyAlignment="1" applyProtection="1">
      <alignment horizontal="center"/>
      <protection hidden="1"/>
    </xf>
    <xf numFmtId="3" fontId="3" fillId="0" borderId="0" xfId="1" applyNumberFormat="1" applyFont="1" applyFill="1" applyBorder="1" applyAlignment="1" applyProtection="1">
      <alignment horizontal="center" vertical="top" wrapText="1"/>
      <protection hidden="1"/>
    </xf>
    <xf numFmtId="3" fontId="3" fillId="0" borderId="0" xfId="1" applyNumberFormat="1" applyFont="1" applyFill="1" applyBorder="1" applyAlignment="1" applyProtection="1">
      <alignment horizontal="left" vertical="top" wrapText="1"/>
      <protection hidden="1"/>
    </xf>
    <xf numFmtId="0" fontId="0" fillId="2" borderId="0" xfId="0" applyAlignment="1" applyProtection="1">
      <alignment horizontal="left"/>
      <protection hidden="1"/>
    </xf>
    <xf numFmtId="0" fontId="0" fillId="2" borderId="8" xfId="0" applyBorder="1" applyAlignment="1" applyProtection="1">
      <alignment horizontal="left"/>
      <protection hidden="1"/>
    </xf>
    <xf numFmtId="3" fontId="17" fillId="0" borderId="2" xfId="1" applyNumberFormat="1" applyFont="1" applyFill="1" applyBorder="1" applyAlignment="1" applyProtection="1">
      <alignment horizontal="right" vertical="top" wrapText="1"/>
      <protection hidden="1"/>
    </xf>
    <xf numFmtId="0" fontId="0" fillId="2" borderId="0" xfId="0" applyAlignment="1" applyProtection="1">
      <alignment horizontal="right"/>
      <protection hidden="1"/>
    </xf>
    <xf numFmtId="0" fontId="17" fillId="3" borderId="0" xfId="0" applyFont="1" applyFill="1" applyAlignment="1" applyProtection="1">
      <alignment horizontal="center"/>
      <protection hidden="1"/>
    </xf>
    <xf numFmtId="0" fontId="3" fillId="2" borderId="0" xfId="0" applyFont="1" applyAlignment="1" applyProtection="1">
      <alignment horizontal="right"/>
      <protection hidden="1"/>
    </xf>
    <xf numFmtId="0" fontId="3" fillId="2" borderId="0" xfId="0" applyFont="1" applyAlignment="1" applyProtection="1">
      <alignment horizontal="center" vertical="top" wrapText="1"/>
      <protection hidden="1"/>
    </xf>
    <xf numFmtId="0" fontId="21" fillId="2" borderId="25" xfId="0" applyFont="1" applyBorder="1" applyAlignment="1" applyProtection="1">
      <alignment horizontal="center"/>
      <protection hidden="1"/>
    </xf>
    <xf numFmtId="0" fontId="21" fillId="2" borderId="26" xfId="0" applyFont="1" applyBorder="1" applyAlignment="1" applyProtection="1">
      <alignment horizontal="center"/>
      <protection hidden="1"/>
    </xf>
    <xf numFmtId="0" fontId="21" fillId="2" borderId="27" xfId="0" applyFont="1" applyBorder="1" applyAlignment="1" applyProtection="1">
      <alignment horizontal="center"/>
      <protection hidden="1"/>
    </xf>
    <xf numFmtId="3" fontId="3" fillId="2" borderId="28" xfId="0" applyNumberFormat="1" applyFont="1" applyBorder="1" applyAlignment="1" applyProtection="1">
      <alignment horizontal="center" vertical="top" wrapText="1"/>
      <protection hidden="1"/>
    </xf>
    <xf numFmtId="3" fontId="0" fillId="2" borderId="29" xfId="0" applyNumberFormat="1" applyBorder="1" applyAlignment="1" applyProtection="1">
      <alignment horizontal="center" vertical="top" wrapText="1"/>
      <protection hidden="1"/>
    </xf>
    <xf numFmtId="3" fontId="0" fillId="2" borderId="29" xfId="0" applyNumberFormat="1" applyBorder="1" applyAlignment="1" applyProtection="1">
      <alignment vertical="top"/>
      <protection hidden="1"/>
    </xf>
    <xf numFmtId="0" fontId="0" fillId="2" borderId="29" xfId="0" applyBorder="1" applyProtection="1">
      <protection hidden="1"/>
    </xf>
    <xf numFmtId="0" fontId="0" fillId="2" borderId="30" xfId="0" applyBorder="1" applyProtection="1">
      <protection hidden="1"/>
    </xf>
    <xf numFmtId="3" fontId="4" fillId="2" borderId="14" xfId="1" applyNumberFormat="1" applyFill="1" applyBorder="1" applyAlignment="1" applyProtection="1">
      <alignment horizontal="center" vertical="top" wrapText="1"/>
      <protection hidden="1"/>
    </xf>
    <xf numFmtId="3" fontId="4" fillId="2" borderId="11" xfId="1" applyNumberFormat="1" applyFill="1" applyBorder="1" applyAlignment="1" applyProtection="1">
      <alignment horizontal="center" vertical="top" wrapText="1"/>
      <protection hidden="1"/>
    </xf>
    <xf numFmtId="3" fontId="4" fillId="2" borderId="11" xfId="1" applyNumberFormat="1" applyFill="1" applyBorder="1" applyAlignment="1" applyProtection="1">
      <alignment vertical="top"/>
      <protection hidden="1"/>
    </xf>
    <xf numFmtId="0" fontId="0" fillId="2" borderId="11" xfId="0" applyBorder="1" applyProtection="1">
      <protection hidden="1"/>
    </xf>
    <xf numFmtId="0" fontId="0" fillId="2" borderId="10" xfId="0" applyBorder="1" applyProtection="1">
      <protection hidden="1"/>
    </xf>
    <xf numFmtId="3" fontId="3" fillId="2" borderId="2" xfId="1" applyNumberFormat="1" applyFont="1" applyFill="1" applyBorder="1" applyAlignment="1" applyProtection="1">
      <alignment horizontal="left" vertical="top" wrapText="1"/>
      <protection hidden="1"/>
    </xf>
    <xf numFmtId="3" fontId="0" fillId="2" borderId="0" xfId="0" applyNumberFormat="1" applyAlignment="1" applyProtection="1">
      <alignment horizontal="left" vertical="top"/>
      <protection hidden="1"/>
    </xf>
    <xf numFmtId="3" fontId="3" fillId="2" borderId="0" xfId="0" applyNumberFormat="1" applyFont="1" applyAlignment="1" applyProtection="1">
      <alignment horizontal="left" vertical="top" wrapText="1"/>
      <protection hidden="1"/>
    </xf>
    <xf numFmtId="0" fontId="0" fillId="2" borderId="0" xfId="0" applyAlignment="1" applyProtection="1">
      <alignment wrapText="1"/>
      <protection hidden="1"/>
    </xf>
    <xf numFmtId="0" fontId="0" fillId="2" borderId="8" xfId="0" applyBorder="1" applyAlignment="1" applyProtection="1">
      <alignment wrapText="1"/>
      <protection hidden="1"/>
    </xf>
    <xf numFmtId="0" fontId="3" fillId="2" borderId="0" xfId="0" applyFont="1" applyAlignment="1" applyProtection="1">
      <alignment horizontal="justify" vertical="top" wrapText="1"/>
      <protection hidden="1"/>
    </xf>
    <xf numFmtId="0" fontId="0" fillId="2" borderId="0" xfId="0" applyAlignment="1" applyProtection="1">
      <alignment horizontal="justify" vertical="top" wrapText="1"/>
      <protection hidden="1"/>
    </xf>
    <xf numFmtId="0" fontId="0" fillId="2" borderId="8" xfId="0" applyBorder="1" applyAlignment="1" applyProtection="1">
      <alignment horizontal="justify" vertical="top" wrapText="1"/>
      <protection hidden="1"/>
    </xf>
    <xf numFmtId="3" fontId="0" fillId="2" borderId="8" xfId="0" applyNumberFormat="1" applyBorder="1" applyAlignment="1" applyProtection="1">
      <alignment vertical="top"/>
      <protection hidden="1"/>
    </xf>
    <xf numFmtId="3" fontId="1" fillId="5" borderId="0" xfId="0" applyNumberFormat="1" applyFont="1" applyFill="1" applyProtection="1">
      <protection locked="0" hidden="1"/>
    </xf>
    <xf numFmtId="3" fontId="0" fillId="5" borderId="0" xfId="0" applyNumberFormat="1" applyFill="1" applyProtection="1">
      <protection locked="0" hidden="1"/>
    </xf>
    <xf numFmtId="3" fontId="0" fillId="2" borderId="8" xfId="0" applyNumberFormat="1" applyBorder="1" applyProtection="1">
      <protection hidden="1"/>
    </xf>
    <xf numFmtId="3" fontId="10" fillId="2" borderId="2" xfId="1" applyNumberFormat="1" applyFont="1" applyFill="1" applyBorder="1" applyAlignment="1" applyProtection="1">
      <alignment horizontal="left" vertical="top" wrapText="1"/>
      <protection hidden="1"/>
    </xf>
    <xf numFmtId="3" fontId="0" fillId="2" borderId="0" xfId="0" applyNumberFormat="1" applyAlignment="1" applyProtection="1">
      <alignment vertical="top"/>
      <protection hidden="1"/>
    </xf>
    <xf numFmtId="3" fontId="3" fillId="2" borderId="0" xfId="1" applyNumberFormat="1" applyFont="1" applyFill="1" applyBorder="1" applyAlignment="1" applyProtection="1">
      <alignment horizontal="left" vertical="top" wrapText="1"/>
      <protection hidden="1"/>
    </xf>
    <xf numFmtId="0" fontId="0" fillId="2" borderId="0" xfId="0" applyAlignment="1" applyProtection="1">
      <alignment vertical="top"/>
      <protection hidden="1"/>
    </xf>
    <xf numFmtId="0" fontId="0" fillId="2" borderId="0" xfId="0" applyAlignment="1" applyProtection="1">
      <alignment horizontal="left" vertical="top"/>
      <protection hidden="1"/>
    </xf>
    <xf numFmtId="0" fontId="21" fillId="0" borderId="33" xfId="0" applyFont="1" applyFill="1" applyBorder="1" applyAlignment="1" applyProtection="1">
      <alignment horizontal="center" vertical="top" wrapText="1"/>
      <protection hidden="1"/>
    </xf>
    <xf numFmtId="0" fontId="21" fillId="0" borderId="34" xfId="0" applyFont="1" applyFill="1" applyBorder="1" applyAlignment="1" applyProtection="1">
      <alignment horizontal="center" vertical="top" wrapText="1"/>
      <protection hidden="1"/>
    </xf>
    <xf numFmtId="0" fontId="21" fillId="0" borderId="35" xfId="0" applyFont="1" applyFill="1" applyBorder="1" applyAlignment="1" applyProtection="1">
      <alignment horizontal="center" vertical="top" wrapText="1"/>
      <protection hidden="1"/>
    </xf>
    <xf numFmtId="3" fontId="5" fillId="2" borderId="11" xfId="1" applyNumberFormat="1" applyFont="1" applyFill="1" applyBorder="1" applyAlignment="1" applyProtection="1">
      <alignment horizontal="left" vertical="top" wrapText="1"/>
      <protection hidden="1"/>
    </xf>
    <xf numFmtId="0" fontId="0" fillId="2" borderId="11" xfId="0" applyBorder="1" applyAlignment="1" applyProtection="1">
      <alignment vertical="top" wrapText="1"/>
      <protection hidden="1"/>
    </xf>
    <xf numFmtId="0" fontId="9" fillId="2" borderId="0" xfId="1" applyNumberFormat="1" applyFont="1" applyFill="1" applyAlignment="1" applyProtection="1">
      <alignment horizontal="center" vertical="top"/>
      <protection hidden="1"/>
    </xf>
    <xf numFmtId="0" fontId="8" fillId="2" borderId="0" xfId="1" applyNumberFormat="1" applyFont="1" applyFill="1" applyAlignment="1" applyProtection="1">
      <alignment horizontal="center" vertical="top"/>
      <protection hidden="1"/>
    </xf>
    <xf numFmtId="0" fontId="7" fillId="2" borderId="0" xfId="4" applyFont="1" applyAlignment="1" applyProtection="1">
      <alignment horizontal="center" vertical="top" wrapText="1"/>
      <protection hidden="1"/>
    </xf>
    <xf numFmtId="0" fontId="0" fillId="2" borderId="0" xfId="0" applyAlignment="1" applyProtection="1">
      <alignment vertical="top" wrapText="1"/>
      <protection hidden="1"/>
    </xf>
    <xf numFmtId="0" fontId="17" fillId="2" borderId="0" xfId="0" applyFont="1" applyAlignment="1" applyProtection="1">
      <alignment horizontal="center" vertical="top"/>
      <protection hidden="1"/>
    </xf>
    <xf numFmtId="0" fontId="8" fillId="2" borderId="0" xfId="4" applyFont="1" applyAlignment="1" applyProtection="1">
      <alignment horizontal="center" vertical="top"/>
      <protection hidden="1"/>
    </xf>
    <xf numFmtId="0" fontId="9" fillId="0" borderId="0" xfId="1" applyNumberFormat="1" applyFont="1" applyBorder="1" applyAlignment="1" applyProtection="1">
      <alignment horizontal="center" vertical="top"/>
      <protection hidden="1"/>
    </xf>
    <xf numFmtId="0" fontId="21" fillId="0" borderId="36" xfId="0" applyFont="1" applyFill="1" applyBorder="1" applyAlignment="1" applyProtection="1">
      <alignment horizontal="center" vertical="top" wrapText="1"/>
      <protection hidden="1"/>
    </xf>
    <xf numFmtId="0" fontId="23" fillId="0" borderId="37" xfId="0" applyFont="1" applyFill="1" applyBorder="1" applyAlignment="1" applyProtection="1">
      <alignment horizontal="center" vertical="top" wrapText="1"/>
      <protection hidden="1"/>
    </xf>
    <xf numFmtId="0" fontId="23" fillId="0" borderId="38" xfId="0" applyFont="1" applyFill="1" applyBorder="1" applyAlignment="1" applyProtection="1">
      <alignment horizontal="center" vertical="top" wrapText="1"/>
      <protection hidden="1"/>
    </xf>
    <xf numFmtId="0" fontId="21" fillId="0" borderId="39" xfId="0" applyFont="1" applyFill="1" applyBorder="1" applyAlignment="1" applyProtection="1">
      <alignment horizontal="center" vertical="top" wrapText="1"/>
      <protection hidden="1"/>
    </xf>
    <xf numFmtId="0" fontId="23" fillId="0" borderId="40" xfId="0" applyFont="1" applyFill="1" applyBorder="1" applyAlignment="1" applyProtection="1">
      <alignment horizontal="center" vertical="top" wrapText="1"/>
      <protection hidden="1"/>
    </xf>
    <xf numFmtId="0" fontId="23" fillId="0" borderId="41" xfId="0" applyFont="1" applyFill="1" applyBorder="1" applyAlignment="1" applyProtection="1">
      <alignment horizontal="center" vertical="top" wrapText="1"/>
      <protection hidden="1"/>
    </xf>
    <xf numFmtId="49" fontId="10" fillId="2" borderId="13" xfId="1" applyNumberFormat="1" applyFont="1" applyFill="1" applyBorder="1" applyAlignment="1" applyProtection="1">
      <alignment horizontal="center" vertical="top" wrapText="1"/>
      <protection hidden="1"/>
    </xf>
    <xf numFmtId="0" fontId="10" fillId="2" borderId="42" xfId="1" applyFont="1" applyFill="1" applyBorder="1" applyAlignment="1" applyProtection="1">
      <alignment horizontal="center" vertical="top" wrapText="1"/>
      <protection hidden="1"/>
    </xf>
    <xf numFmtId="0" fontId="10" fillId="2" borderId="12" xfId="1" applyFont="1" applyFill="1" applyBorder="1" applyAlignment="1" applyProtection="1">
      <alignment horizontal="center" vertical="top" wrapText="1"/>
      <protection hidden="1"/>
    </xf>
    <xf numFmtId="49" fontId="2" fillId="0" borderId="14" xfId="0" applyNumberFormat="1" applyFont="1" applyFill="1" applyBorder="1" applyAlignment="1" applyProtection="1">
      <alignment horizontal="center" vertical="top" wrapText="1"/>
      <protection hidden="1"/>
    </xf>
    <xf numFmtId="0" fontId="0" fillId="2" borderId="10" xfId="0" applyBorder="1" applyAlignment="1" applyProtection="1">
      <alignment horizontal="center" vertical="top" wrapText="1"/>
      <protection hidden="1"/>
    </xf>
    <xf numFmtId="2" fontId="3" fillId="2" borderId="14" xfId="0" applyNumberFormat="1" applyFont="1" applyBorder="1" applyAlignment="1" applyProtection="1">
      <alignment horizontal="justify" vertical="top" wrapText="1"/>
      <protection hidden="1"/>
    </xf>
    <xf numFmtId="2" fontId="3" fillId="2" borderId="11" xfId="0" applyNumberFormat="1" applyFont="1" applyBorder="1" applyAlignment="1" applyProtection="1">
      <alignment horizontal="justify" vertical="top" wrapText="1"/>
      <protection hidden="1"/>
    </xf>
    <xf numFmtId="2" fontId="3" fillId="2" borderId="10" xfId="0" applyNumberFormat="1" applyFont="1" applyBorder="1" applyAlignment="1" applyProtection="1">
      <alignment horizontal="justify" vertical="top" wrapText="1"/>
      <protection hidden="1"/>
    </xf>
  </cellXfs>
  <cellStyles count="9">
    <cellStyle name="Hyperlink" xfId="1" builtinId="8"/>
    <cellStyle name="Hyperlink 2" xfId="8" xr:uid="{00000000-0005-0000-0000-000001000000}"/>
    <cellStyle name="Normal" xfId="0" builtinId="0"/>
    <cellStyle name="Normal 2" xfId="7" xr:uid="{00000000-0005-0000-0000-000003000000}"/>
    <cellStyle name="Normal_Breakeven_Analysis_Model_Excel_2" xfId="2" xr:uid="{00000000-0005-0000-0000-000004000000}"/>
    <cellStyle name="Normal_Business Valuation Model Excel" xfId="3" xr:uid="{00000000-0005-0000-0000-000005000000}"/>
    <cellStyle name="Normal_Business_Valuation_Model_Excel_21" xfId="4" xr:uid="{00000000-0005-0000-0000-000006000000}"/>
    <cellStyle name="Normal_P10a" xfId="5" xr:uid="{00000000-0005-0000-0000-000007000000}"/>
    <cellStyle name="Normal_Shift Scheduler Continuous Excel a12" xfId="6" xr:uid="{00000000-0005-0000-0000-000008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5.xml"/><Relationship Id="rId13" Type="http://schemas.openxmlformats.org/officeDocument/2006/relationships/worksheet" Target="worksheets/sheet7.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4.xml"/><Relationship Id="rId12" Type="http://schemas.openxmlformats.org/officeDocument/2006/relationships/worksheet" Target="worksheets/sheet6.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worksheet" Target="worksheets/sheet5.xml"/><Relationship Id="rId5" Type="http://schemas.openxmlformats.org/officeDocument/2006/relationships/chartsheet" Target="chartsheets/sheet2.xml"/><Relationship Id="rId15" Type="http://schemas.openxmlformats.org/officeDocument/2006/relationships/theme" Target="theme/theme1.xml"/><Relationship Id="rId10" Type="http://schemas.openxmlformats.org/officeDocument/2006/relationships/worksheet" Target="worksheets/sheet4.xml"/><Relationship Id="rId19" Type="http://schemas.microsoft.com/office/2006/relationships/vbaProject" Target="vbaProject.bin"/><Relationship Id="rId4" Type="http://schemas.openxmlformats.org/officeDocument/2006/relationships/chartsheet" Target="chartsheets/sheet1.xml"/><Relationship Id="rId9" Type="http://schemas.openxmlformats.org/officeDocument/2006/relationships/chartsheet" Target="chartsheets/sheet6.xml"/><Relationship Id="rId14"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AU"/>
              <a:t>Current Price Breakeven Chart</a:t>
            </a:r>
          </a:p>
        </c:rich>
      </c:tx>
      <c:layout>
        <c:manualLayout>
          <c:xMode val="edge"/>
          <c:yMode val="edge"/>
          <c:x val="0"/>
          <c:y val="0"/>
        </c:manualLayout>
      </c:layout>
      <c:overlay val="0"/>
      <c:spPr>
        <a:noFill/>
        <a:ln w="25400">
          <a:noFill/>
        </a:ln>
      </c:spPr>
    </c:title>
    <c:autoTitleDeleted val="0"/>
    <c:plotArea>
      <c:layout>
        <c:manualLayout>
          <c:layoutTarget val="inner"/>
          <c:xMode val="edge"/>
          <c:yMode val="edge"/>
          <c:x val="0.23418423973362931"/>
          <c:y val="0.14518760195758565"/>
          <c:w val="0.75471698113207553"/>
          <c:h val="0.54975530179445353"/>
        </c:manualLayout>
      </c:layout>
      <c:areaChart>
        <c:grouping val="stacked"/>
        <c:varyColors val="0"/>
        <c:ser>
          <c:idx val="1"/>
          <c:order val="0"/>
          <c:tx>
            <c:strRef>
              <c:f>Worksheet!$B$10</c:f>
              <c:strCache>
                <c:ptCount val="1"/>
                <c:pt idx="0">
                  <c:v>Fixed Costs</c:v>
                </c:pt>
              </c:strCache>
            </c:strRef>
          </c:tx>
          <c:spPr>
            <a:solidFill>
              <a:srgbClr val="FF0000"/>
            </a:solidFill>
            <a:ln w="25400">
              <a:noFill/>
            </a:ln>
          </c:spPr>
          <c:cat>
            <c:numRef>
              <c:f>Worksheet!$C$4:$G$4</c:f>
              <c:numCache>
                <c:formatCode>#,##0</c:formatCode>
                <c:ptCount val="5"/>
                <c:pt idx="0">
                  <c:v>0</c:v>
                </c:pt>
                <c:pt idx="1">
                  <c:v>9259.2592592592591</c:v>
                </c:pt>
                <c:pt idx="2">
                  <c:v>18518.518518518518</c:v>
                </c:pt>
                <c:pt idx="3">
                  <c:v>27777.777777777777</c:v>
                </c:pt>
                <c:pt idx="4">
                  <c:v>37037.037037037036</c:v>
                </c:pt>
              </c:numCache>
            </c:numRef>
          </c:cat>
          <c:val>
            <c:numRef>
              <c:f>Worksheet!$C$10:$G$10</c:f>
              <c:numCache>
                <c:formatCode>#,##0</c:formatCode>
                <c:ptCount val="5"/>
                <c:pt idx="0">
                  <c:v>80000</c:v>
                </c:pt>
                <c:pt idx="1">
                  <c:v>80000</c:v>
                </c:pt>
                <c:pt idx="2">
                  <c:v>80000</c:v>
                </c:pt>
                <c:pt idx="3">
                  <c:v>80000</c:v>
                </c:pt>
                <c:pt idx="4">
                  <c:v>80000</c:v>
                </c:pt>
              </c:numCache>
            </c:numRef>
          </c:val>
          <c:extLst>
            <c:ext xmlns:c16="http://schemas.microsoft.com/office/drawing/2014/chart" uri="{C3380CC4-5D6E-409C-BE32-E72D297353CC}">
              <c16:uniqueId val="{00000000-C0D4-6945-B55D-B8D6F143132E}"/>
            </c:ext>
          </c:extLst>
        </c:ser>
        <c:ser>
          <c:idx val="0"/>
          <c:order val="1"/>
          <c:tx>
            <c:strRef>
              <c:f>Worksheet!$B$7</c:f>
              <c:strCache>
                <c:ptCount val="1"/>
                <c:pt idx="0">
                  <c:v>Variable Costs</c:v>
                </c:pt>
              </c:strCache>
            </c:strRef>
          </c:tx>
          <c:spPr>
            <a:solidFill>
              <a:srgbClr val="0000FF"/>
            </a:solidFill>
            <a:ln w="12700">
              <a:solidFill>
                <a:srgbClr val="0000FF"/>
              </a:solidFill>
              <a:prstDash val="solid"/>
            </a:ln>
          </c:spPr>
          <c:cat>
            <c:numRef>
              <c:f>Worksheet!$C$4:$G$4</c:f>
              <c:numCache>
                <c:formatCode>#,##0</c:formatCode>
                <c:ptCount val="5"/>
                <c:pt idx="0">
                  <c:v>0</c:v>
                </c:pt>
                <c:pt idx="1">
                  <c:v>9259.2592592592591</c:v>
                </c:pt>
                <c:pt idx="2">
                  <c:v>18518.518518518518</c:v>
                </c:pt>
                <c:pt idx="3">
                  <c:v>27777.777777777777</c:v>
                </c:pt>
                <c:pt idx="4">
                  <c:v>37037.037037037036</c:v>
                </c:pt>
              </c:numCache>
            </c:numRef>
          </c:cat>
          <c:val>
            <c:numRef>
              <c:f>Worksheet!$C$7:$G$7</c:f>
              <c:numCache>
                <c:formatCode>#,##0</c:formatCode>
                <c:ptCount val="5"/>
                <c:pt idx="0">
                  <c:v>0</c:v>
                </c:pt>
                <c:pt idx="1">
                  <c:v>172500</c:v>
                </c:pt>
                <c:pt idx="2">
                  <c:v>345000</c:v>
                </c:pt>
                <c:pt idx="3">
                  <c:v>517499.99999999994</c:v>
                </c:pt>
                <c:pt idx="4">
                  <c:v>690000</c:v>
                </c:pt>
              </c:numCache>
            </c:numRef>
          </c:val>
          <c:extLst>
            <c:ext xmlns:c16="http://schemas.microsoft.com/office/drawing/2014/chart" uri="{C3380CC4-5D6E-409C-BE32-E72D297353CC}">
              <c16:uniqueId val="{00000001-C0D4-6945-B55D-B8D6F143132E}"/>
            </c:ext>
          </c:extLst>
        </c:ser>
        <c:ser>
          <c:idx val="3"/>
          <c:order val="2"/>
          <c:tx>
            <c:strRef>
              <c:f>Worksheet!$B$12</c:f>
              <c:strCache>
                <c:ptCount val="1"/>
                <c:pt idx="0">
                  <c:v>Operating Surplus</c:v>
                </c:pt>
              </c:strCache>
            </c:strRef>
          </c:tx>
          <c:spPr>
            <a:solidFill>
              <a:srgbClr val="00FF00"/>
            </a:solidFill>
            <a:ln w="12700">
              <a:solidFill>
                <a:srgbClr val="00FF00"/>
              </a:solidFill>
              <a:prstDash val="solid"/>
            </a:ln>
          </c:spPr>
          <c:cat>
            <c:numRef>
              <c:f>Worksheet!$C$4:$G$4</c:f>
              <c:numCache>
                <c:formatCode>#,##0</c:formatCode>
                <c:ptCount val="5"/>
                <c:pt idx="0">
                  <c:v>0</c:v>
                </c:pt>
                <c:pt idx="1">
                  <c:v>9259.2592592592591</c:v>
                </c:pt>
                <c:pt idx="2">
                  <c:v>18518.518518518518</c:v>
                </c:pt>
                <c:pt idx="3">
                  <c:v>27777.777777777777</c:v>
                </c:pt>
                <c:pt idx="4">
                  <c:v>37037.037037037036</c:v>
                </c:pt>
              </c:numCache>
            </c:numRef>
          </c:cat>
          <c:val>
            <c:numRef>
              <c:f>Worksheet!$C$12:$G$12</c:f>
              <c:numCache>
                <c:formatCode>#,##0</c:formatCode>
                <c:ptCount val="5"/>
                <c:pt idx="0">
                  <c:v>-80000</c:v>
                </c:pt>
                <c:pt idx="1">
                  <c:v>-2500</c:v>
                </c:pt>
                <c:pt idx="2">
                  <c:v>75000</c:v>
                </c:pt>
                <c:pt idx="3">
                  <c:v>152500.00000000006</c:v>
                </c:pt>
                <c:pt idx="4">
                  <c:v>230000</c:v>
                </c:pt>
              </c:numCache>
            </c:numRef>
          </c:val>
          <c:extLst>
            <c:ext xmlns:c16="http://schemas.microsoft.com/office/drawing/2014/chart" uri="{C3380CC4-5D6E-409C-BE32-E72D297353CC}">
              <c16:uniqueId val="{00000002-C0D4-6945-B55D-B8D6F143132E}"/>
            </c:ext>
          </c:extLst>
        </c:ser>
        <c:dLbls>
          <c:showLegendKey val="0"/>
          <c:showVal val="0"/>
          <c:showCatName val="0"/>
          <c:showSerName val="0"/>
          <c:showPercent val="0"/>
          <c:showBubbleSize val="0"/>
        </c:dLbls>
        <c:axId val="100915072"/>
        <c:axId val="56971648"/>
      </c:areaChart>
      <c:lineChart>
        <c:grouping val="standard"/>
        <c:varyColors val="0"/>
        <c:ser>
          <c:idx val="4"/>
          <c:order val="3"/>
          <c:tx>
            <c:strRef>
              <c:f>Worksheet!$B$11</c:f>
              <c:strCache>
                <c:ptCount val="1"/>
                <c:pt idx="0">
                  <c:v>Total Costs</c:v>
                </c:pt>
              </c:strCache>
            </c:strRef>
          </c:tx>
          <c:spPr>
            <a:ln w="38100">
              <a:solidFill>
                <a:srgbClr val="FF0000"/>
              </a:solidFill>
              <a:prstDash val="solid"/>
            </a:ln>
          </c:spPr>
          <c:marker>
            <c:symbol val="none"/>
          </c:marker>
          <c:val>
            <c:numRef>
              <c:f>Worksheet!$C$11:$G$11</c:f>
              <c:numCache>
                <c:formatCode>#,##0</c:formatCode>
                <c:ptCount val="5"/>
                <c:pt idx="0">
                  <c:v>80000</c:v>
                </c:pt>
                <c:pt idx="1">
                  <c:v>252500</c:v>
                </c:pt>
                <c:pt idx="2">
                  <c:v>425000</c:v>
                </c:pt>
                <c:pt idx="3">
                  <c:v>597500</c:v>
                </c:pt>
                <c:pt idx="4">
                  <c:v>770000</c:v>
                </c:pt>
              </c:numCache>
            </c:numRef>
          </c:val>
          <c:smooth val="0"/>
          <c:extLst>
            <c:ext xmlns:c16="http://schemas.microsoft.com/office/drawing/2014/chart" uri="{C3380CC4-5D6E-409C-BE32-E72D297353CC}">
              <c16:uniqueId val="{00000003-C0D4-6945-B55D-B8D6F143132E}"/>
            </c:ext>
          </c:extLst>
        </c:ser>
        <c:ser>
          <c:idx val="2"/>
          <c:order val="4"/>
          <c:tx>
            <c:strRef>
              <c:f>Worksheet!$B$5</c:f>
              <c:strCache>
                <c:ptCount val="1"/>
                <c:pt idx="0">
                  <c:v>Business Revenue</c:v>
                </c:pt>
              </c:strCache>
            </c:strRef>
          </c:tx>
          <c:spPr>
            <a:ln w="38100">
              <a:solidFill>
                <a:srgbClr val="000000"/>
              </a:solidFill>
              <a:prstDash val="solid"/>
            </a:ln>
          </c:spPr>
          <c:marker>
            <c:symbol val="none"/>
          </c:marker>
          <c:val>
            <c:numRef>
              <c:f>Worksheet!$C$5:$G$5</c:f>
              <c:numCache>
                <c:formatCode>#,##0</c:formatCode>
                <c:ptCount val="5"/>
                <c:pt idx="0">
                  <c:v>0</c:v>
                </c:pt>
                <c:pt idx="1">
                  <c:v>250000</c:v>
                </c:pt>
                <c:pt idx="2">
                  <c:v>500000</c:v>
                </c:pt>
                <c:pt idx="3">
                  <c:v>750000</c:v>
                </c:pt>
                <c:pt idx="4">
                  <c:v>1000000</c:v>
                </c:pt>
              </c:numCache>
            </c:numRef>
          </c:val>
          <c:smooth val="0"/>
          <c:extLst>
            <c:ext xmlns:c16="http://schemas.microsoft.com/office/drawing/2014/chart" uri="{C3380CC4-5D6E-409C-BE32-E72D297353CC}">
              <c16:uniqueId val="{00000004-C0D4-6945-B55D-B8D6F143132E}"/>
            </c:ext>
          </c:extLst>
        </c:ser>
        <c:dLbls>
          <c:showLegendKey val="0"/>
          <c:showVal val="0"/>
          <c:showCatName val="0"/>
          <c:showSerName val="0"/>
          <c:showPercent val="0"/>
          <c:showBubbleSize val="0"/>
        </c:dLbls>
        <c:marker val="1"/>
        <c:smooth val="0"/>
        <c:axId val="100915072"/>
        <c:axId val="56971648"/>
      </c:lineChart>
      <c:catAx>
        <c:axId val="100915072"/>
        <c:scaling>
          <c:orientation val="minMax"/>
        </c:scaling>
        <c:delete val="0"/>
        <c:axPos val="b"/>
        <c:title>
          <c:tx>
            <c:rich>
              <a:bodyPr/>
              <a:lstStyle/>
              <a:p>
                <a:pPr>
                  <a:defRPr sz="1600" b="1" i="0" u="none" strike="noStrike" baseline="0">
                    <a:solidFill>
                      <a:srgbClr val="000000"/>
                    </a:solidFill>
                    <a:latin typeface="Arial"/>
                    <a:ea typeface="Arial"/>
                    <a:cs typeface="Arial"/>
                  </a:defRPr>
                </a:pPr>
                <a:r>
                  <a:rPr lang="en-AU"/>
                  <a:t>Number of Sales</a:t>
                </a:r>
              </a:p>
            </c:rich>
          </c:tx>
          <c:layout>
            <c:manualLayout>
              <c:xMode val="edge"/>
              <c:yMode val="edge"/>
              <c:x val="0.51609322974472749"/>
              <c:y val="0.9396411092985339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6971648"/>
        <c:crosses val="autoZero"/>
        <c:auto val="1"/>
        <c:lblAlgn val="ctr"/>
        <c:lblOffset val="100"/>
        <c:tickMarkSkip val="1"/>
        <c:noMultiLvlLbl val="0"/>
      </c:catAx>
      <c:valAx>
        <c:axId val="56971648"/>
        <c:scaling>
          <c:orientation val="minMax"/>
        </c:scaling>
        <c:delete val="0"/>
        <c:axPos val="l"/>
        <c:title>
          <c:tx>
            <c:rich>
              <a:bodyPr/>
              <a:lstStyle/>
              <a:p>
                <a:pPr>
                  <a:defRPr sz="1600" b="1" i="0" u="none" strike="noStrike" baseline="0">
                    <a:solidFill>
                      <a:srgbClr val="000000"/>
                    </a:solidFill>
                    <a:latin typeface="Arial"/>
                    <a:ea typeface="Arial"/>
                    <a:cs typeface="Arial"/>
                  </a:defRPr>
                </a:pPr>
                <a:r>
                  <a:rPr lang="en-AU"/>
                  <a:t>Money</a:t>
                </a:r>
              </a:p>
            </c:rich>
          </c:tx>
          <c:layout>
            <c:manualLayout>
              <c:xMode val="edge"/>
              <c:yMode val="edge"/>
              <c:x val="0"/>
              <c:y val="0.3605220228384993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0915072"/>
        <c:crosses val="autoZero"/>
        <c:crossBetween val="midCat"/>
      </c:valAx>
      <c:dTable>
        <c:showHorzBorder val="1"/>
        <c:showVertBorder val="1"/>
        <c:showOutline val="1"/>
        <c:showKeys val="1"/>
        <c:spPr>
          <a:ln w="3175">
            <a:solidFill>
              <a:srgbClr val="000000"/>
            </a:solidFill>
            <a:prstDash val="solid"/>
          </a:ln>
        </c:spPr>
        <c:txPr>
          <a:bodyPr/>
          <a:lstStyle/>
          <a:p>
            <a:pPr rtl="0">
              <a:defRPr sz="1200" b="0" i="0" u="none" strike="noStrike" baseline="0">
                <a:solidFill>
                  <a:srgbClr val="000000"/>
                </a:solidFill>
                <a:latin typeface="Arial"/>
                <a:ea typeface="Arial"/>
                <a:cs typeface="Arial"/>
              </a:defRPr>
            </a:pPr>
            <a:endParaRPr lang="en-US"/>
          </a:p>
        </c:txPr>
      </c:dTable>
      <c:spPr>
        <a:solidFill>
          <a:srgbClr val="FFFFFF"/>
        </a:solid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AU"/>
              <a:t>Increased Price Breakeven Chart</a:t>
            </a:r>
          </a:p>
        </c:rich>
      </c:tx>
      <c:layout>
        <c:manualLayout>
          <c:xMode val="edge"/>
          <c:yMode val="edge"/>
          <c:x val="0"/>
          <c:y val="0"/>
        </c:manualLayout>
      </c:layout>
      <c:overlay val="0"/>
      <c:spPr>
        <a:noFill/>
        <a:ln w="25400">
          <a:noFill/>
        </a:ln>
      </c:spPr>
    </c:title>
    <c:autoTitleDeleted val="0"/>
    <c:plotArea>
      <c:layout>
        <c:manualLayout>
          <c:layoutTarget val="inner"/>
          <c:xMode val="edge"/>
          <c:yMode val="edge"/>
          <c:x val="0.23418423973362931"/>
          <c:y val="0.14518760195758565"/>
          <c:w val="0.75471698113207553"/>
          <c:h val="0.54975530179445353"/>
        </c:manualLayout>
      </c:layout>
      <c:areaChart>
        <c:grouping val="stacked"/>
        <c:varyColors val="0"/>
        <c:ser>
          <c:idx val="1"/>
          <c:order val="0"/>
          <c:tx>
            <c:strRef>
              <c:f>Worksheet!$B$40</c:f>
              <c:strCache>
                <c:ptCount val="1"/>
                <c:pt idx="0">
                  <c:v>Fixed Costs</c:v>
                </c:pt>
              </c:strCache>
            </c:strRef>
          </c:tx>
          <c:spPr>
            <a:solidFill>
              <a:srgbClr val="FF0000"/>
            </a:solidFill>
            <a:ln w="25400">
              <a:noFill/>
            </a:ln>
          </c:spPr>
          <c:cat>
            <c:numRef>
              <c:f>Worksheet!$C$34:$G$34</c:f>
              <c:numCache>
                <c:formatCode>#,##0</c:formatCode>
                <c:ptCount val="5"/>
                <c:pt idx="0">
                  <c:v>0</c:v>
                </c:pt>
                <c:pt idx="1">
                  <c:v>7407.4074074074078</c:v>
                </c:pt>
                <c:pt idx="2">
                  <c:v>14814.814814814816</c:v>
                </c:pt>
                <c:pt idx="3">
                  <c:v>22222.222222222223</c:v>
                </c:pt>
                <c:pt idx="4">
                  <c:v>29629.629629629631</c:v>
                </c:pt>
              </c:numCache>
            </c:numRef>
          </c:cat>
          <c:val>
            <c:numRef>
              <c:f>Worksheet!$C$40:$G$40</c:f>
              <c:numCache>
                <c:formatCode>#,##0</c:formatCode>
                <c:ptCount val="5"/>
                <c:pt idx="0">
                  <c:v>80000</c:v>
                </c:pt>
                <c:pt idx="1">
                  <c:v>80000</c:v>
                </c:pt>
                <c:pt idx="2">
                  <c:v>80000</c:v>
                </c:pt>
                <c:pt idx="3">
                  <c:v>80000</c:v>
                </c:pt>
                <c:pt idx="4">
                  <c:v>80000</c:v>
                </c:pt>
              </c:numCache>
            </c:numRef>
          </c:val>
          <c:extLst>
            <c:ext xmlns:c16="http://schemas.microsoft.com/office/drawing/2014/chart" uri="{C3380CC4-5D6E-409C-BE32-E72D297353CC}">
              <c16:uniqueId val="{00000000-6662-4B45-9C69-D0EACF4BE3C9}"/>
            </c:ext>
          </c:extLst>
        </c:ser>
        <c:ser>
          <c:idx val="0"/>
          <c:order val="1"/>
          <c:tx>
            <c:strRef>
              <c:f>Worksheet!$B$37</c:f>
              <c:strCache>
                <c:ptCount val="1"/>
                <c:pt idx="0">
                  <c:v>Variable Costs</c:v>
                </c:pt>
              </c:strCache>
            </c:strRef>
          </c:tx>
          <c:spPr>
            <a:solidFill>
              <a:srgbClr val="0000FF"/>
            </a:solidFill>
            <a:ln w="12700">
              <a:solidFill>
                <a:srgbClr val="0000FF"/>
              </a:solidFill>
              <a:prstDash val="solid"/>
            </a:ln>
          </c:spPr>
          <c:cat>
            <c:numRef>
              <c:f>Worksheet!$C$34:$G$34</c:f>
              <c:numCache>
                <c:formatCode>#,##0</c:formatCode>
                <c:ptCount val="5"/>
                <c:pt idx="0">
                  <c:v>0</c:v>
                </c:pt>
                <c:pt idx="1">
                  <c:v>7407.4074074074078</c:v>
                </c:pt>
                <c:pt idx="2">
                  <c:v>14814.814814814816</c:v>
                </c:pt>
                <c:pt idx="3">
                  <c:v>22222.222222222223</c:v>
                </c:pt>
                <c:pt idx="4">
                  <c:v>29629.629629629631</c:v>
                </c:pt>
              </c:numCache>
            </c:numRef>
          </c:cat>
          <c:val>
            <c:numRef>
              <c:f>Worksheet!$C$37:$G$37</c:f>
              <c:numCache>
                <c:formatCode>#,##0</c:formatCode>
                <c:ptCount val="5"/>
                <c:pt idx="0">
                  <c:v>0</c:v>
                </c:pt>
                <c:pt idx="1">
                  <c:v>138000</c:v>
                </c:pt>
                <c:pt idx="2">
                  <c:v>276000</c:v>
                </c:pt>
                <c:pt idx="3">
                  <c:v>414000</c:v>
                </c:pt>
                <c:pt idx="4">
                  <c:v>552000</c:v>
                </c:pt>
              </c:numCache>
            </c:numRef>
          </c:val>
          <c:extLst>
            <c:ext xmlns:c16="http://schemas.microsoft.com/office/drawing/2014/chart" uri="{C3380CC4-5D6E-409C-BE32-E72D297353CC}">
              <c16:uniqueId val="{00000001-6662-4B45-9C69-D0EACF4BE3C9}"/>
            </c:ext>
          </c:extLst>
        </c:ser>
        <c:ser>
          <c:idx val="3"/>
          <c:order val="2"/>
          <c:tx>
            <c:strRef>
              <c:f>Worksheet!$B$42</c:f>
              <c:strCache>
                <c:ptCount val="1"/>
                <c:pt idx="0">
                  <c:v>Operating Surplus</c:v>
                </c:pt>
              </c:strCache>
            </c:strRef>
          </c:tx>
          <c:spPr>
            <a:solidFill>
              <a:srgbClr val="00FF00"/>
            </a:solidFill>
            <a:ln w="12700">
              <a:solidFill>
                <a:srgbClr val="00FF00"/>
              </a:solidFill>
              <a:prstDash val="solid"/>
            </a:ln>
          </c:spPr>
          <c:cat>
            <c:numRef>
              <c:f>Worksheet!$C$34:$G$34</c:f>
              <c:numCache>
                <c:formatCode>#,##0</c:formatCode>
                <c:ptCount val="5"/>
                <c:pt idx="0">
                  <c:v>0</c:v>
                </c:pt>
                <c:pt idx="1">
                  <c:v>7407.4074074074078</c:v>
                </c:pt>
                <c:pt idx="2">
                  <c:v>14814.814814814816</c:v>
                </c:pt>
                <c:pt idx="3">
                  <c:v>22222.222222222223</c:v>
                </c:pt>
                <c:pt idx="4">
                  <c:v>29629.629629629631</c:v>
                </c:pt>
              </c:numCache>
            </c:numRef>
          </c:cat>
          <c:val>
            <c:numRef>
              <c:f>Worksheet!$C$42:$G$42</c:f>
              <c:numCache>
                <c:formatCode>#,##0</c:formatCode>
                <c:ptCount val="5"/>
                <c:pt idx="0">
                  <c:v>-80000</c:v>
                </c:pt>
                <c:pt idx="1">
                  <c:v>12000</c:v>
                </c:pt>
                <c:pt idx="2">
                  <c:v>104000</c:v>
                </c:pt>
                <c:pt idx="3">
                  <c:v>196000</c:v>
                </c:pt>
                <c:pt idx="4">
                  <c:v>288000</c:v>
                </c:pt>
              </c:numCache>
            </c:numRef>
          </c:val>
          <c:extLst>
            <c:ext xmlns:c16="http://schemas.microsoft.com/office/drawing/2014/chart" uri="{C3380CC4-5D6E-409C-BE32-E72D297353CC}">
              <c16:uniqueId val="{00000002-6662-4B45-9C69-D0EACF4BE3C9}"/>
            </c:ext>
          </c:extLst>
        </c:ser>
        <c:dLbls>
          <c:showLegendKey val="0"/>
          <c:showVal val="0"/>
          <c:showCatName val="0"/>
          <c:showSerName val="0"/>
          <c:showPercent val="0"/>
          <c:showBubbleSize val="0"/>
        </c:dLbls>
        <c:axId val="57009664"/>
        <c:axId val="57011584"/>
      </c:areaChart>
      <c:lineChart>
        <c:grouping val="standard"/>
        <c:varyColors val="0"/>
        <c:ser>
          <c:idx val="4"/>
          <c:order val="3"/>
          <c:tx>
            <c:strRef>
              <c:f>Worksheet!$B$41</c:f>
              <c:strCache>
                <c:ptCount val="1"/>
                <c:pt idx="0">
                  <c:v>Total Costs</c:v>
                </c:pt>
              </c:strCache>
            </c:strRef>
          </c:tx>
          <c:spPr>
            <a:ln w="38100">
              <a:solidFill>
                <a:srgbClr val="FF0000"/>
              </a:solidFill>
              <a:prstDash val="solid"/>
            </a:ln>
          </c:spPr>
          <c:marker>
            <c:symbol val="none"/>
          </c:marker>
          <c:cat>
            <c:numRef>
              <c:f>Worksheet!$C$34:$G$34</c:f>
              <c:numCache>
                <c:formatCode>#,##0</c:formatCode>
                <c:ptCount val="5"/>
                <c:pt idx="0">
                  <c:v>0</c:v>
                </c:pt>
                <c:pt idx="1">
                  <c:v>7407.4074074074078</c:v>
                </c:pt>
                <c:pt idx="2">
                  <c:v>14814.814814814816</c:v>
                </c:pt>
                <c:pt idx="3">
                  <c:v>22222.222222222223</c:v>
                </c:pt>
                <c:pt idx="4">
                  <c:v>29629.629629629631</c:v>
                </c:pt>
              </c:numCache>
            </c:numRef>
          </c:cat>
          <c:val>
            <c:numRef>
              <c:f>Worksheet!$C$41:$G$41</c:f>
              <c:numCache>
                <c:formatCode>#,##0</c:formatCode>
                <c:ptCount val="5"/>
                <c:pt idx="0">
                  <c:v>80000</c:v>
                </c:pt>
                <c:pt idx="1">
                  <c:v>218000</c:v>
                </c:pt>
                <c:pt idx="2">
                  <c:v>356000</c:v>
                </c:pt>
                <c:pt idx="3">
                  <c:v>494000</c:v>
                </c:pt>
                <c:pt idx="4">
                  <c:v>632000</c:v>
                </c:pt>
              </c:numCache>
            </c:numRef>
          </c:val>
          <c:smooth val="0"/>
          <c:extLst>
            <c:ext xmlns:c16="http://schemas.microsoft.com/office/drawing/2014/chart" uri="{C3380CC4-5D6E-409C-BE32-E72D297353CC}">
              <c16:uniqueId val="{00000003-6662-4B45-9C69-D0EACF4BE3C9}"/>
            </c:ext>
          </c:extLst>
        </c:ser>
        <c:ser>
          <c:idx val="2"/>
          <c:order val="4"/>
          <c:tx>
            <c:strRef>
              <c:f>Worksheet!$B$35</c:f>
              <c:strCache>
                <c:ptCount val="1"/>
                <c:pt idx="0">
                  <c:v>Business Revenue</c:v>
                </c:pt>
              </c:strCache>
            </c:strRef>
          </c:tx>
          <c:spPr>
            <a:ln w="38100">
              <a:solidFill>
                <a:srgbClr val="000000"/>
              </a:solidFill>
              <a:prstDash val="solid"/>
            </a:ln>
          </c:spPr>
          <c:marker>
            <c:symbol val="none"/>
          </c:marker>
          <c:cat>
            <c:numRef>
              <c:f>Worksheet!$C$34:$G$34</c:f>
              <c:numCache>
                <c:formatCode>#,##0</c:formatCode>
                <c:ptCount val="5"/>
                <c:pt idx="0">
                  <c:v>0</c:v>
                </c:pt>
                <c:pt idx="1">
                  <c:v>7407.4074074074078</c:v>
                </c:pt>
                <c:pt idx="2">
                  <c:v>14814.814814814816</c:v>
                </c:pt>
                <c:pt idx="3">
                  <c:v>22222.222222222223</c:v>
                </c:pt>
                <c:pt idx="4">
                  <c:v>29629.629629629631</c:v>
                </c:pt>
              </c:numCache>
            </c:numRef>
          </c:cat>
          <c:val>
            <c:numRef>
              <c:f>Worksheet!$C$35:$G$35</c:f>
              <c:numCache>
                <c:formatCode>#,##0</c:formatCode>
                <c:ptCount val="5"/>
                <c:pt idx="0">
                  <c:v>0</c:v>
                </c:pt>
                <c:pt idx="1">
                  <c:v>230000</c:v>
                </c:pt>
                <c:pt idx="2">
                  <c:v>460000</c:v>
                </c:pt>
                <c:pt idx="3">
                  <c:v>690000</c:v>
                </c:pt>
                <c:pt idx="4">
                  <c:v>920000</c:v>
                </c:pt>
              </c:numCache>
            </c:numRef>
          </c:val>
          <c:smooth val="0"/>
          <c:extLst>
            <c:ext xmlns:c16="http://schemas.microsoft.com/office/drawing/2014/chart" uri="{C3380CC4-5D6E-409C-BE32-E72D297353CC}">
              <c16:uniqueId val="{00000004-6662-4B45-9C69-D0EACF4BE3C9}"/>
            </c:ext>
          </c:extLst>
        </c:ser>
        <c:dLbls>
          <c:showLegendKey val="0"/>
          <c:showVal val="0"/>
          <c:showCatName val="0"/>
          <c:showSerName val="0"/>
          <c:showPercent val="0"/>
          <c:showBubbleSize val="0"/>
        </c:dLbls>
        <c:marker val="1"/>
        <c:smooth val="0"/>
        <c:axId val="57009664"/>
        <c:axId val="57011584"/>
      </c:lineChart>
      <c:catAx>
        <c:axId val="57009664"/>
        <c:scaling>
          <c:orientation val="minMax"/>
        </c:scaling>
        <c:delete val="0"/>
        <c:axPos val="b"/>
        <c:title>
          <c:tx>
            <c:rich>
              <a:bodyPr/>
              <a:lstStyle/>
              <a:p>
                <a:pPr>
                  <a:defRPr sz="1600" b="1" i="0" u="none" strike="noStrike" baseline="0">
                    <a:solidFill>
                      <a:srgbClr val="000000"/>
                    </a:solidFill>
                    <a:latin typeface="Arial"/>
                    <a:ea typeface="Arial"/>
                    <a:cs typeface="Arial"/>
                  </a:defRPr>
                </a:pPr>
                <a:r>
                  <a:rPr lang="en-AU"/>
                  <a:t>Number of Sales</a:t>
                </a:r>
              </a:p>
            </c:rich>
          </c:tx>
          <c:layout>
            <c:manualLayout>
              <c:xMode val="edge"/>
              <c:yMode val="edge"/>
              <c:x val="0.51609322974472749"/>
              <c:y val="0.9396411092985339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011584"/>
        <c:crosses val="autoZero"/>
        <c:auto val="1"/>
        <c:lblAlgn val="ctr"/>
        <c:lblOffset val="100"/>
        <c:tickMarkSkip val="1"/>
        <c:noMultiLvlLbl val="0"/>
      </c:catAx>
      <c:valAx>
        <c:axId val="57011584"/>
        <c:scaling>
          <c:orientation val="minMax"/>
        </c:scaling>
        <c:delete val="0"/>
        <c:axPos val="l"/>
        <c:title>
          <c:tx>
            <c:rich>
              <a:bodyPr/>
              <a:lstStyle/>
              <a:p>
                <a:pPr>
                  <a:defRPr sz="1600" b="1" i="0" u="none" strike="noStrike" baseline="0">
                    <a:solidFill>
                      <a:srgbClr val="000000"/>
                    </a:solidFill>
                    <a:latin typeface="Arial"/>
                    <a:ea typeface="Arial"/>
                    <a:cs typeface="Arial"/>
                  </a:defRPr>
                </a:pPr>
                <a:r>
                  <a:rPr lang="en-AU"/>
                  <a:t>Money</a:t>
                </a:r>
              </a:p>
            </c:rich>
          </c:tx>
          <c:layout>
            <c:manualLayout>
              <c:xMode val="edge"/>
              <c:yMode val="edge"/>
              <c:x val="0"/>
              <c:y val="0.3605220228384993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7009664"/>
        <c:crosses val="autoZero"/>
        <c:crossBetween val="midCat"/>
      </c:valAx>
      <c:dTable>
        <c:showHorzBorder val="1"/>
        <c:showVertBorder val="1"/>
        <c:showOutline val="1"/>
        <c:showKeys val="1"/>
        <c:spPr>
          <a:ln w="3175">
            <a:solidFill>
              <a:srgbClr val="000000"/>
            </a:solidFill>
            <a:prstDash val="solid"/>
          </a:ln>
        </c:spPr>
        <c:txPr>
          <a:bodyPr/>
          <a:lstStyle/>
          <a:p>
            <a:pPr rtl="0">
              <a:defRPr sz="1200" b="0" i="0" u="none" strike="noStrike" baseline="0">
                <a:solidFill>
                  <a:srgbClr val="000000"/>
                </a:solidFill>
                <a:latin typeface="Arial"/>
                <a:ea typeface="Arial"/>
                <a:cs typeface="Arial"/>
              </a:defRPr>
            </a:pPr>
            <a:endParaRPr lang="en-US"/>
          </a:p>
        </c:txPr>
      </c:dTable>
      <c:spPr>
        <a:solidFill>
          <a:srgbClr val="FFFFFF"/>
        </a:solid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AU"/>
              <a:t>Decreased Price Breakeven Chart</a:t>
            </a:r>
          </a:p>
        </c:rich>
      </c:tx>
      <c:layout>
        <c:manualLayout>
          <c:xMode val="edge"/>
          <c:yMode val="edge"/>
          <c:x val="0"/>
          <c:y val="0"/>
        </c:manualLayout>
      </c:layout>
      <c:overlay val="0"/>
      <c:spPr>
        <a:noFill/>
        <a:ln w="25400">
          <a:noFill/>
        </a:ln>
      </c:spPr>
    </c:title>
    <c:autoTitleDeleted val="0"/>
    <c:plotArea>
      <c:layout>
        <c:manualLayout>
          <c:layoutTarget val="inner"/>
          <c:xMode val="edge"/>
          <c:yMode val="edge"/>
          <c:x val="0.23418423973362931"/>
          <c:y val="0.14518760195758565"/>
          <c:w val="0.75471698113207553"/>
          <c:h val="0.54975530179445353"/>
        </c:manualLayout>
      </c:layout>
      <c:areaChart>
        <c:grouping val="stacked"/>
        <c:varyColors val="0"/>
        <c:ser>
          <c:idx val="1"/>
          <c:order val="0"/>
          <c:tx>
            <c:strRef>
              <c:f>Worksheet!$B$25</c:f>
              <c:strCache>
                <c:ptCount val="1"/>
                <c:pt idx="0">
                  <c:v>Fixed Costs</c:v>
                </c:pt>
              </c:strCache>
            </c:strRef>
          </c:tx>
          <c:spPr>
            <a:solidFill>
              <a:srgbClr val="FF0000"/>
            </a:solidFill>
            <a:ln w="25400">
              <a:noFill/>
            </a:ln>
          </c:spPr>
          <c:cat>
            <c:numRef>
              <c:f>Worksheet!$C$19:$G$19</c:f>
              <c:numCache>
                <c:formatCode>#,##0</c:formatCode>
                <c:ptCount val="5"/>
                <c:pt idx="0">
                  <c:v>0</c:v>
                </c:pt>
                <c:pt idx="1">
                  <c:v>11574.074074074073</c:v>
                </c:pt>
                <c:pt idx="2">
                  <c:v>23148.148148148146</c:v>
                </c:pt>
                <c:pt idx="3">
                  <c:v>34722.222222222219</c:v>
                </c:pt>
                <c:pt idx="4">
                  <c:v>46296.296296296292</c:v>
                </c:pt>
              </c:numCache>
            </c:numRef>
          </c:cat>
          <c:val>
            <c:numRef>
              <c:f>Worksheet!$C$25:$G$25</c:f>
              <c:numCache>
                <c:formatCode>#,##0</c:formatCode>
                <c:ptCount val="5"/>
                <c:pt idx="0">
                  <c:v>80000</c:v>
                </c:pt>
                <c:pt idx="1">
                  <c:v>80000</c:v>
                </c:pt>
                <c:pt idx="2">
                  <c:v>80000</c:v>
                </c:pt>
                <c:pt idx="3">
                  <c:v>80000</c:v>
                </c:pt>
                <c:pt idx="4">
                  <c:v>80000</c:v>
                </c:pt>
              </c:numCache>
            </c:numRef>
          </c:val>
          <c:extLst>
            <c:ext xmlns:c16="http://schemas.microsoft.com/office/drawing/2014/chart" uri="{C3380CC4-5D6E-409C-BE32-E72D297353CC}">
              <c16:uniqueId val="{00000000-7CED-834A-83C4-A5854BC02810}"/>
            </c:ext>
          </c:extLst>
        </c:ser>
        <c:ser>
          <c:idx val="0"/>
          <c:order val="1"/>
          <c:tx>
            <c:strRef>
              <c:f>Worksheet!$B$22</c:f>
              <c:strCache>
                <c:ptCount val="1"/>
                <c:pt idx="0">
                  <c:v>Variable Costs</c:v>
                </c:pt>
              </c:strCache>
            </c:strRef>
          </c:tx>
          <c:spPr>
            <a:solidFill>
              <a:srgbClr val="0000FF"/>
            </a:solidFill>
            <a:ln w="12700">
              <a:solidFill>
                <a:srgbClr val="0000FF"/>
              </a:solidFill>
              <a:prstDash val="solid"/>
            </a:ln>
          </c:spPr>
          <c:cat>
            <c:numRef>
              <c:f>Worksheet!$C$19:$G$19</c:f>
              <c:numCache>
                <c:formatCode>#,##0</c:formatCode>
                <c:ptCount val="5"/>
                <c:pt idx="0">
                  <c:v>0</c:v>
                </c:pt>
                <c:pt idx="1">
                  <c:v>11574.074074074073</c:v>
                </c:pt>
                <c:pt idx="2">
                  <c:v>23148.148148148146</c:v>
                </c:pt>
                <c:pt idx="3">
                  <c:v>34722.222222222219</c:v>
                </c:pt>
                <c:pt idx="4">
                  <c:v>46296.296296296292</c:v>
                </c:pt>
              </c:numCache>
            </c:numRef>
          </c:cat>
          <c:val>
            <c:numRef>
              <c:f>Worksheet!$C$22:$G$22</c:f>
              <c:numCache>
                <c:formatCode>#,##0</c:formatCode>
                <c:ptCount val="5"/>
                <c:pt idx="0">
                  <c:v>0</c:v>
                </c:pt>
                <c:pt idx="1">
                  <c:v>215624.99999999997</c:v>
                </c:pt>
                <c:pt idx="2">
                  <c:v>431249.99999999994</c:v>
                </c:pt>
                <c:pt idx="3">
                  <c:v>646875</c:v>
                </c:pt>
                <c:pt idx="4">
                  <c:v>862499.99999999988</c:v>
                </c:pt>
              </c:numCache>
            </c:numRef>
          </c:val>
          <c:extLst>
            <c:ext xmlns:c16="http://schemas.microsoft.com/office/drawing/2014/chart" uri="{C3380CC4-5D6E-409C-BE32-E72D297353CC}">
              <c16:uniqueId val="{00000001-7CED-834A-83C4-A5854BC02810}"/>
            </c:ext>
          </c:extLst>
        </c:ser>
        <c:ser>
          <c:idx val="3"/>
          <c:order val="2"/>
          <c:tx>
            <c:strRef>
              <c:f>Worksheet!$B$27</c:f>
              <c:strCache>
                <c:ptCount val="1"/>
                <c:pt idx="0">
                  <c:v>Operating Surplus</c:v>
                </c:pt>
              </c:strCache>
            </c:strRef>
          </c:tx>
          <c:spPr>
            <a:solidFill>
              <a:srgbClr val="00FF00"/>
            </a:solidFill>
            <a:ln w="12700">
              <a:solidFill>
                <a:srgbClr val="00FF00"/>
              </a:solidFill>
              <a:prstDash val="solid"/>
            </a:ln>
          </c:spPr>
          <c:cat>
            <c:numRef>
              <c:f>Worksheet!$C$19:$G$19</c:f>
              <c:numCache>
                <c:formatCode>#,##0</c:formatCode>
                <c:ptCount val="5"/>
                <c:pt idx="0">
                  <c:v>0</c:v>
                </c:pt>
                <c:pt idx="1">
                  <c:v>11574.074074074073</c:v>
                </c:pt>
                <c:pt idx="2">
                  <c:v>23148.148148148146</c:v>
                </c:pt>
                <c:pt idx="3">
                  <c:v>34722.222222222219</c:v>
                </c:pt>
                <c:pt idx="4">
                  <c:v>46296.296296296292</c:v>
                </c:pt>
              </c:numCache>
            </c:numRef>
          </c:cat>
          <c:val>
            <c:numRef>
              <c:f>Worksheet!$C$27:$G$27</c:f>
              <c:numCache>
                <c:formatCode>#,##0</c:formatCode>
                <c:ptCount val="5"/>
                <c:pt idx="0">
                  <c:v>-80000</c:v>
                </c:pt>
                <c:pt idx="1">
                  <c:v>-30000.000000000029</c:v>
                </c:pt>
                <c:pt idx="2">
                  <c:v>19999.999999999942</c:v>
                </c:pt>
                <c:pt idx="3">
                  <c:v>69999.999999999884</c:v>
                </c:pt>
                <c:pt idx="4">
                  <c:v>119999.99999999988</c:v>
                </c:pt>
              </c:numCache>
            </c:numRef>
          </c:val>
          <c:extLst>
            <c:ext xmlns:c16="http://schemas.microsoft.com/office/drawing/2014/chart" uri="{C3380CC4-5D6E-409C-BE32-E72D297353CC}">
              <c16:uniqueId val="{00000002-7CED-834A-83C4-A5854BC02810}"/>
            </c:ext>
          </c:extLst>
        </c:ser>
        <c:dLbls>
          <c:showLegendKey val="0"/>
          <c:showVal val="0"/>
          <c:showCatName val="0"/>
          <c:showSerName val="0"/>
          <c:showPercent val="0"/>
          <c:showBubbleSize val="0"/>
        </c:dLbls>
        <c:axId val="89719552"/>
        <c:axId val="89721472"/>
      </c:areaChart>
      <c:lineChart>
        <c:grouping val="standard"/>
        <c:varyColors val="0"/>
        <c:ser>
          <c:idx val="4"/>
          <c:order val="3"/>
          <c:tx>
            <c:strRef>
              <c:f>Worksheet!$B$26</c:f>
              <c:strCache>
                <c:ptCount val="1"/>
                <c:pt idx="0">
                  <c:v>Total Costs</c:v>
                </c:pt>
              </c:strCache>
            </c:strRef>
          </c:tx>
          <c:spPr>
            <a:ln w="38100">
              <a:solidFill>
                <a:srgbClr val="FF0000"/>
              </a:solidFill>
              <a:prstDash val="solid"/>
            </a:ln>
          </c:spPr>
          <c:marker>
            <c:symbol val="none"/>
          </c:marker>
          <c:cat>
            <c:numRef>
              <c:f>Worksheet!$C$19:$G$19</c:f>
              <c:numCache>
                <c:formatCode>#,##0</c:formatCode>
                <c:ptCount val="5"/>
                <c:pt idx="0">
                  <c:v>0</c:v>
                </c:pt>
                <c:pt idx="1">
                  <c:v>11574.074074074073</c:v>
                </c:pt>
                <c:pt idx="2">
                  <c:v>23148.148148148146</c:v>
                </c:pt>
                <c:pt idx="3">
                  <c:v>34722.222222222219</c:v>
                </c:pt>
                <c:pt idx="4">
                  <c:v>46296.296296296292</c:v>
                </c:pt>
              </c:numCache>
            </c:numRef>
          </c:cat>
          <c:val>
            <c:numRef>
              <c:f>Worksheet!$C$26:$G$26</c:f>
              <c:numCache>
                <c:formatCode>#,##0</c:formatCode>
                <c:ptCount val="5"/>
                <c:pt idx="0">
                  <c:v>80000</c:v>
                </c:pt>
                <c:pt idx="1">
                  <c:v>295625</c:v>
                </c:pt>
                <c:pt idx="2">
                  <c:v>511249.99999999994</c:v>
                </c:pt>
                <c:pt idx="3">
                  <c:v>726875</c:v>
                </c:pt>
                <c:pt idx="4">
                  <c:v>942499.99999999988</c:v>
                </c:pt>
              </c:numCache>
            </c:numRef>
          </c:val>
          <c:smooth val="0"/>
          <c:extLst>
            <c:ext xmlns:c16="http://schemas.microsoft.com/office/drawing/2014/chart" uri="{C3380CC4-5D6E-409C-BE32-E72D297353CC}">
              <c16:uniqueId val="{00000003-7CED-834A-83C4-A5854BC02810}"/>
            </c:ext>
          </c:extLst>
        </c:ser>
        <c:ser>
          <c:idx val="2"/>
          <c:order val="4"/>
          <c:tx>
            <c:strRef>
              <c:f>Worksheet!$B$20</c:f>
              <c:strCache>
                <c:ptCount val="1"/>
                <c:pt idx="0">
                  <c:v>Business Revenue</c:v>
                </c:pt>
              </c:strCache>
            </c:strRef>
          </c:tx>
          <c:spPr>
            <a:ln w="38100">
              <a:solidFill>
                <a:srgbClr val="000000"/>
              </a:solidFill>
              <a:prstDash val="solid"/>
            </a:ln>
          </c:spPr>
          <c:marker>
            <c:symbol val="none"/>
          </c:marker>
          <c:cat>
            <c:numRef>
              <c:f>Worksheet!$C$19:$G$19</c:f>
              <c:numCache>
                <c:formatCode>#,##0</c:formatCode>
                <c:ptCount val="5"/>
                <c:pt idx="0">
                  <c:v>0</c:v>
                </c:pt>
                <c:pt idx="1">
                  <c:v>11574.074074074073</c:v>
                </c:pt>
                <c:pt idx="2">
                  <c:v>23148.148148148146</c:v>
                </c:pt>
                <c:pt idx="3">
                  <c:v>34722.222222222219</c:v>
                </c:pt>
                <c:pt idx="4">
                  <c:v>46296.296296296292</c:v>
                </c:pt>
              </c:numCache>
            </c:numRef>
          </c:cat>
          <c:val>
            <c:numRef>
              <c:f>Worksheet!$C$20:$G$20</c:f>
              <c:numCache>
                <c:formatCode>#,##0</c:formatCode>
                <c:ptCount val="5"/>
                <c:pt idx="0">
                  <c:v>0</c:v>
                </c:pt>
                <c:pt idx="1">
                  <c:v>265624.99999999994</c:v>
                </c:pt>
                <c:pt idx="2">
                  <c:v>531249.99999999988</c:v>
                </c:pt>
                <c:pt idx="3">
                  <c:v>796874.99999999988</c:v>
                </c:pt>
                <c:pt idx="4">
                  <c:v>1062499.9999999998</c:v>
                </c:pt>
              </c:numCache>
            </c:numRef>
          </c:val>
          <c:smooth val="0"/>
          <c:extLst>
            <c:ext xmlns:c16="http://schemas.microsoft.com/office/drawing/2014/chart" uri="{C3380CC4-5D6E-409C-BE32-E72D297353CC}">
              <c16:uniqueId val="{00000004-7CED-834A-83C4-A5854BC02810}"/>
            </c:ext>
          </c:extLst>
        </c:ser>
        <c:dLbls>
          <c:showLegendKey val="0"/>
          <c:showVal val="0"/>
          <c:showCatName val="0"/>
          <c:showSerName val="0"/>
          <c:showPercent val="0"/>
          <c:showBubbleSize val="0"/>
        </c:dLbls>
        <c:marker val="1"/>
        <c:smooth val="0"/>
        <c:axId val="89719552"/>
        <c:axId val="89721472"/>
      </c:lineChart>
      <c:catAx>
        <c:axId val="89719552"/>
        <c:scaling>
          <c:orientation val="minMax"/>
        </c:scaling>
        <c:delete val="0"/>
        <c:axPos val="b"/>
        <c:title>
          <c:tx>
            <c:rich>
              <a:bodyPr/>
              <a:lstStyle/>
              <a:p>
                <a:pPr>
                  <a:defRPr sz="1600" b="1" i="0" u="none" strike="noStrike" baseline="0">
                    <a:solidFill>
                      <a:srgbClr val="000000"/>
                    </a:solidFill>
                    <a:latin typeface="Arial"/>
                    <a:ea typeface="Arial"/>
                    <a:cs typeface="Arial"/>
                  </a:defRPr>
                </a:pPr>
                <a:r>
                  <a:rPr lang="en-AU"/>
                  <a:t>Number of Sales</a:t>
                </a:r>
              </a:p>
            </c:rich>
          </c:tx>
          <c:layout>
            <c:manualLayout>
              <c:xMode val="edge"/>
              <c:yMode val="edge"/>
              <c:x val="0.51609322974472749"/>
              <c:y val="0.9396411092985339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9721472"/>
        <c:crosses val="autoZero"/>
        <c:auto val="1"/>
        <c:lblAlgn val="ctr"/>
        <c:lblOffset val="100"/>
        <c:tickMarkSkip val="1"/>
        <c:noMultiLvlLbl val="0"/>
      </c:catAx>
      <c:valAx>
        <c:axId val="89721472"/>
        <c:scaling>
          <c:orientation val="minMax"/>
        </c:scaling>
        <c:delete val="0"/>
        <c:axPos val="l"/>
        <c:title>
          <c:tx>
            <c:rich>
              <a:bodyPr/>
              <a:lstStyle/>
              <a:p>
                <a:pPr>
                  <a:defRPr sz="1600" b="1" i="0" u="none" strike="noStrike" baseline="0">
                    <a:solidFill>
                      <a:srgbClr val="000000"/>
                    </a:solidFill>
                    <a:latin typeface="Arial"/>
                    <a:ea typeface="Arial"/>
                    <a:cs typeface="Arial"/>
                  </a:defRPr>
                </a:pPr>
                <a:r>
                  <a:rPr lang="en-AU"/>
                  <a:t>Money</a:t>
                </a:r>
              </a:p>
            </c:rich>
          </c:tx>
          <c:layout>
            <c:manualLayout>
              <c:xMode val="edge"/>
              <c:yMode val="edge"/>
              <c:x val="0"/>
              <c:y val="0.3605220228384993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89719552"/>
        <c:crosses val="autoZero"/>
        <c:crossBetween val="midCat"/>
      </c:valAx>
      <c:dTable>
        <c:showHorzBorder val="1"/>
        <c:showVertBorder val="1"/>
        <c:showOutline val="1"/>
        <c:showKeys val="1"/>
        <c:spPr>
          <a:ln w="3175">
            <a:solidFill>
              <a:srgbClr val="000000"/>
            </a:solidFill>
            <a:prstDash val="solid"/>
          </a:ln>
        </c:spPr>
        <c:txPr>
          <a:bodyPr/>
          <a:lstStyle/>
          <a:p>
            <a:pPr rtl="0">
              <a:defRPr sz="1200" b="0" i="0" u="none" strike="noStrike" baseline="0">
                <a:solidFill>
                  <a:srgbClr val="000000"/>
                </a:solidFill>
                <a:latin typeface="Arial"/>
                <a:ea typeface="Arial"/>
                <a:cs typeface="Arial"/>
              </a:defRPr>
            </a:pPr>
            <a:endParaRPr lang="en-US"/>
          </a:p>
        </c:txPr>
      </c:dTable>
      <c:spPr>
        <a:solidFill>
          <a:srgbClr val="FFFFFF"/>
        </a:solid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25" b="1" i="0" u="sng" strike="noStrike" baseline="0">
                <a:solidFill>
                  <a:srgbClr val="000000"/>
                </a:solidFill>
                <a:latin typeface="Arial"/>
                <a:ea typeface="Arial"/>
                <a:cs typeface="Arial"/>
              </a:defRPr>
            </a:pPr>
            <a:r>
              <a:rPr lang="en-AU"/>
              <a:t>Price Analysis Chart</a:t>
            </a:r>
          </a:p>
        </c:rich>
      </c:tx>
      <c:layout>
        <c:manualLayout>
          <c:xMode val="edge"/>
          <c:yMode val="edge"/>
          <c:x val="0"/>
          <c:y val="1.6949152542372922E-3"/>
        </c:manualLayout>
      </c:layout>
      <c:overlay val="0"/>
      <c:spPr>
        <a:noFill/>
        <a:ln w="25400">
          <a:noFill/>
        </a:ln>
      </c:spPr>
    </c:title>
    <c:autoTitleDeleted val="0"/>
    <c:plotArea>
      <c:layout>
        <c:manualLayout>
          <c:layoutTarget val="inner"/>
          <c:xMode val="edge"/>
          <c:yMode val="edge"/>
          <c:x val="0.20992761116856259"/>
          <c:y val="0.14237288135593221"/>
          <c:w val="0.70113753877973117"/>
          <c:h val="0.6322033898305085"/>
        </c:manualLayout>
      </c:layout>
      <c:lineChart>
        <c:grouping val="standard"/>
        <c:varyColors val="0"/>
        <c:ser>
          <c:idx val="2"/>
          <c:order val="1"/>
          <c:tx>
            <c:strRef>
              <c:f>Worksheet!$B$66</c:f>
              <c:strCache>
                <c:ptCount val="1"/>
                <c:pt idx="0">
                  <c:v>Business Revenue</c:v>
                </c:pt>
              </c:strCache>
            </c:strRef>
          </c:tx>
          <c:spPr>
            <a:ln w="38100">
              <a:solidFill>
                <a:srgbClr val="0000FF"/>
              </a:solidFill>
              <a:prstDash val="solid"/>
            </a:ln>
          </c:spPr>
          <c:marker>
            <c:symbol val="square"/>
            <c:size val="10"/>
            <c:spPr>
              <a:solidFill>
                <a:srgbClr val="0000FF"/>
              </a:solidFill>
              <a:ln>
                <a:solidFill>
                  <a:srgbClr val="0000FF"/>
                </a:solidFill>
                <a:prstDash val="solid"/>
              </a:ln>
            </c:spPr>
          </c:marker>
          <c:cat>
            <c:numRef>
              <c:f>Worksheet!$C$64:$E$64</c:f>
              <c:numCache>
                <c:formatCode>#,##0</c:formatCode>
                <c:ptCount val="3"/>
                <c:pt idx="0">
                  <c:v>22.95</c:v>
                </c:pt>
                <c:pt idx="1">
                  <c:v>27</c:v>
                </c:pt>
                <c:pt idx="2">
                  <c:v>31.049999999999997</c:v>
                </c:pt>
              </c:numCache>
            </c:numRef>
          </c:cat>
          <c:val>
            <c:numRef>
              <c:f>Worksheet!$C$66:$E$66</c:f>
              <c:numCache>
                <c:formatCode>#,##0</c:formatCode>
                <c:ptCount val="3"/>
                <c:pt idx="0">
                  <c:v>531249.99999999988</c:v>
                </c:pt>
                <c:pt idx="1">
                  <c:v>500000</c:v>
                </c:pt>
                <c:pt idx="2">
                  <c:v>460000</c:v>
                </c:pt>
              </c:numCache>
            </c:numRef>
          </c:val>
          <c:smooth val="1"/>
          <c:extLst>
            <c:ext xmlns:c16="http://schemas.microsoft.com/office/drawing/2014/chart" uri="{C3380CC4-5D6E-409C-BE32-E72D297353CC}">
              <c16:uniqueId val="{00000000-45D3-344B-8125-CF12D0D9D389}"/>
            </c:ext>
          </c:extLst>
        </c:ser>
        <c:ser>
          <c:idx val="3"/>
          <c:order val="2"/>
          <c:tx>
            <c:strRef>
              <c:f>Worksheet!$B$67</c:f>
              <c:strCache>
                <c:ptCount val="1"/>
                <c:pt idx="0">
                  <c:v>Operating Surplus</c:v>
                </c:pt>
              </c:strCache>
            </c:strRef>
          </c:tx>
          <c:spPr>
            <a:ln w="38100">
              <a:solidFill>
                <a:srgbClr val="00FF00"/>
              </a:solidFill>
              <a:prstDash val="solid"/>
            </a:ln>
          </c:spPr>
          <c:marker>
            <c:symbol val="diamond"/>
            <c:size val="10"/>
            <c:spPr>
              <a:solidFill>
                <a:srgbClr val="00FF00"/>
              </a:solidFill>
              <a:ln>
                <a:solidFill>
                  <a:srgbClr val="00FF00"/>
                </a:solidFill>
                <a:prstDash val="solid"/>
              </a:ln>
            </c:spPr>
          </c:marker>
          <c:cat>
            <c:numRef>
              <c:f>Worksheet!$C$64:$E$64</c:f>
              <c:numCache>
                <c:formatCode>#,##0</c:formatCode>
                <c:ptCount val="3"/>
                <c:pt idx="0">
                  <c:v>22.95</c:v>
                </c:pt>
                <c:pt idx="1">
                  <c:v>27</c:v>
                </c:pt>
                <c:pt idx="2">
                  <c:v>31.049999999999997</c:v>
                </c:pt>
              </c:numCache>
            </c:numRef>
          </c:cat>
          <c:val>
            <c:numRef>
              <c:f>Worksheet!$C$67:$E$67</c:f>
              <c:numCache>
                <c:formatCode>#,##0</c:formatCode>
                <c:ptCount val="3"/>
                <c:pt idx="0">
                  <c:v>19999.999999999942</c:v>
                </c:pt>
                <c:pt idx="1">
                  <c:v>75000</c:v>
                </c:pt>
                <c:pt idx="2">
                  <c:v>104000</c:v>
                </c:pt>
              </c:numCache>
            </c:numRef>
          </c:val>
          <c:smooth val="0"/>
          <c:extLst>
            <c:ext xmlns:c16="http://schemas.microsoft.com/office/drawing/2014/chart" uri="{C3380CC4-5D6E-409C-BE32-E72D297353CC}">
              <c16:uniqueId val="{00000001-45D3-344B-8125-CF12D0D9D389}"/>
            </c:ext>
          </c:extLst>
        </c:ser>
        <c:dLbls>
          <c:showLegendKey val="0"/>
          <c:showVal val="0"/>
          <c:showCatName val="0"/>
          <c:showSerName val="0"/>
          <c:showPercent val="0"/>
          <c:showBubbleSize val="0"/>
        </c:dLbls>
        <c:marker val="1"/>
        <c:smooth val="0"/>
        <c:axId val="89770624"/>
        <c:axId val="89777280"/>
      </c:lineChart>
      <c:lineChart>
        <c:grouping val="standard"/>
        <c:varyColors val="0"/>
        <c:ser>
          <c:idx val="1"/>
          <c:order val="0"/>
          <c:tx>
            <c:strRef>
              <c:f>Worksheet!$B$65</c:f>
              <c:strCache>
                <c:ptCount val="1"/>
                <c:pt idx="0">
                  <c:v>Number of Sales</c:v>
                </c:pt>
              </c:strCache>
            </c:strRef>
          </c:tx>
          <c:spPr>
            <a:ln w="38100">
              <a:solidFill>
                <a:srgbClr val="FF0000"/>
              </a:solidFill>
              <a:prstDash val="solid"/>
            </a:ln>
          </c:spPr>
          <c:marker>
            <c:symbol val="triangle"/>
            <c:size val="10"/>
            <c:spPr>
              <a:solidFill>
                <a:srgbClr val="FF0000"/>
              </a:solidFill>
              <a:ln>
                <a:solidFill>
                  <a:srgbClr val="FF0000"/>
                </a:solidFill>
                <a:prstDash val="solid"/>
              </a:ln>
            </c:spPr>
          </c:marker>
          <c:cat>
            <c:numRef>
              <c:f>Worksheet!$C$64:$E$64</c:f>
              <c:numCache>
                <c:formatCode>#,##0</c:formatCode>
                <c:ptCount val="3"/>
                <c:pt idx="0">
                  <c:v>22.95</c:v>
                </c:pt>
                <c:pt idx="1">
                  <c:v>27</c:v>
                </c:pt>
                <c:pt idx="2">
                  <c:v>31.049999999999997</c:v>
                </c:pt>
              </c:numCache>
            </c:numRef>
          </c:cat>
          <c:val>
            <c:numRef>
              <c:f>Worksheet!$C$65:$E$65</c:f>
              <c:numCache>
                <c:formatCode>#,##0</c:formatCode>
                <c:ptCount val="3"/>
                <c:pt idx="0">
                  <c:v>23148.148148148146</c:v>
                </c:pt>
                <c:pt idx="1">
                  <c:v>18518.518518518518</c:v>
                </c:pt>
                <c:pt idx="2">
                  <c:v>14814.814814814816</c:v>
                </c:pt>
              </c:numCache>
            </c:numRef>
          </c:val>
          <c:smooth val="0"/>
          <c:extLst>
            <c:ext xmlns:c16="http://schemas.microsoft.com/office/drawing/2014/chart" uri="{C3380CC4-5D6E-409C-BE32-E72D297353CC}">
              <c16:uniqueId val="{00000002-45D3-344B-8125-CF12D0D9D389}"/>
            </c:ext>
          </c:extLst>
        </c:ser>
        <c:dLbls>
          <c:showLegendKey val="0"/>
          <c:showVal val="0"/>
          <c:showCatName val="0"/>
          <c:showSerName val="0"/>
          <c:showPercent val="0"/>
          <c:showBubbleSize val="0"/>
        </c:dLbls>
        <c:marker val="1"/>
        <c:smooth val="0"/>
        <c:axId val="89779200"/>
        <c:axId val="89780992"/>
      </c:lineChart>
      <c:catAx>
        <c:axId val="89770624"/>
        <c:scaling>
          <c:orientation val="minMax"/>
        </c:scaling>
        <c:delete val="0"/>
        <c:axPos val="b"/>
        <c:title>
          <c:tx>
            <c:rich>
              <a:bodyPr/>
              <a:lstStyle/>
              <a:p>
                <a:pPr>
                  <a:defRPr sz="1550" b="1" i="0" u="none" strike="noStrike" baseline="0">
                    <a:solidFill>
                      <a:srgbClr val="000000"/>
                    </a:solidFill>
                    <a:latin typeface="Arial"/>
                    <a:ea typeface="Arial"/>
                    <a:cs typeface="Arial"/>
                  </a:defRPr>
                </a:pPr>
                <a:r>
                  <a:rPr lang="en-AU"/>
                  <a:t>Average Sale Price</a:t>
                </a:r>
              </a:p>
            </c:rich>
          </c:tx>
          <c:layout>
            <c:manualLayout>
              <c:xMode val="edge"/>
              <c:yMode val="edge"/>
              <c:x val="0.45915201654601823"/>
              <c:y val="0.9372881355932203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89777280"/>
        <c:crosses val="autoZero"/>
        <c:auto val="1"/>
        <c:lblAlgn val="ctr"/>
        <c:lblOffset val="100"/>
        <c:tickMarkSkip val="1"/>
        <c:noMultiLvlLbl val="0"/>
      </c:catAx>
      <c:valAx>
        <c:axId val="89777280"/>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AU"/>
                  <a:t>Money</a:t>
                </a:r>
              </a:p>
            </c:rich>
          </c:tx>
          <c:layout>
            <c:manualLayout>
              <c:xMode val="edge"/>
              <c:yMode val="edge"/>
              <c:x val="0"/>
              <c:y val="0.39661016949152617"/>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89770624"/>
        <c:crosses val="autoZero"/>
        <c:crossBetween val="between"/>
      </c:valAx>
      <c:catAx>
        <c:axId val="89779200"/>
        <c:scaling>
          <c:orientation val="minMax"/>
        </c:scaling>
        <c:delete val="1"/>
        <c:axPos val="b"/>
        <c:numFmt formatCode="#,##0" sourceLinked="1"/>
        <c:majorTickMark val="out"/>
        <c:minorTickMark val="none"/>
        <c:tickLblPos val="none"/>
        <c:crossAx val="89780992"/>
        <c:crosses val="autoZero"/>
        <c:auto val="1"/>
        <c:lblAlgn val="ctr"/>
        <c:lblOffset val="100"/>
        <c:noMultiLvlLbl val="0"/>
      </c:catAx>
      <c:valAx>
        <c:axId val="89780992"/>
        <c:scaling>
          <c:orientation val="minMax"/>
        </c:scaling>
        <c:delete val="0"/>
        <c:axPos val="r"/>
        <c:title>
          <c:tx>
            <c:rich>
              <a:bodyPr/>
              <a:lstStyle/>
              <a:p>
                <a:pPr>
                  <a:defRPr sz="1550" b="1" i="0" u="none" strike="noStrike" baseline="0">
                    <a:solidFill>
                      <a:srgbClr val="000000"/>
                    </a:solidFill>
                    <a:latin typeface="Arial"/>
                    <a:ea typeface="Arial"/>
                    <a:cs typeface="Arial"/>
                  </a:defRPr>
                </a:pPr>
                <a:r>
                  <a:rPr lang="en-AU"/>
                  <a:t>Number of Sales</a:t>
                </a:r>
              </a:p>
            </c:rich>
          </c:tx>
          <c:layout>
            <c:manualLayout>
              <c:xMode val="edge"/>
              <c:yMode val="edge"/>
              <c:x val="0.96173733195449862"/>
              <c:y val="0.3118644067796630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89779200"/>
        <c:crosses val="max"/>
        <c:crossBetween val="between"/>
      </c:valAx>
      <c:dTable>
        <c:showHorzBorder val="1"/>
        <c:showVertBorder val="1"/>
        <c:showOutline val="1"/>
        <c:showKeys val="1"/>
        <c:spPr>
          <a:ln w="3175">
            <a:solidFill>
              <a:srgbClr val="000000"/>
            </a:solidFill>
            <a:prstDash val="solid"/>
          </a:ln>
        </c:spPr>
        <c:txPr>
          <a:bodyPr/>
          <a:lstStyle/>
          <a:p>
            <a:pPr rtl="0">
              <a:defRPr sz="1150" b="0" i="0" u="none" strike="noStrike" baseline="0">
                <a:solidFill>
                  <a:srgbClr val="000000"/>
                </a:solidFill>
                <a:latin typeface="Arial"/>
                <a:ea typeface="Arial"/>
                <a:cs typeface="Arial"/>
              </a:defRPr>
            </a:pPr>
            <a:endParaRPr lang="en-US"/>
          </a:p>
        </c:txPr>
      </c:dTable>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AU"/>
              <a:t>Optimum Price Breakeven Chart</a:t>
            </a:r>
          </a:p>
        </c:rich>
      </c:tx>
      <c:layout>
        <c:manualLayout>
          <c:xMode val="edge"/>
          <c:yMode val="edge"/>
          <c:x val="0"/>
          <c:y val="0"/>
        </c:manualLayout>
      </c:layout>
      <c:overlay val="0"/>
      <c:spPr>
        <a:noFill/>
        <a:ln w="25400">
          <a:noFill/>
        </a:ln>
      </c:spPr>
    </c:title>
    <c:autoTitleDeleted val="0"/>
    <c:plotArea>
      <c:layout>
        <c:manualLayout>
          <c:layoutTarget val="inner"/>
          <c:xMode val="edge"/>
          <c:yMode val="edge"/>
          <c:x val="0.23418423973362931"/>
          <c:y val="0.14518760195758565"/>
          <c:w val="0.75471698113207553"/>
          <c:h val="0.54975530179445353"/>
        </c:manualLayout>
      </c:layout>
      <c:areaChart>
        <c:grouping val="stacked"/>
        <c:varyColors val="0"/>
        <c:ser>
          <c:idx val="1"/>
          <c:order val="0"/>
          <c:tx>
            <c:strRef>
              <c:f>Worksheet!$B$55</c:f>
              <c:strCache>
                <c:ptCount val="1"/>
                <c:pt idx="0">
                  <c:v>Fixed Costs</c:v>
                </c:pt>
              </c:strCache>
            </c:strRef>
          </c:tx>
          <c:spPr>
            <a:solidFill>
              <a:srgbClr val="FF0000"/>
            </a:solidFill>
            <a:ln w="25400">
              <a:noFill/>
            </a:ln>
          </c:spPr>
          <c:cat>
            <c:numRef>
              <c:f>Worksheet!$C$49:$G$49</c:f>
              <c:numCache>
                <c:formatCode>#,##0</c:formatCode>
                <c:ptCount val="5"/>
                <c:pt idx="0">
                  <c:v>0</c:v>
                </c:pt>
                <c:pt idx="1">
                  <c:v>6543.2098765432083</c:v>
                </c:pt>
                <c:pt idx="2">
                  <c:v>13086.419753086417</c:v>
                </c:pt>
                <c:pt idx="3">
                  <c:v>19629.629629629624</c:v>
                </c:pt>
                <c:pt idx="4">
                  <c:v>26172.839506172833</c:v>
                </c:pt>
              </c:numCache>
            </c:numRef>
          </c:cat>
          <c:val>
            <c:numRef>
              <c:f>Worksheet!$C$55:$G$55</c:f>
              <c:numCache>
                <c:formatCode>#,##0</c:formatCode>
                <c:ptCount val="5"/>
                <c:pt idx="0">
                  <c:v>80000</c:v>
                </c:pt>
                <c:pt idx="1">
                  <c:v>80000</c:v>
                </c:pt>
                <c:pt idx="2">
                  <c:v>80000</c:v>
                </c:pt>
                <c:pt idx="3">
                  <c:v>80000</c:v>
                </c:pt>
                <c:pt idx="4">
                  <c:v>80000</c:v>
                </c:pt>
              </c:numCache>
            </c:numRef>
          </c:val>
          <c:extLst>
            <c:ext xmlns:c16="http://schemas.microsoft.com/office/drawing/2014/chart" uri="{C3380CC4-5D6E-409C-BE32-E72D297353CC}">
              <c16:uniqueId val="{00000000-76A9-0346-8F51-291C93DAD06B}"/>
            </c:ext>
          </c:extLst>
        </c:ser>
        <c:ser>
          <c:idx val="0"/>
          <c:order val="1"/>
          <c:tx>
            <c:strRef>
              <c:f>Worksheet!$B$52</c:f>
              <c:strCache>
                <c:ptCount val="1"/>
                <c:pt idx="0">
                  <c:v>Variable Costs</c:v>
                </c:pt>
              </c:strCache>
            </c:strRef>
          </c:tx>
          <c:spPr>
            <a:solidFill>
              <a:srgbClr val="0000FF"/>
            </a:solidFill>
            <a:ln w="12700">
              <a:solidFill>
                <a:srgbClr val="0000FF"/>
              </a:solidFill>
              <a:prstDash val="solid"/>
            </a:ln>
          </c:spPr>
          <c:cat>
            <c:numRef>
              <c:f>Worksheet!$C$49:$G$49</c:f>
              <c:numCache>
                <c:formatCode>#,##0</c:formatCode>
                <c:ptCount val="5"/>
                <c:pt idx="0">
                  <c:v>0</c:v>
                </c:pt>
                <c:pt idx="1">
                  <c:v>6543.2098765432083</c:v>
                </c:pt>
                <c:pt idx="2">
                  <c:v>13086.419753086417</c:v>
                </c:pt>
                <c:pt idx="3">
                  <c:v>19629.629629629624</c:v>
                </c:pt>
                <c:pt idx="4">
                  <c:v>26172.839506172833</c:v>
                </c:pt>
              </c:numCache>
            </c:numRef>
          </c:cat>
          <c:val>
            <c:numRef>
              <c:f>Worksheet!$C$52:$G$52</c:f>
              <c:numCache>
                <c:formatCode>#,##0</c:formatCode>
                <c:ptCount val="5"/>
                <c:pt idx="0">
                  <c:v>0</c:v>
                </c:pt>
                <c:pt idx="1">
                  <c:v>121899.99999999997</c:v>
                </c:pt>
                <c:pt idx="2">
                  <c:v>243799.99999999994</c:v>
                </c:pt>
                <c:pt idx="3">
                  <c:v>365699.99999999994</c:v>
                </c:pt>
                <c:pt idx="4">
                  <c:v>487599.99999999988</c:v>
                </c:pt>
              </c:numCache>
            </c:numRef>
          </c:val>
          <c:extLst>
            <c:ext xmlns:c16="http://schemas.microsoft.com/office/drawing/2014/chart" uri="{C3380CC4-5D6E-409C-BE32-E72D297353CC}">
              <c16:uniqueId val="{00000001-76A9-0346-8F51-291C93DAD06B}"/>
            </c:ext>
          </c:extLst>
        </c:ser>
        <c:ser>
          <c:idx val="3"/>
          <c:order val="2"/>
          <c:tx>
            <c:strRef>
              <c:f>Worksheet!$B$57</c:f>
              <c:strCache>
                <c:ptCount val="1"/>
                <c:pt idx="0">
                  <c:v>Operating Surplus</c:v>
                </c:pt>
              </c:strCache>
            </c:strRef>
          </c:tx>
          <c:spPr>
            <a:solidFill>
              <a:srgbClr val="00FF00"/>
            </a:solidFill>
            <a:ln w="12700">
              <a:solidFill>
                <a:srgbClr val="00FF00"/>
              </a:solidFill>
              <a:prstDash val="solid"/>
            </a:ln>
          </c:spPr>
          <c:cat>
            <c:numRef>
              <c:f>Worksheet!$C$49:$G$49</c:f>
              <c:numCache>
                <c:formatCode>#,##0</c:formatCode>
                <c:ptCount val="5"/>
                <c:pt idx="0">
                  <c:v>0</c:v>
                </c:pt>
                <c:pt idx="1">
                  <c:v>6543.2098765432083</c:v>
                </c:pt>
                <c:pt idx="2">
                  <c:v>13086.419753086417</c:v>
                </c:pt>
                <c:pt idx="3">
                  <c:v>19629.629629629624</c:v>
                </c:pt>
                <c:pt idx="4">
                  <c:v>26172.839506172833</c:v>
                </c:pt>
              </c:numCache>
            </c:numRef>
          </c:cat>
          <c:val>
            <c:numRef>
              <c:f>Worksheet!$C$57:$G$57</c:f>
              <c:numCache>
                <c:formatCode>#,##0</c:formatCode>
                <c:ptCount val="5"/>
                <c:pt idx="0">
                  <c:v>-80000</c:v>
                </c:pt>
                <c:pt idx="1">
                  <c:v>13633.333333333285</c:v>
                </c:pt>
                <c:pt idx="2">
                  <c:v>107266.66666666657</c:v>
                </c:pt>
                <c:pt idx="3">
                  <c:v>200899.99999999983</c:v>
                </c:pt>
                <c:pt idx="4">
                  <c:v>294533.33333333314</c:v>
                </c:pt>
              </c:numCache>
            </c:numRef>
          </c:val>
          <c:extLst>
            <c:ext xmlns:c16="http://schemas.microsoft.com/office/drawing/2014/chart" uri="{C3380CC4-5D6E-409C-BE32-E72D297353CC}">
              <c16:uniqueId val="{00000002-76A9-0346-8F51-291C93DAD06B}"/>
            </c:ext>
          </c:extLst>
        </c:ser>
        <c:dLbls>
          <c:showLegendKey val="0"/>
          <c:showVal val="0"/>
          <c:showCatName val="0"/>
          <c:showSerName val="0"/>
          <c:showPercent val="0"/>
          <c:showBubbleSize val="0"/>
        </c:dLbls>
        <c:axId val="99989376"/>
        <c:axId val="100020224"/>
      </c:areaChart>
      <c:lineChart>
        <c:grouping val="standard"/>
        <c:varyColors val="0"/>
        <c:ser>
          <c:idx val="4"/>
          <c:order val="3"/>
          <c:tx>
            <c:strRef>
              <c:f>Worksheet!$B$56</c:f>
              <c:strCache>
                <c:ptCount val="1"/>
                <c:pt idx="0">
                  <c:v>Total Costs</c:v>
                </c:pt>
              </c:strCache>
            </c:strRef>
          </c:tx>
          <c:spPr>
            <a:ln w="38100">
              <a:solidFill>
                <a:srgbClr val="FF0000"/>
              </a:solidFill>
              <a:prstDash val="solid"/>
            </a:ln>
          </c:spPr>
          <c:marker>
            <c:symbol val="none"/>
          </c:marker>
          <c:cat>
            <c:numRef>
              <c:f>Worksheet!$C$49:$G$49</c:f>
              <c:numCache>
                <c:formatCode>#,##0</c:formatCode>
                <c:ptCount val="5"/>
                <c:pt idx="0">
                  <c:v>0</c:v>
                </c:pt>
                <c:pt idx="1">
                  <c:v>6543.2098765432083</c:v>
                </c:pt>
                <c:pt idx="2">
                  <c:v>13086.419753086417</c:v>
                </c:pt>
                <c:pt idx="3">
                  <c:v>19629.629629629624</c:v>
                </c:pt>
                <c:pt idx="4">
                  <c:v>26172.839506172833</c:v>
                </c:pt>
              </c:numCache>
            </c:numRef>
          </c:cat>
          <c:val>
            <c:numRef>
              <c:f>Worksheet!$C$56:$G$56</c:f>
              <c:numCache>
                <c:formatCode>#,##0</c:formatCode>
                <c:ptCount val="5"/>
                <c:pt idx="0">
                  <c:v>80000</c:v>
                </c:pt>
                <c:pt idx="1">
                  <c:v>201899.99999999997</c:v>
                </c:pt>
                <c:pt idx="2">
                  <c:v>323799.99999999994</c:v>
                </c:pt>
                <c:pt idx="3">
                  <c:v>445699.99999999994</c:v>
                </c:pt>
                <c:pt idx="4">
                  <c:v>567599.99999999988</c:v>
                </c:pt>
              </c:numCache>
            </c:numRef>
          </c:val>
          <c:smooth val="0"/>
          <c:extLst>
            <c:ext xmlns:c16="http://schemas.microsoft.com/office/drawing/2014/chart" uri="{C3380CC4-5D6E-409C-BE32-E72D297353CC}">
              <c16:uniqueId val="{00000003-76A9-0346-8F51-291C93DAD06B}"/>
            </c:ext>
          </c:extLst>
        </c:ser>
        <c:ser>
          <c:idx val="2"/>
          <c:order val="4"/>
          <c:tx>
            <c:strRef>
              <c:f>Worksheet!$B$50</c:f>
              <c:strCache>
                <c:ptCount val="1"/>
                <c:pt idx="0">
                  <c:v>Business Revenue</c:v>
                </c:pt>
              </c:strCache>
            </c:strRef>
          </c:tx>
          <c:spPr>
            <a:ln w="38100">
              <a:solidFill>
                <a:srgbClr val="000000"/>
              </a:solidFill>
              <a:prstDash val="solid"/>
            </a:ln>
          </c:spPr>
          <c:marker>
            <c:symbol val="none"/>
          </c:marker>
          <c:cat>
            <c:numRef>
              <c:f>Worksheet!$C$49:$G$49</c:f>
              <c:numCache>
                <c:formatCode>#,##0</c:formatCode>
                <c:ptCount val="5"/>
                <c:pt idx="0">
                  <c:v>0</c:v>
                </c:pt>
                <c:pt idx="1">
                  <c:v>6543.2098765432083</c:v>
                </c:pt>
                <c:pt idx="2">
                  <c:v>13086.419753086417</c:v>
                </c:pt>
                <c:pt idx="3">
                  <c:v>19629.629629629624</c:v>
                </c:pt>
                <c:pt idx="4">
                  <c:v>26172.839506172833</c:v>
                </c:pt>
              </c:numCache>
            </c:numRef>
          </c:cat>
          <c:val>
            <c:numRef>
              <c:f>Worksheet!$C$50:$G$50</c:f>
              <c:numCache>
                <c:formatCode>#,##0</c:formatCode>
                <c:ptCount val="5"/>
                <c:pt idx="0">
                  <c:v>0</c:v>
                </c:pt>
                <c:pt idx="1">
                  <c:v>215533.33333333326</c:v>
                </c:pt>
                <c:pt idx="2">
                  <c:v>431066.66666666651</c:v>
                </c:pt>
                <c:pt idx="3">
                  <c:v>646599.99999999977</c:v>
                </c:pt>
                <c:pt idx="4">
                  <c:v>862133.33333333302</c:v>
                </c:pt>
              </c:numCache>
            </c:numRef>
          </c:val>
          <c:smooth val="0"/>
          <c:extLst>
            <c:ext xmlns:c16="http://schemas.microsoft.com/office/drawing/2014/chart" uri="{C3380CC4-5D6E-409C-BE32-E72D297353CC}">
              <c16:uniqueId val="{00000004-76A9-0346-8F51-291C93DAD06B}"/>
            </c:ext>
          </c:extLst>
        </c:ser>
        <c:dLbls>
          <c:showLegendKey val="0"/>
          <c:showVal val="0"/>
          <c:showCatName val="0"/>
          <c:showSerName val="0"/>
          <c:showPercent val="0"/>
          <c:showBubbleSize val="0"/>
        </c:dLbls>
        <c:marker val="1"/>
        <c:smooth val="0"/>
        <c:axId val="99989376"/>
        <c:axId val="100020224"/>
      </c:lineChart>
      <c:catAx>
        <c:axId val="99989376"/>
        <c:scaling>
          <c:orientation val="minMax"/>
        </c:scaling>
        <c:delete val="0"/>
        <c:axPos val="b"/>
        <c:title>
          <c:tx>
            <c:rich>
              <a:bodyPr/>
              <a:lstStyle/>
              <a:p>
                <a:pPr>
                  <a:defRPr sz="1600" b="1" i="0" u="none" strike="noStrike" baseline="0">
                    <a:solidFill>
                      <a:srgbClr val="000000"/>
                    </a:solidFill>
                    <a:latin typeface="Arial"/>
                    <a:ea typeface="Arial"/>
                    <a:cs typeface="Arial"/>
                  </a:defRPr>
                </a:pPr>
                <a:r>
                  <a:rPr lang="en-AU"/>
                  <a:t>Number of Sales</a:t>
                </a:r>
              </a:p>
            </c:rich>
          </c:tx>
          <c:layout>
            <c:manualLayout>
              <c:xMode val="edge"/>
              <c:yMode val="edge"/>
              <c:x val="0.51609322974472749"/>
              <c:y val="0.9396411092985339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0020224"/>
        <c:crosses val="autoZero"/>
        <c:auto val="1"/>
        <c:lblAlgn val="ctr"/>
        <c:lblOffset val="100"/>
        <c:tickMarkSkip val="1"/>
        <c:noMultiLvlLbl val="0"/>
      </c:catAx>
      <c:valAx>
        <c:axId val="100020224"/>
        <c:scaling>
          <c:orientation val="minMax"/>
        </c:scaling>
        <c:delete val="0"/>
        <c:axPos val="l"/>
        <c:title>
          <c:tx>
            <c:rich>
              <a:bodyPr/>
              <a:lstStyle/>
              <a:p>
                <a:pPr>
                  <a:defRPr sz="1600" b="1" i="0" u="none" strike="noStrike" baseline="0">
                    <a:solidFill>
                      <a:srgbClr val="000000"/>
                    </a:solidFill>
                    <a:latin typeface="Arial"/>
                    <a:ea typeface="Arial"/>
                    <a:cs typeface="Arial"/>
                  </a:defRPr>
                </a:pPr>
                <a:r>
                  <a:rPr lang="en-AU"/>
                  <a:t>Money</a:t>
                </a:r>
              </a:p>
            </c:rich>
          </c:tx>
          <c:layout>
            <c:manualLayout>
              <c:xMode val="edge"/>
              <c:yMode val="edge"/>
              <c:x val="0"/>
              <c:y val="0.3605220228384993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9989376"/>
        <c:crosses val="autoZero"/>
        <c:crossBetween val="midCat"/>
      </c:valAx>
      <c:dTable>
        <c:showHorzBorder val="1"/>
        <c:showVertBorder val="1"/>
        <c:showOutline val="1"/>
        <c:showKeys val="1"/>
        <c:spPr>
          <a:ln w="3175">
            <a:solidFill>
              <a:srgbClr val="000000"/>
            </a:solidFill>
            <a:prstDash val="solid"/>
          </a:ln>
        </c:spPr>
        <c:txPr>
          <a:bodyPr/>
          <a:lstStyle/>
          <a:p>
            <a:pPr rtl="0">
              <a:defRPr sz="1200" b="0" i="0" u="none" strike="noStrike" baseline="0">
                <a:solidFill>
                  <a:srgbClr val="000000"/>
                </a:solidFill>
                <a:latin typeface="Arial"/>
                <a:ea typeface="Arial"/>
                <a:cs typeface="Arial"/>
              </a:defRPr>
            </a:pPr>
            <a:endParaRPr lang="en-US"/>
          </a:p>
        </c:txPr>
      </c:dTable>
      <c:spPr>
        <a:solidFill>
          <a:srgbClr val="FFFFFF"/>
        </a:solid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AU"/>
              <a:t>Extended Price Analysis Chart</a:t>
            </a:r>
          </a:p>
        </c:rich>
      </c:tx>
      <c:layout>
        <c:manualLayout>
          <c:xMode val="edge"/>
          <c:yMode val="edge"/>
          <c:x val="0"/>
          <c:y val="0"/>
        </c:manualLayout>
      </c:layout>
      <c:overlay val="0"/>
      <c:spPr>
        <a:noFill/>
        <a:ln w="25400">
          <a:noFill/>
        </a:ln>
      </c:spPr>
    </c:title>
    <c:autoTitleDeleted val="0"/>
    <c:plotArea>
      <c:layout>
        <c:manualLayout>
          <c:layoutTarget val="inner"/>
          <c:xMode val="edge"/>
          <c:yMode val="edge"/>
          <c:x val="0.10321864594894579"/>
          <c:y val="0.20228384991843393"/>
          <c:w val="0.80577136514983361"/>
          <c:h val="0.67373572593801134"/>
        </c:manualLayout>
      </c:layout>
      <c:barChart>
        <c:barDir val="col"/>
        <c:grouping val="clustered"/>
        <c:varyColors val="0"/>
        <c:ser>
          <c:idx val="5"/>
          <c:order val="3"/>
          <c:tx>
            <c:strRef>
              <c:f>Worksheet!$B$174</c:f>
              <c:strCache>
                <c:ptCount val="1"/>
                <c:pt idx="0">
                  <c:v>Optimum Price</c:v>
                </c:pt>
              </c:strCache>
            </c:strRef>
          </c:tx>
          <c:spPr>
            <a:solidFill>
              <a:srgbClr val="00FFFF"/>
            </a:solidFill>
            <a:ln w="38100">
              <a:solidFill>
                <a:srgbClr val="00FFFF"/>
              </a:solidFill>
              <a:prstDash val="solid"/>
            </a:ln>
          </c:spPr>
          <c:invertIfNegative val="0"/>
          <c:val>
            <c:numRef>
              <c:f>Worksheet!$I$73:$I$173</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431066.66666666651</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C84-1749-B6C8-09F68BA4F5E4}"/>
            </c:ext>
          </c:extLst>
        </c:ser>
        <c:ser>
          <c:idx val="6"/>
          <c:order val="4"/>
          <c:tx>
            <c:strRef>
              <c:f>Worksheet!$B$123</c:f>
              <c:strCache>
                <c:ptCount val="1"/>
                <c:pt idx="0">
                  <c:v>Current Price</c:v>
                </c:pt>
              </c:strCache>
            </c:strRef>
          </c:tx>
          <c:spPr>
            <a:solidFill>
              <a:srgbClr val="FF9900"/>
            </a:solidFill>
            <a:ln w="38100">
              <a:solidFill>
                <a:srgbClr val="FF9900"/>
              </a:solidFill>
              <a:prstDash val="solid"/>
            </a:ln>
          </c:spPr>
          <c:invertIfNegative val="0"/>
          <c:val>
            <c:numRef>
              <c:f>Worksheet!$J$73:$J$173</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500000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C84-1749-B6C8-09F68BA4F5E4}"/>
            </c:ext>
          </c:extLst>
        </c:ser>
        <c:dLbls>
          <c:showLegendKey val="0"/>
          <c:showVal val="0"/>
          <c:showCatName val="0"/>
          <c:showSerName val="0"/>
          <c:showPercent val="0"/>
          <c:showBubbleSize val="0"/>
        </c:dLbls>
        <c:gapWidth val="150"/>
        <c:axId val="100067584"/>
        <c:axId val="100086144"/>
      </c:barChart>
      <c:lineChart>
        <c:grouping val="standard"/>
        <c:varyColors val="0"/>
        <c:ser>
          <c:idx val="2"/>
          <c:order val="1"/>
          <c:tx>
            <c:strRef>
              <c:f>Worksheet!$E$72</c:f>
              <c:strCache>
                <c:ptCount val="1"/>
                <c:pt idx="0">
                  <c:v>Revenue</c:v>
                </c:pt>
              </c:strCache>
            </c:strRef>
          </c:tx>
          <c:spPr>
            <a:ln w="38100">
              <a:solidFill>
                <a:srgbClr val="0000FF"/>
              </a:solidFill>
              <a:prstDash val="solid"/>
            </a:ln>
          </c:spPr>
          <c:marker>
            <c:symbol val="none"/>
          </c:marker>
          <c:cat>
            <c:numRef>
              <c:f>Worksheet!$C$73:$C$173</c:f>
              <c:numCache>
                <c:formatCode>General</c:formatCode>
                <c:ptCount val="101"/>
                <c:pt idx="0">
                  <c:v>13.5</c:v>
                </c:pt>
                <c:pt idx="1">
                  <c:v>13.77</c:v>
                </c:pt>
                <c:pt idx="2">
                  <c:v>14.040000000000001</c:v>
                </c:pt>
                <c:pt idx="3">
                  <c:v>14.31</c:v>
                </c:pt>
                <c:pt idx="4">
                  <c:v>14.580000000000002</c:v>
                </c:pt>
                <c:pt idx="5">
                  <c:v>14.850000000000001</c:v>
                </c:pt>
                <c:pt idx="6">
                  <c:v>15.120000000000001</c:v>
                </c:pt>
                <c:pt idx="7">
                  <c:v>15.390000000000002</c:v>
                </c:pt>
                <c:pt idx="8">
                  <c:v>15.660000000000002</c:v>
                </c:pt>
                <c:pt idx="9">
                  <c:v>15.930000000000001</c:v>
                </c:pt>
                <c:pt idx="10">
                  <c:v>16.2</c:v>
                </c:pt>
                <c:pt idx="11">
                  <c:v>16.47</c:v>
                </c:pt>
                <c:pt idx="12">
                  <c:v>16.739999999999998</c:v>
                </c:pt>
                <c:pt idx="13">
                  <c:v>17.010000000000002</c:v>
                </c:pt>
                <c:pt idx="14">
                  <c:v>17.28</c:v>
                </c:pt>
                <c:pt idx="15">
                  <c:v>17.55</c:v>
                </c:pt>
                <c:pt idx="16">
                  <c:v>17.819999999999997</c:v>
                </c:pt>
                <c:pt idx="17">
                  <c:v>18.089999999999996</c:v>
                </c:pt>
                <c:pt idx="18">
                  <c:v>18.36</c:v>
                </c:pt>
                <c:pt idx="19">
                  <c:v>18.63</c:v>
                </c:pt>
                <c:pt idx="20">
                  <c:v>18.899999999999999</c:v>
                </c:pt>
                <c:pt idx="21">
                  <c:v>19.169999999999998</c:v>
                </c:pt>
                <c:pt idx="22">
                  <c:v>19.439999999999998</c:v>
                </c:pt>
                <c:pt idx="23">
                  <c:v>19.71</c:v>
                </c:pt>
                <c:pt idx="24">
                  <c:v>19.98</c:v>
                </c:pt>
                <c:pt idx="25">
                  <c:v>20.25</c:v>
                </c:pt>
                <c:pt idx="26">
                  <c:v>20.52</c:v>
                </c:pt>
                <c:pt idx="27">
                  <c:v>20.79</c:v>
                </c:pt>
                <c:pt idx="28">
                  <c:v>21.060000000000002</c:v>
                </c:pt>
                <c:pt idx="29">
                  <c:v>21.330000000000002</c:v>
                </c:pt>
                <c:pt idx="30">
                  <c:v>21.6</c:v>
                </c:pt>
                <c:pt idx="31">
                  <c:v>21.87</c:v>
                </c:pt>
                <c:pt idx="32">
                  <c:v>22.14</c:v>
                </c:pt>
                <c:pt idx="33">
                  <c:v>22.41</c:v>
                </c:pt>
                <c:pt idx="34">
                  <c:v>22.68</c:v>
                </c:pt>
                <c:pt idx="35">
                  <c:v>22.95</c:v>
                </c:pt>
                <c:pt idx="36">
                  <c:v>23.22</c:v>
                </c:pt>
                <c:pt idx="37">
                  <c:v>23.49</c:v>
                </c:pt>
                <c:pt idx="38">
                  <c:v>23.76</c:v>
                </c:pt>
                <c:pt idx="39">
                  <c:v>24.03</c:v>
                </c:pt>
                <c:pt idx="40">
                  <c:v>24.3</c:v>
                </c:pt>
                <c:pt idx="41">
                  <c:v>24.57</c:v>
                </c:pt>
                <c:pt idx="42">
                  <c:v>24.84</c:v>
                </c:pt>
                <c:pt idx="43">
                  <c:v>25.11</c:v>
                </c:pt>
                <c:pt idx="44">
                  <c:v>25.38</c:v>
                </c:pt>
                <c:pt idx="45">
                  <c:v>25.65</c:v>
                </c:pt>
                <c:pt idx="46">
                  <c:v>25.919999999999998</c:v>
                </c:pt>
                <c:pt idx="47">
                  <c:v>26.189999999999998</c:v>
                </c:pt>
                <c:pt idx="48">
                  <c:v>26.46</c:v>
                </c:pt>
                <c:pt idx="49">
                  <c:v>26.73</c:v>
                </c:pt>
                <c:pt idx="50" formatCode="#,##0">
                  <c:v>27</c:v>
                </c:pt>
                <c:pt idx="51">
                  <c:v>27.27</c:v>
                </c:pt>
                <c:pt idx="52">
                  <c:v>27.54</c:v>
                </c:pt>
                <c:pt idx="53">
                  <c:v>27.810000000000002</c:v>
                </c:pt>
                <c:pt idx="54">
                  <c:v>28.080000000000002</c:v>
                </c:pt>
                <c:pt idx="55">
                  <c:v>28.35</c:v>
                </c:pt>
                <c:pt idx="56">
                  <c:v>28.62</c:v>
                </c:pt>
                <c:pt idx="57">
                  <c:v>28.89</c:v>
                </c:pt>
                <c:pt idx="58">
                  <c:v>29.160000000000004</c:v>
                </c:pt>
                <c:pt idx="59">
                  <c:v>29.430000000000003</c:v>
                </c:pt>
                <c:pt idx="60">
                  <c:v>29.700000000000003</c:v>
                </c:pt>
                <c:pt idx="61">
                  <c:v>29.970000000000002</c:v>
                </c:pt>
                <c:pt idx="62">
                  <c:v>30.240000000000002</c:v>
                </c:pt>
                <c:pt idx="63">
                  <c:v>30.509999999999998</c:v>
                </c:pt>
                <c:pt idx="64">
                  <c:v>30.780000000000005</c:v>
                </c:pt>
                <c:pt idx="65">
                  <c:v>31.049999999999997</c:v>
                </c:pt>
                <c:pt idx="66">
                  <c:v>31.319999999999997</c:v>
                </c:pt>
                <c:pt idx="67">
                  <c:v>31.589999999999996</c:v>
                </c:pt>
                <c:pt idx="68">
                  <c:v>31.86</c:v>
                </c:pt>
                <c:pt idx="69">
                  <c:v>32.129999999999995</c:v>
                </c:pt>
                <c:pt idx="70">
                  <c:v>32.4</c:v>
                </c:pt>
                <c:pt idx="71">
                  <c:v>32.67</c:v>
                </c:pt>
                <c:pt idx="72">
                  <c:v>32.94</c:v>
                </c:pt>
                <c:pt idx="73">
                  <c:v>33.21</c:v>
                </c:pt>
                <c:pt idx="74">
                  <c:v>33.479999999999997</c:v>
                </c:pt>
                <c:pt idx="75">
                  <c:v>33.75</c:v>
                </c:pt>
                <c:pt idx="76">
                  <c:v>34.020000000000003</c:v>
                </c:pt>
                <c:pt idx="77">
                  <c:v>34.29</c:v>
                </c:pt>
                <c:pt idx="78">
                  <c:v>34.56</c:v>
                </c:pt>
                <c:pt idx="79">
                  <c:v>34.83</c:v>
                </c:pt>
                <c:pt idx="80">
                  <c:v>35.1</c:v>
                </c:pt>
                <c:pt idx="81">
                  <c:v>35.370000000000005</c:v>
                </c:pt>
                <c:pt idx="82">
                  <c:v>35.64</c:v>
                </c:pt>
                <c:pt idx="83">
                  <c:v>35.910000000000004</c:v>
                </c:pt>
                <c:pt idx="84">
                  <c:v>36.18</c:v>
                </c:pt>
                <c:pt idx="85">
                  <c:v>36.450000000000003</c:v>
                </c:pt>
                <c:pt idx="86">
                  <c:v>36.72</c:v>
                </c:pt>
                <c:pt idx="87">
                  <c:v>36.99</c:v>
                </c:pt>
                <c:pt idx="88">
                  <c:v>37.26</c:v>
                </c:pt>
                <c:pt idx="89">
                  <c:v>37.53</c:v>
                </c:pt>
                <c:pt idx="90">
                  <c:v>37.799999999999997</c:v>
                </c:pt>
                <c:pt idx="91">
                  <c:v>38.07</c:v>
                </c:pt>
                <c:pt idx="92">
                  <c:v>38.339999999999996</c:v>
                </c:pt>
                <c:pt idx="93">
                  <c:v>38.61</c:v>
                </c:pt>
                <c:pt idx="94">
                  <c:v>38.879999999999995</c:v>
                </c:pt>
                <c:pt idx="95">
                  <c:v>39.15</c:v>
                </c:pt>
                <c:pt idx="96">
                  <c:v>39.42</c:v>
                </c:pt>
                <c:pt idx="97">
                  <c:v>39.69</c:v>
                </c:pt>
                <c:pt idx="98">
                  <c:v>39.96</c:v>
                </c:pt>
                <c:pt idx="99">
                  <c:v>40.229999999999997</c:v>
                </c:pt>
                <c:pt idx="100">
                  <c:v>40.5</c:v>
                </c:pt>
              </c:numCache>
            </c:numRef>
          </c:cat>
          <c:val>
            <c:numRef>
              <c:f>Worksheet!$E$73:$E$173</c:f>
              <c:numCache>
                <c:formatCode>General</c:formatCode>
                <c:ptCount val="101"/>
                <c:pt idx="0">
                  <c:v>458333.33333333326</c:v>
                </c:pt>
                <c:pt idx="1">
                  <c:v>463249.99999999977</c:v>
                </c:pt>
                <c:pt idx="2">
                  <c:v>467999.99999999988</c:v>
                </c:pt>
                <c:pt idx="3">
                  <c:v>472583.33333333326</c:v>
                </c:pt>
                <c:pt idx="4">
                  <c:v>476999.99999999988</c:v>
                </c:pt>
                <c:pt idx="5">
                  <c:v>481249.99999999988</c:v>
                </c:pt>
                <c:pt idx="6">
                  <c:v>485333.33333333326</c:v>
                </c:pt>
                <c:pt idx="7">
                  <c:v>489249.99999999994</c:v>
                </c:pt>
                <c:pt idx="8">
                  <c:v>492999.99999999988</c:v>
                </c:pt>
                <c:pt idx="9">
                  <c:v>496583.3333333332</c:v>
                </c:pt>
                <c:pt idx="10">
                  <c:v>499999.99999999983</c:v>
                </c:pt>
                <c:pt idx="11">
                  <c:v>503249.99999999977</c:v>
                </c:pt>
                <c:pt idx="12">
                  <c:v>506333.33333333308</c:v>
                </c:pt>
                <c:pt idx="13">
                  <c:v>509249.99999999994</c:v>
                </c:pt>
                <c:pt idx="14">
                  <c:v>511999.99999999994</c:v>
                </c:pt>
                <c:pt idx="15">
                  <c:v>514583.33333333326</c:v>
                </c:pt>
                <c:pt idx="16">
                  <c:v>516999.99999999983</c:v>
                </c:pt>
                <c:pt idx="17">
                  <c:v>519249.99999999983</c:v>
                </c:pt>
                <c:pt idx="18">
                  <c:v>521333.3333333332</c:v>
                </c:pt>
                <c:pt idx="19">
                  <c:v>523249.99999999988</c:v>
                </c:pt>
                <c:pt idx="20">
                  <c:v>524999.99999999977</c:v>
                </c:pt>
                <c:pt idx="21">
                  <c:v>526583.33333333314</c:v>
                </c:pt>
                <c:pt idx="22">
                  <c:v>527999.99999999977</c:v>
                </c:pt>
                <c:pt idx="23">
                  <c:v>529249.99999999988</c:v>
                </c:pt>
                <c:pt idx="24">
                  <c:v>530333.33333333326</c:v>
                </c:pt>
                <c:pt idx="25">
                  <c:v>531249.99999999988</c:v>
                </c:pt>
                <c:pt idx="26">
                  <c:v>531999.99999999988</c:v>
                </c:pt>
                <c:pt idx="27">
                  <c:v>532583.33333333326</c:v>
                </c:pt>
                <c:pt idx="28">
                  <c:v>533000</c:v>
                </c:pt>
                <c:pt idx="29">
                  <c:v>533249.99999999988</c:v>
                </c:pt>
                <c:pt idx="30">
                  <c:v>533333.33333333326</c:v>
                </c:pt>
                <c:pt idx="31">
                  <c:v>533249.99999999988</c:v>
                </c:pt>
                <c:pt idx="32">
                  <c:v>532999.99999999988</c:v>
                </c:pt>
                <c:pt idx="33">
                  <c:v>532583.33333333326</c:v>
                </c:pt>
                <c:pt idx="34">
                  <c:v>531999.99999999988</c:v>
                </c:pt>
                <c:pt idx="35">
                  <c:v>531249.99999999988</c:v>
                </c:pt>
                <c:pt idx="36">
                  <c:v>530333.33333333314</c:v>
                </c:pt>
                <c:pt idx="37">
                  <c:v>529250</c:v>
                </c:pt>
                <c:pt idx="38">
                  <c:v>528000</c:v>
                </c:pt>
                <c:pt idx="39">
                  <c:v>526583.33333333326</c:v>
                </c:pt>
                <c:pt idx="40">
                  <c:v>525000</c:v>
                </c:pt>
                <c:pt idx="41">
                  <c:v>523250</c:v>
                </c:pt>
                <c:pt idx="42">
                  <c:v>521333.33333333331</c:v>
                </c:pt>
                <c:pt idx="43">
                  <c:v>519250</c:v>
                </c:pt>
                <c:pt idx="44">
                  <c:v>516999.99999999994</c:v>
                </c:pt>
                <c:pt idx="45">
                  <c:v>514583.33333333326</c:v>
                </c:pt>
                <c:pt idx="46">
                  <c:v>511999.99999999994</c:v>
                </c:pt>
                <c:pt idx="47">
                  <c:v>509250</c:v>
                </c:pt>
                <c:pt idx="48">
                  <c:v>506333.33333333331</c:v>
                </c:pt>
                <c:pt idx="49">
                  <c:v>503250</c:v>
                </c:pt>
                <c:pt idx="50">
                  <c:v>500000</c:v>
                </c:pt>
                <c:pt idx="51">
                  <c:v>498266.66666666663</c:v>
                </c:pt>
                <c:pt idx="52">
                  <c:v>496400</c:v>
                </c:pt>
                <c:pt idx="53">
                  <c:v>494400.00000000006</c:v>
                </c:pt>
                <c:pt idx="54">
                  <c:v>492266.66666666669</c:v>
                </c:pt>
                <c:pt idx="55">
                  <c:v>490000</c:v>
                </c:pt>
                <c:pt idx="56">
                  <c:v>487600</c:v>
                </c:pt>
                <c:pt idx="57">
                  <c:v>485066.66666666669</c:v>
                </c:pt>
                <c:pt idx="58">
                  <c:v>482400.00000000006</c:v>
                </c:pt>
                <c:pt idx="59">
                  <c:v>479600</c:v>
                </c:pt>
                <c:pt idx="60">
                  <c:v>476666.66666666663</c:v>
                </c:pt>
                <c:pt idx="61">
                  <c:v>473600</c:v>
                </c:pt>
                <c:pt idx="62">
                  <c:v>470400</c:v>
                </c:pt>
                <c:pt idx="63">
                  <c:v>467066.66666666657</c:v>
                </c:pt>
                <c:pt idx="64">
                  <c:v>463600</c:v>
                </c:pt>
                <c:pt idx="65">
                  <c:v>459999.99999999994</c:v>
                </c:pt>
                <c:pt idx="66">
                  <c:v>456266.66666666657</c:v>
                </c:pt>
                <c:pt idx="67">
                  <c:v>452399.99999999988</c:v>
                </c:pt>
                <c:pt idx="68">
                  <c:v>448399.99999999988</c:v>
                </c:pt>
                <c:pt idx="69">
                  <c:v>444266.66666666657</c:v>
                </c:pt>
                <c:pt idx="70">
                  <c:v>439999.99999999988</c:v>
                </c:pt>
                <c:pt idx="71">
                  <c:v>435599.99999999994</c:v>
                </c:pt>
                <c:pt idx="72">
                  <c:v>431066.66666666651</c:v>
                </c:pt>
                <c:pt idx="73">
                  <c:v>426399.99999999988</c:v>
                </c:pt>
                <c:pt idx="74">
                  <c:v>421599.99999999994</c:v>
                </c:pt>
                <c:pt idx="75">
                  <c:v>416666.66666666657</c:v>
                </c:pt>
                <c:pt idx="76">
                  <c:v>411599.99999999988</c:v>
                </c:pt>
                <c:pt idx="77">
                  <c:v>406399.99999999988</c:v>
                </c:pt>
                <c:pt idx="78">
                  <c:v>401066.66666666657</c:v>
                </c:pt>
                <c:pt idx="79">
                  <c:v>395599.99999999988</c:v>
                </c:pt>
                <c:pt idx="80">
                  <c:v>389999.99999999988</c:v>
                </c:pt>
                <c:pt idx="81">
                  <c:v>384266.66666666657</c:v>
                </c:pt>
                <c:pt idx="82">
                  <c:v>378399.99999999988</c:v>
                </c:pt>
                <c:pt idx="83">
                  <c:v>372399.99999999988</c:v>
                </c:pt>
                <c:pt idx="84">
                  <c:v>366266.66666666645</c:v>
                </c:pt>
                <c:pt idx="85">
                  <c:v>359999.99999999994</c:v>
                </c:pt>
                <c:pt idx="86">
                  <c:v>353599.99999999983</c:v>
                </c:pt>
                <c:pt idx="87">
                  <c:v>347066.66666666645</c:v>
                </c:pt>
                <c:pt idx="88">
                  <c:v>340399.99999999977</c:v>
                </c:pt>
                <c:pt idx="89">
                  <c:v>333599.99999999988</c:v>
                </c:pt>
                <c:pt idx="90">
                  <c:v>326666.66666666651</c:v>
                </c:pt>
                <c:pt idx="91">
                  <c:v>319599.99999999983</c:v>
                </c:pt>
                <c:pt idx="92">
                  <c:v>312399.99999999977</c:v>
                </c:pt>
                <c:pt idx="93">
                  <c:v>305066.66666666645</c:v>
                </c:pt>
                <c:pt idx="94">
                  <c:v>297599.99999999983</c:v>
                </c:pt>
                <c:pt idx="95">
                  <c:v>289999.99999999977</c:v>
                </c:pt>
                <c:pt idx="96">
                  <c:v>282266.66666666645</c:v>
                </c:pt>
                <c:pt idx="97">
                  <c:v>274399.99999999977</c:v>
                </c:pt>
                <c:pt idx="98">
                  <c:v>266399.99999999983</c:v>
                </c:pt>
                <c:pt idx="99">
                  <c:v>258266.6666666664</c:v>
                </c:pt>
                <c:pt idx="100">
                  <c:v>249999.9999999998</c:v>
                </c:pt>
              </c:numCache>
            </c:numRef>
          </c:val>
          <c:smooth val="1"/>
          <c:extLst>
            <c:ext xmlns:c16="http://schemas.microsoft.com/office/drawing/2014/chart" uri="{C3380CC4-5D6E-409C-BE32-E72D297353CC}">
              <c16:uniqueId val="{00000002-AC84-1749-B6C8-09F68BA4F5E4}"/>
            </c:ext>
          </c:extLst>
        </c:ser>
        <c:ser>
          <c:idx val="3"/>
          <c:order val="2"/>
          <c:tx>
            <c:strRef>
              <c:f>Worksheet!$F$72</c:f>
              <c:strCache>
                <c:ptCount val="1"/>
                <c:pt idx="0">
                  <c:v>Surplus</c:v>
                </c:pt>
              </c:strCache>
            </c:strRef>
          </c:tx>
          <c:spPr>
            <a:ln w="38100">
              <a:solidFill>
                <a:srgbClr val="00FF00"/>
              </a:solidFill>
              <a:prstDash val="solid"/>
            </a:ln>
          </c:spPr>
          <c:marker>
            <c:symbol val="none"/>
          </c:marker>
          <c:cat>
            <c:numRef>
              <c:f>Worksheet!$C$73:$C$173</c:f>
              <c:numCache>
                <c:formatCode>General</c:formatCode>
                <c:ptCount val="101"/>
                <c:pt idx="0">
                  <c:v>13.5</c:v>
                </c:pt>
                <c:pt idx="1">
                  <c:v>13.77</c:v>
                </c:pt>
                <c:pt idx="2">
                  <c:v>14.040000000000001</c:v>
                </c:pt>
                <c:pt idx="3">
                  <c:v>14.31</c:v>
                </c:pt>
                <c:pt idx="4">
                  <c:v>14.580000000000002</c:v>
                </c:pt>
                <c:pt idx="5">
                  <c:v>14.850000000000001</c:v>
                </c:pt>
                <c:pt idx="6">
                  <c:v>15.120000000000001</c:v>
                </c:pt>
                <c:pt idx="7">
                  <c:v>15.390000000000002</c:v>
                </c:pt>
                <c:pt idx="8">
                  <c:v>15.660000000000002</c:v>
                </c:pt>
                <c:pt idx="9">
                  <c:v>15.930000000000001</c:v>
                </c:pt>
                <c:pt idx="10">
                  <c:v>16.2</c:v>
                </c:pt>
                <c:pt idx="11">
                  <c:v>16.47</c:v>
                </c:pt>
                <c:pt idx="12">
                  <c:v>16.739999999999998</c:v>
                </c:pt>
                <c:pt idx="13">
                  <c:v>17.010000000000002</c:v>
                </c:pt>
                <c:pt idx="14">
                  <c:v>17.28</c:v>
                </c:pt>
                <c:pt idx="15">
                  <c:v>17.55</c:v>
                </c:pt>
                <c:pt idx="16">
                  <c:v>17.819999999999997</c:v>
                </c:pt>
                <c:pt idx="17">
                  <c:v>18.089999999999996</c:v>
                </c:pt>
                <c:pt idx="18">
                  <c:v>18.36</c:v>
                </c:pt>
                <c:pt idx="19">
                  <c:v>18.63</c:v>
                </c:pt>
                <c:pt idx="20">
                  <c:v>18.899999999999999</c:v>
                </c:pt>
                <c:pt idx="21">
                  <c:v>19.169999999999998</c:v>
                </c:pt>
                <c:pt idx="22">
                  <c:v>19.439999999999998</c:v>
                </c:pt>
                <c:pt idx="23">
                  <c:v>19.71</c:v>
                </c:pt>
                <c:pt idx="24">
                  <c:v>19.98</c:v>
                </c:pt>
                <c:pt idx="25">
                  <c:v>20.25</c:v>
                </c:pt>
                <c:pt idx="26">
                  <c:v>20.52</c:v>
                </c:pt>
                <c:pt idx="27">
                  <c:v>20.79</c:v>
                </c:pt>
                <c:pt idx="28">
                  <c:v>21.060000000000002</c:v>
                </c:pt>
                <c:pt idx="29">
                  <c:v>21.330000000000002</c:v>
                </c:pt>
                <c:pt idx="30">
                  <c:v>21.6</c:v>
                </c:pt>
                <c:pt idx="31">
                  <c:v>21.87</c:v>
                </c:pt>
                <c:pt idx="32">
                  <c:v>22.14</c:v>
                </c:pt>
                <c:pt idx="33">
                  <c:v>22.41</c:v>
                </c:pt>
                <c:pt idx="34">
                  <c:v>22.68</c:v>
                </c:pt>
                <c:pt idx="35">
                  <c:v>22.95</c:v>
                </c:pt>
                <c:pt idx="36">
                  <c:v>23.22</c:v>
                </c:pt>
                <c:pt idx="37">
                  <c:v>23.49</c:v>
                </c:pt>
                <c:pt idx="38">
                  <c:v>23.76</c:v>
                </c:pt>
                <c:pt idx="39">
                  <c:v>24.03</c:v>
                </c:pt>
                <c:pt idx="40">
                  <c:v>24.3</c:v>
                </c:pt>
                <c:pt idx="41">
                  <c:v>24.57</c:v>
                </c:pt>
                <c:pt idx="42">
                  <c:v>24.84</c:v>
                </c:pt>
                <c:pt idx="43">
                  <c:v>25.11</c:v>
                </c:pt>
                <c:pt idx="44">
                  <c:v>25.38</c:v>
                </c:pt>
                <c:pt idx="45">
                  <c:v>25.65</c:v>
                </c:pt>
                <c:pt idx="46">
                  <c:v>25.919999999999998</c:v>
                </c:pt>
                <c:pt idx="47">
                  <c:v>26.189999999999998</c:v>
                </c:pt>
                <c:pt idx="48">
                  <c:v>26.46</c:v>
                </c:pt>
                <c:pt idx="49">
                  <c:v>26.73</c:v>
                </c:pt>
                <c:pt idx="50" formatCode="#,##0">
                  <c:v>27</c:v>
                </c:pt>
                <c:pt idx="51">
                  <c:v>27.27</c:v>
                </c:pt>
                <c:pt idx="52">
                  <c:v>27.54</c:v>
                </c:pt>
                <c:pt idx="53">
                  <c:v>27.810000000000002</c:v>
                </c:pt>
                <c:pt idx="54">
                  <c:v>28.080000000000002</c:v>
                </c:pt>
                <c:pt idx="55">
                  <c:v>28.35</c:v>
                </c:pt>
                <c:pt idx="56">
                  <c:v>28.62</c:v>
                </c:pt>
                <c:pt idx="57">
                  <c:v>28.89</c:v>
                </c:pt>
                <c:pt idx="58">
                  <c:v>29.160000000000004</c:v>
                </c:pt>
                <c:pt idx="59">
                  <c:v>29.430000000000003</c:v>
                </c:pt>
                <c:pt idx="60">
                  <c:v>29.700000000000003</c:v>
                </c:pt>
                <c:pt idx="61">
                  <c:v>29.970000000000002</c:v>
                </c:pt>
                <c:pt idx="62">
                  <c:v>30.240000000000002</c:v>
                </c:pt>
                <c:pt idx="63">
                  <c:v>30.509999999999998</c:v>
                </c:pt>
                <c:pt idx="64">
                  <c:v>30.780000000000005</c:v>
                </c:pt>
                <c:pt idx="65">
                  <c:v>31.049999999999997</c:v>
                </c:pt>
                <c:pt idx="66">
                  <c:v>31.319999999999997</c:v>
                </c:pt>
                <c:pt idx="67">
                  <c:v>31.589999999999996</c:v>
                </c:pt>
                <c:pt idx="68">
                  <c:v>31.86</c:v>
                </c:pt>
                <c:pt idx="69">
                  <c:v>32.129999999999995</c:v>
                </c:pt>
                <c:pt idx="70">
                  <c:v>32.4</c:v>
                </c:pt>
                <c:pt idx="71">
                  <c:v>32.67</c:v>
                </c:pt>
                <c:pt idx="72">
                  <c:v>32.94</c:v>
                </c:pt>
                <c:pt idx="73">
                  <c:v>33.21</c:v>
                </c:pt>
                <c:pt idx="74">
                  <c:v>33.479999999999997</c:v>
                </c:pt>
                <c:pt idx="75">
                  <c:v>33.75</c:v>
                </c:pt>
                <c:pt idx="76">
                  <c:v>34.020000000000003</c:v>
                </c:pt>
                <c:pt idx="77">
                  <c:v>34.29</c:v>
                </c:pt>
                <c:pt idx="78">
                  <c:v>34.56</c:v>
                </c:pt>
                <c:pt idx="79">
                  <c:v>34.83</c:v>
                </c:pt>
                <c:pt idx="80">
                  <c:v>35.1</c:v>
                </c:pt>
                <c:pt idx="81">
                  <c:v>35.370000000000005</c:v>
                </c:pt>
                <c:pt idx="82">
                  <c:v>35.64</c:v>
                </c:pt>
                <c:pt idx="83">
                  <c:v>35.910000000000004</c:v>
                </c:pt>
                <c:pt idx="84">
                  <c:v>36.18</c:v>
                </c:pt>
                <c:pt idx="85">
                  <c:v>36.450000000000003</c:v>
                </c:pt>
                <c:pt idx="86">
                  <c:v>36.72</c:v>
                </c:pt>
                <c:pt idx="87">
                  <c:v>36.99</c:v>
                </c:pt>
                <c:pt idx="88">
                  <c:v>37.26</c:v>
                </c:pt>
                <c:pt idx="89">
                  <c:v>37.53</c:v>
                </c:pt>
                <c:pt idx="90">
                  <c:v>37.799999999999997</c:v>
                </c:pt>
                <c:pt idx="91">
                  <c:v>38.07</c:v>
                </c:pt>
                <c:pt idx="92">
                  <c:v>38.339999999999996</c:v>
                </c:pt>
                <c:pt idx="93">
                  <c:v>38.61</c:v>
                </c:pt>
                <c:pt idx="94">
                  <c:v>38.879999999999995</c:v>
                </c:pt>
                <c:pt idx="95">
                  <c:v>39.15</c:v>
                </c:pt>
                <c:pt idx="96">
                  <c:v>39.42</c:v>
                </c:pt>
                <c:pt idx="97">
                  <c:v>39.69</c:v>
                </c:pt>
                <c:pt idx="98">
                  <c:v>39.96</c:v>
                </c:pt>
                <c:pt idx="99">
                  <c:v>40.229999999999997</c:v>
                </c:pt>
                <c:pt idx="100">
                  <c:v>40.5</c:v>
                </c:pt>
              </c:numCache>
            </c:numRef>
          </c:cat>
          <c:val>
            <c:numRef>
              <c:f>Worksheet!$F$73:$F$173</c:f>
              <c:numCache>
                <c:formatCode>General</c:formatCode>
                <c:ptCount val="101"/>
                <c:pt idx="0">
                  <c:v>-254166.66666666663</c:v>
                </c:pt>
                <c:pt idx="1">
                  <c:v>-243499.99999999988</c:v>
                </c:pt>
                <c:pt idx="2">
                  <c:v>-232999.99999999988</c:v>
                </c:pt>
                <c:pt idx="3">
                  <c:v>-222666.66666666651</c:v>
                </c:pt>
                <c:pt idx="4">
                  <c:v>-212499.99999999988</c:v>
                </c:pt>
                <c:pt idx="5">
                  <c:v>-202499.99999999988</c:v>
                </c:pt>
                <c:pt idx="6">
                  <c:v>-192666.66666666651</c:v>
                </c:pt>
                <c:pt idx="7">
                  <c:v>-182999.99999999983</c:v>
                </c:pt>
                <c:pt idx="8">
                  <c:v>-173499.99999999988</c:v>
                </c:pt>
                <c:pt idx="9">
                  <c:v>-164166.66666666657</c:v>
                </c:pt>
                <c:pt idx="10">
                  <c:v>-154999.99999999994</c:v>
                </c:pt>
                <c:pt idx="11">
                  <c:v>-146000</c:v>
                </c:pt>
                <c:pt idx="12">
                  <c:v>-137166.66666666669</c:v>
                </c:pt>
                <c:pt idx="13">
                  <c:v>-128499.99999999994</c:v>
                </c:pt>
                <c:pt idx="14">
                  <c:v>-119999.99999999994</c:v>
                </c:pt>
                <c:pt idx="15">
                  <c:v>-111666.66666666663</c:v>
                </c:pt>
                <c:pt idx="16">
                  <c:v>-103500.00000000006</c:v>
                </c:pt>
                <c:pt idx="17">
                  <c:v>-95500.000000000058</c:v>
                </c:pt>
                <c:pt idx="18">
                  <c:v>-87666.666666666686</c:v>
                </c:pt>
                <c:pt idx="19">
                  <c:v>-80000</c:v>
                </c:pt>
                <c:pt idx="20">
                  <c:v>-72500.000000000058</c:v>
                </c:pt>
                <c:pt idx="21">
                  <c:v>-65166.666666666686</c:v>
                </c:pt>
                <c:pt idx="22">
                  <c:v>-58000.000000000116</c:v>
                </c:pt>
                <c:pt idx="23">
                  <c:v>-51000</c:v>
                </c:pt>
                <c:pt idx="24">
                  <c:v>-44166.666666666628</c:v>
                </c:pt>
                <c:pt idx="25">
                  <c:v>-37500</c:v>
                </c:pt>
                <c:pt idx="26">
                  <c:v>-31000</c:v>
                </c:pt>
                <c:pt idx="27">
                  <c:v>-24666.666666666628</c:v>
                </c:pt>
                <c:pt idx="28">
                  <c:v>-18499.999999999884</c:v>
                </c:pt>
                <c:pt idx="29">
                  <c:v>-12499.999999999942</c:v>
                </c:pt>
                <c:pt idx="30">
                  <c:v>-6666.6666666666279</c:v>
                </c:pt>
                <c:pt idx="31">
                  <c:v>-1000</c:v>
                </c:pt>
                <c:pt idx="32">
                  <c:v>4500</c:v>
                </c:pt>
                <c:pt idx="33">
                  <c:v>9833.3333333333721</c:v>
                </c:pt>
                <c:pt idx="34">
                  <c:v>14999.999999999942</c:v>
                </c:pt>
                <c:pt idx="35">
                  <c:v>20000</c:v>
                </c:pt>
                <c:pt idx="36">
                  <c:v>24833.333333333256</c:v>
                </c:pt>
                <c:pt idx="37">
                  <c:v>29500.000000000058</c:v>
                </c:pt>
                <c:pt idx="38">
                  <c:v>34000</c:v>
                </c:pt>
                <c:pt idx="39">
                  <c:v>38333.333333333314</c:v>
                </c:pt>
                <c:pt idx="40">
                  <c:v>42500.000000000058</c:v>
                </c:pt>
                <c:pt idx="41">
                  <c:v>46500.000000000058</c:v>
                </c:pt>
                <c:pt idx="42">
                  <c:v>50333.333333333314</c:v>
                </c:pt>
                <c:pt idx="43">
                  <c:v>54000</c:v>
                </c:pt>
                <c:pt idx="44">
                  <c:v>57500</c:v>
                </c:pt>
                <c:pt idx="45">
                  <c:v>60833.333333333314</c:v>
                </c:pt>
                <c:pt idx="46">
                  <c:v>63999.999999999942</c:v>
                </c:pt>
                <c:pt idx="47">
                  <c:v>67000</c:v>
                </c:pt>
                <c:pt idx="48">
                  <c:v>69833.333333333372</c:v>
                </c:pt>
                <c:pt idx="49">
                  <c:v>72500.000000000058</c:v>
                </c:pt>
                <c:pt idx="50">
                  <c:v>75000</c:v>
                </c:pt>
                <c:pt idx="51">
                  <c:v>77866.666666666628</c:v>
                </c:pt>
                <c:pt idx="52">
                  <c:v>80600</c:v>
                </c:pt>
                <c:pt idx="53">
                  <c:v>83200.000000000058</c:v>
                </c:pt>
                <c:pt idx="54">
                  <c:v>85666.666666666686</c:v>
                </c:pt>
                <c:pt idx="55">
                  <c:v>88000</c:v>
                </c:pt>
                <c:pt idx="56">
                  <c:v>90200</c:v>
                </c:pt>
                <c:pt idx="57">
                  <c:v>92266.666666666686</c:v>
                </c:pt>
                <c:pt idx="58">
                  <c:v>94200.000000000058</c:v>
                </c:pt>
                <c:pt idx="59">
                  <c:v>96000.000000000058</c:v>
                </c:pt>
                <c:pt idx="60">
                  <c:v>97666.666666666686</c:v>
                </c:pt>
                <c:pt idx="61">
                  <c:v>99200.000000000058</c:v>
                </c:pt>
                <c:pt idx="62">
                  <c:v>100600.00000000006</c:v>
                </c:pt>
                <c:pt idx="63">
                  <c:v>101866.66666666663</c:v>
                </c:pt>
                <c:pt idx="64">
                  <c:v>103000.00000000006</c:v>
                </c:pt>
                <c:pt idx="65">
                  <c:v>104000</c:v>
                </c:pt>
                <c:pt idx="66">
                  <c:v>104866.66666666663</c:v>
                </c:pt>
                <c:pt idx="67">
                  <c:v>105599.99999999994</c:v>
                </c:pt>
                <c:pt idx="68">
                  <c:v>106199.99999999994</c:v>
                </c:pt>
                <c:pt idx="69">
                  <c:v>106666.6666666666</c:v>
                </c:pt>
                <c:pt idx="70">
                  <c:v>106999.99999999994</c:v>
                </c:pt>
                <c:pt idx="71">
                  <c:v>107200</c:v>
                </c:pt>
                <c:pt idx="72">
                  <c:v>107266.66666666657</c:v>
                </c:pt>
                <c:pt idx="73">
                  <c:v>107199.99999999994</c:v>
                </c:pt>
                <c:pt idx="74">
                  <c:v>106999.99999999997</c:v>
                </c:pt>
                <c:pt idx="75">
                  <c:v>106666.66666666663</c:v>
                </c:pt>
                <c:pt idx="76">
                  <c:v>106200</c:v>
                </c:pt>
                <c:pt idx="77">
                  <c:v>105599.99999999997</c:v>
                </c:pt>
                <c:pt idx="78">
                  <c:v>104866.66666666666</c:v>
                </c:pt>
                <c:pt idx="79">
                  <c:v>103999.99999999997</c:v>
                </c:pt>
                <c:pt idx="80">
                  <c:v>102999.99999999997</c:v>
                </c:pt>
                <c:pt idx="81">
                  <c:v>101866.66666666666</c:v>
                </c:pt>
                <c:pt idx="82">
                  <c:v>100599.99999999997</c:v>
                </c:pt>
                <c:pt idx="83">
                  <c:v>99199.999999999971</c:v>
                </c:pt>
                <c:pt idx="84">
                  <c:v>97666.66666666657</c:v>
                </c:pt>
                <c:pt idx="85">
                  <c:v>96000</c:v>
                </c:pt>
                <c:pt idx="86">
                  <c:v>94199.999999999913</c:v>
                </c:pt>
                <c:pt idx="87">
                  <c:v>92266.66666666657</c:v>
                </c:pt>
                <c:pt idx="88">
                  <c:v>90199.999999999884</c:v>
                </c:pt>
                <c:pt idx="89">
                  <c:v>87999.999999999971</c:v>
                </c:pt>
                <c:pt idx="90">
                  <c:v>85666.666666666599</c:v>
                </c:pt>
                <c:pt idx="91">
                  <c:v>83199.999999999913</c:v>
                </c:pt>
                <c:pt idx="92">
                  <c:v>80599.999999999854</c:v>
                </c:pt>
                <c:pt idx="93">
                  <c:v>77866.666666666541</c:v>
                </c:pt>
                <c:pt idx="94">
                  <c:v>74999.999999999913</c:v>
                </c:pt>
                <c:pt idx="95">
                  <c:v>71999.999999999884</c:v>
                </c:pt>
                <c:pt idx="96">
                  <c:v>68866.666666666541</c:v>
                </c:pt>
                <c:pt idx="97">
                  <c:v>65599.999999999884</c:v>
                </c:pt>
                <c:pt idx="98">
                  <c:v>62199.999999999913</c:v>
                </c:pt>
                <c:pt idx="99">
                  <c:v>58666.666666666511</c:v>
                </c:pt>
                <c:pt idx="100">
                  <c:v>54999.999999999884</c:v>
                </c:pt>
              </c:numCache>
            </c:numRef>
          </c:val>
          <c:smooth val="1"/>
          <c:extLst>
            <c:ext xmlns:c16="http://schemas.microsoft.com/office/drawing/2014/chart" uri="{C3380CC4-5D6E-409C-BE32-E72D297353CC}">
              <c16:uniqueId val="{00000003-AC84-1749-B6C8-09F68BA4F5E4}"/>
            </c:ext>
          </c:extLst>
        </c:ser>
        <c:dLbls>
          <c:showLegendKey val="0"/>
          <c:showVal val="0"/>
          <c:showCatName val="0"/>
          <c:showSerName val="0"/>
          <c:showPercent val="0"/>
          <c:showBubbleSize val="0"/>
        </c:dLbls>
        <c:marker val="1"/>
        <c:smooth val="0"/>
        <c:axId val="100067584"/>
        <c:axId val="100086144"/>
      </c:lineChart>
      <c:lineChart>
        <c:grouping val="standard"/>
        <c:varyColors val="0"/>
        <c:ser>
          <c:idx val="1"/>
          <c:order val="0"/>
          <c:tx>
            <c:strRef>
              <c:f>Worksheet!$D$72</c:f>
              <c:strCache>
                <c:ptCount val="1"/>
                <c:pt idx="0">
                  <c:v>Number of Sales</c:v>
                </c:pt>
              </c:strCache>
            </c:strRef>
          </c:tx>
          <c:spPr>
            <a:ln w="38100">
              <a:solidFill>
                <a:srgbClr val="FF0000"/>
              </a:solidFill>
              <a:prstDash val="solid"/>
            </a:ln>
          </c:spPr>
          <c:marker>
            <c:symbol val="none"/>
          </c:marker>
          <c:val>
            <c:numRef>
              <c:f>Worksheet!$D$73:$D$173</c:f>
              <c:numCache>
                <c:formatCode>General</c:formatCode>
                <c:ptCount val="101"/>
                <c:pt idx="0">
                  <c:v>33950.617283950611</c:v>
                </c:pt>
                <c:pt idx="1">
                  <c:v>33641.975308641959</c:v>
                </c:pt>
                <c:pt idx="2">
                  <c:v>33333.333333333321</c:v>
                </c:pt>
                <c:pt idx="3">
                  <c:v>33024.691358024684</c:v>
                </c:pt>
                <c:pt idx="4">
                  <c:v>32716.049382716039</c:v>
                </c:pt>
                <c:pt idx="5">
                  <c:v>32407.407407407398</c:v>
                </c:pt>
                <c:pt idx="6">
                  <c:v>32098.765432098757</c:v>
                </c:pt>
                <c:pt idx="7">
                  <c:v>31790.123456790116</c:v>
                </c:pt>
                <c:pt idx="8">
                  <c:v>31481.481481481471</c:v>
                </c:pt>
                <c:pt idx="9">
                  <c:v>31172.83950617283</c:v>
                </c:pt>
                <c:pt idx="10">
                  <c:v>30864.197530864189</c:v>
                </c:pt>
                <c:pt idx="11">
                  <c:v>30555.555555555544</c:v>
                </c:pt>
                <c:pt idx="12">
                  <c:v>30246.913580246903</c:v>
                </c:pt>
                <c:pt idx="13">
                  <c:v>29938.271604938265</c:v>
                </c:pt>
                <c:pt idx="14">
                  <c:v>29629.629629629624</c:v>
                </c:pt>
                <c:pt idx="15">
                  <c:v>29320.987654320983</c:v>
                </c:pt>
                <c:pt idx="16">
                  <c:v>29012.345679012342</c:v>
                </c:pt>
                <c:pt idx="17">
                  <c:v>28703.703703703701</c:v>
                </c:pt>
                <c:pt idx="18">
                  <c:v>28395.061728395056</c:v>
                </c:pt>
                <c:pt idx="19">
                  <c:v>28086.419753086415</c:v>
                </c:pt>
                <c:pt idx="20">
                  <c:v>27777.77777777777</c:v>
                </c:pt>
                <c:pt idx="21">
                  <c:v>27469.135802469129</c:v>
                </c:pt>
                <c:pt idx="22">
                  <c:v>27160.493827160488</c:v>
                </c:pt>
                <c:pt idx="23">
                  <c:v>26851.851851851847</c:v>
                </c:pt>
                <c:pt idx="24">
                  <c:v>26543.209876543206</c:v>
                </c:pt>
                <c:pt idx="25">
                  <c:v>26234.567901234564</c:v>
                </c:pt>
                <c:pt idx="26">
                  <c:v>25925.92592592592</c:v>
                </c:pt>
                <c:pt idx="27">
                  <c:v>25617.283950617279</c:v>
                </c:pt>
                <c:pt idx="28">
                  <c:v>25308.641975308637</c:v>
                </c:pt>
                <c:pt idx="29">
                  <c:v>24999.999999999993</c:v>
                </c:pt>
                <c:pt idx="30">
                  <c:v>24691.358024691352</c:v>
                </c:pt>
                <c:pt idx="31">
                  <c:v>24382.71604938271</c:v>
                </c:pt>
                <c:pt idx="32">
                  <c:v>24074.074074074069</c:v>
                </c:pt>
                <c:pt idx="33">
                  <c:v>23765.432098765428</c:v>
                </c:pt>
                <c:pt idx="34">
                  <c:v>23456.790123456787</c:v>
                </c:pt>
                <c:pt idx="35">
                  <c:v>23148.148148148142</c:v>
                </c:pt>
                <c:pt idx="36">
                  <c:v>22839.506172839501</c:v>
                </c:pt>
                <c:pt idx="37">
                  <c:v>22530.864197530864</c:v>
                </c:pt>
                <c:pt idx="38">
                  <c:v>22222.222222222223</c:v>
                </c:pt>
                <c:pt idx="39">
                  <c:v>21913.580246913578</c:v>
                </c:pt>
                <c:pt idx="40">
                  <c:v>21604.938271604937</c:v>
                </c:pt>
                <c:pt idx="41">
                  <c:v>21296.296296296296</c:v>
                </c:pt>
                <c:pt idx="42">
                  <c:v>20987.654320987655</c:v>
                </c:pt>
                <c:pt idx="43">
                  <c:v>20679.012345679013</c:v>
                </c:pt>
                <c:pt idx="44">
                  <c:v>20370.370370370369</c:v>
                </c:pt>
                <c:pt idx="45">
                  <c:v>20061.728395061727</c:v>
                </c:pt>
                <c:pt idx="46">
                  <c:v>19753.086419753086</c:v>
                </c:pt>
                <c:pt idx="47">
                  <c:v>19444.444444444445</c:v>
                </c:pt>
                <c:pt idx="48">
                  <c:v>19135.8024691358</c:v>
                </c:pt>
                <c:pt idx="49">
                  <c:v>18827.160493827159</c:v>
                </c:pt>
                <c:pt idx="50" formatCode="#,##0">
                  <c:v>18518.518518518518</c:v>
                </c:pt>
                <c:pt idx="51">
                  <c:v>18271.604938271605</c:v>
                </c:pt>
                <c:pt idx="52">
                  <c:v>18024.691358024691</c:v>
                </c:pt>
                <c:pt idx="53">
                  <c:v>17777.777777777777</c:v>
                </c:pt>
                <c:pt idx="54">
                  <c:v>17530.864197530864</c:v>
                </c:pt>
                <c:pt idx="55">
                  <c:v>17283.95061728395</c:v>
                </c:pt>
                <c:pt idx="56">
                  <c:v>17037.037037037036</c:v>
                </c:pt>
                <c:pt idx="57">
                  <c:v>16790.123456790123</c:v>
                </c:pt>
                <c:pt idx="58">
                  <c:v>16543.209876543209</c:v>
                </c:pt>
                <c:pt idx="59">
                  <c:v>16296.296296296294</c:v>
                </c:pt>
                <c:pt idx="60">
                  <c:v>16049.38271604938</c:v>
                </c:pt>
                <c:pt idx="61">
                  <c:v>15802.469135802468</c:v>
                </c:pt>
                <c:pt idx="62">
                  <c:v>15555.555555555555</c:v>
                </c:pt>
                <c:pt idx="63">
                  <c:v>15308.641975308639</c:v>
                </c:pt>
                <c:pt idx="64">
                  <c:v>15061.728395061726</c:v>
                </c:pt>
                <c:pt idx="65">
                  <c:v>14814.814814814814</c:v>
                </c:pt>
                <c:pt idx="66">
                  <c:v>14567.9012345679</c:v>
                </c:pt>
                <c:pt idx="67">
                  <c:v>14320.987654320985</c:v>
                </c:pt>
                <c:pt idx="68">
                  <c:v>14074.074074074071</c:v>
                </c:pt>
                <c:pt idx="69">
                  <c:v>13827.160493827159</c:v>
                </c:pt>
                <c:pt idx="70">
                  <c:v>13580.246913580244</c:v>
                </c:pt>
                <c:pt idx="71">
                  <c:v>13333.33333333333</c:v>
                </c:pt>
                <c:pt idx="72">
                  <c:v>13086.419753086417</c:v>
                </c:pt>
                <c:pt idx="73">
                  <c:v>12839.506172839503</c:v>
                </c:pt>
                <c:pt idx="74">
                  <c:v>12592.592592592591</c:v>
                </c:pt>
                <c:pt idx="75">
                  <c:v>12345.679012345676</c:v>
                </c:pt>
                <c:pt idx="76">
                  <c:v>12098.76543209876</c:v>
                </c:pt>
                <c:pt idx="77">
                  <c:v>11851.851851851849</c:v>
                </c:pt>
                <c:pt idx="78">
                  <c:v>11604.938271604935</c:v>
                </c:pt>
                <c:pt idx="79">
                  <c:v>11358.024691358021</c:v>
                </c:pt>
                <c:pt idx="80">
                  <c:v>11111.111111111108</c:v>
                </c:pt>
                <c:pt idx="81">
                  <c:v>10864.197530864194</c:v>
                </c:pt>
                <c:pt idx="82">
                  <c:v>10617.28395061728</c:v>
                </c:pt>
                <c:pt idx="83">
                  <c:v>10370.370370370367</c:v>
                </c:pt>
                <c:pt idx="84">
                  <c:v>10123.456790123451</c:v>
                </c:pt>
                <c:pt idx="85">
                  <c:v>9876.5432098765414</c:v>
                </c:pt>
                <c:pt idx="86">
                  <c:v>9629.6296296296259</c:v>
                </c:pt>
                <c:pt idx="87">
                  <c:v>9382.7160493827105</c:v>
                </c:pt>
                <c:pt idx="88">
                  <c:v>9135.8024691357969</c:v>
                </c:pt>
                <c:pt idx="89">
                  <c:v>8888.888888888885</c:v>
                </c:pt>
                <c:pt idx="90">
                  <c:v>8641.9753086419714</c:v>
                </c:pt>
                <c:pt idx="91">
                  <c:v>8395.0617283950578</c:v>
                </c:pt>
                <c:pt idx="92">
                  <c:v>8148.1481481481433</c:v>
                </c:pt>
                <c:pt idx="93">
                  <c:v>7901.2345679012296</c:v>
                </c:pt>
                <c:pt idx="94">
                  <c:v>7654.3209876543169</c:v>
                </c:pt>
                <c:pt idx="95">
                  <c:v>7407.4074074074015</c:v>
                </c:pt>
                <c:pt idx="96">
                  <c:v>7160.4938271604888</c:v>
                </c:pt>
                <c:pt idx="97">
                  <c:v>6913.5802469135751</c:v>
                </c:pt>
                <c:pt idx="98">
                  <c:v>6666.6666666666624</c:v>
                </c:pt>
                <c:pt idx="99">
                  <c:v>6419.753086419747</c:v>
                </c:pt>
                <c:pt idx="100">
                  <c:v>6172.8395061728343</c:v>
                </c:pt>
              </c:numCache>
            </c:numRef>
          </c:val>
          <c:smooth val="1"/>
          <c:extLst>
            <c:ext xmlns:c16="http://schemas.microsoft.com/office/drawing/2014/chart" uri="{C3380CC4-5D6E-409C-BE32-E72D297353CC}">
              <c16:uniqueId val="{00000004-AC84-1749-B6C8-09F68BA4F5E4}"/>
            </c:ext>
          </c:extLst>
        </c:ser>
        <c:dLbls>
          <c:showLegendKey val="0"/>
          <c:showVal val="0"/>
          <c:showCatName val="0"/>
          <c:showSerName val="0"/>
          <c:showPercent val="0"/>
          <c:showBubbleSize val="0"/>
        </c:dLbls>
        <c:marker val="1"/>
        <c:smooth val="0"/>
        <c:axId val="100088064"/>
        <c:axId val="100098048"/>
      </c:lineChart>
      <c:catAx>
        <c:axId val="100067584"/>
        <c:scaling>
          <c:orientation val="minMax"/>
        </c:scaling>
        <c:delete val="0"/>
        <c:axPos val="b"/>
        <c:title>
          <c:tx>
            <c:rich>
              <a:bodyPr/>
              <a:lstStyle/>
              <a:p>
                <a:pPr>
                  <a:defRPr sz="1600" b="1" i="0" u="none" strike="noStrike" baseline="0">
                    <a:solidFill>
                      <a:srgbClr val="000000"/>
                    </a:solidFill>
                    <a:latin typeface="Arial"/>
                    <a:ea typeface="Arial"/>
                    <a:cs typeface="Arial"/>
                  </a:defRPr>
                </a:pPr>
                <a:r>
                  <a:rPr lang="en-AU"/>
                  <a:t>Average Sales Price</a:t>
                </a:r>
              </a:p>
            </c:rich>
          </c:tx>
          <c:layout>
            <c:manualLayout>
              <c:xMode val="edge"/>
              <c:yMode val="edge"/>
              <c:x val="0.39067702552719202"/>
              <c:y val="0.89396411092985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00086144"/>
        <c:crosses val="autoZero"/>
        <c:auto val="0"/>
        <c:lblAlgn val="ctr"/>
        <c:lblOffset val="100"/>
        <c:tickLblSkip val="10"/>
        <c:tickMarkSkip val="10"/>
        <c:noMultiLvlLbl val="0"/>
      </c:catAx>
      <c:valAx>
        <c:axId val="100086144"/>
        <c:scaling>
          <c:orientation val="minMax"/>
        </c:scaling>
        <c:delete val="0"/>
        <c:axPos val="l"/>
        <c:title>
          <c:tx>
            <c:rich>
              <a:bodyPr/>
              <a:lstStyle/>
              <a:p>
                <a:pPr>
                  <a:defRPr sz="1600" b="1" i="0" u="none" strike="noStrike" baseline="0">
                    <a:solidFill>
                      <a:srgbClr val="000000"/>
                    </a:solidFill>
                    <a:latin typeface="Arial"/>
                    <a:ea typeface="Arial"/>
                    <a:cs typeface="Arial"/>
                  </a:defRPr>
                </a:pPr>
                <a:r>
                  <a:rPr lang="en-AU"/>
                  <a:t>Money</a:t>
                </a:r>
              </a:p>
            </c:rich>
          </c:tx>
          <c:layout>
            <c:manualLayout>
              <c:xMode val="edge"/>
              <c:yMode val="edge"/>
              <c:x val="0"/>
              <c:y val="0.4796084828711256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0067584"/>
        <c:crosses val="autoZero"/>
        <c:crossBetween val="between"/>
      </c:valAx>
      <c:catAx>
        <c:axId val="100088064"/>
        <c:scaling>
          <c:orientation val="minMax"/>
        </c:scaling>
        <c:delete val="1"/>
        <c:axPos val="b"/>
        <c:majorTickMark val="out"/>
        <c:minorTickMark val="none"/>
        <c:tickLblPos val="none"/>
        <c:crossAx val="100098048"/>
        <c:crosses val="autoZero"/>
        <c:auto val="0"/>
        <c:lblAlgn val="ctr"/>
        <c:lblOffset val="100"/>
        <c:noMultiLvlLbl val="0"/>
      </c:catAx>
      <c:valAx>
        <c:axId val="100098048"/>
        <c:scaling>
          <c:orientation val="minMax"/>
        </c:scaling>
        <c:delete val="0"/>
        <c:axPos val="r"/>
        <c:title>
          <c:tx>
            <c:rich>
              <a:bodyPr/>
              <a:lstStyle/>
              <a:p>
                <a:pPr>
                  <a:defRPr sz="1600" b="1" i="0" u="none" strike="noStrike" baseline="0">
                    <a:solidFill>
                      <a:srgbClr val="000000"/>
                    </a:solidFill>
                    <a:latin typeface="Arial"/>
                    <a:ea typeface="Arial"/>
                    <a:cs typeface="Arial"/>
                  </a:defRPr>
                </a:pPr>
                <a:r>
                  <a:rPr lang="en-AU"/>
                  <a:t>Number of Sales</a:t>
                </a:r>
              </a:p>
            </c:rich>
          </c:tx>
          <c:layout>
            <c:manualLayout>
              <c:xMode val="edge"/>
              <c:yMode val="edge"/>
              <c:x val="0.95893451720310974"/>
              <c:y val="0.3980424143556293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00088064"/>
        <c:crosses val="max"/>
        <c:crossBetween val="between"/>
      </c:valAx>
      <c:spPr>
        <a:solidFill>
          <a:srgbClr val="FFFFFF"/>
        </a:solidFill>
        <a:ln w="25400">
          <a:noFill/>
        </a:ln>
      </c:spPr>
    </c:plotArea>
    <c:legend>
      <c:legendPos val="r"/>
      <c:layout>
        <c:manualLayout>
          <c:xMode val="edge"/>
          <c:yMode val="edge"/>
          <c:x val="0.15538290788013359"/>
          <c:y val="0.14681892332789603"/>
          <c:w val="0.71587125416204389"/>
          <c:h val="4.4045676998368734E-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7"/>
  <sheetViews>
    <sheetView zoomScale="68" workbookViewId="0"/>
  </sheetViews>
  <pageMargins left="0.75" right="0.75" top="1" bottom="1" header="0.5" footer="0.5"/>
  <pageSetup orientation="landscape" horizontalDpi="360" verticalDpi="200" r:id="rId1"/>
  <headerFooter alignWithMargins="0"/>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12"/>
  <sheetViews>
    <sheetView zoomScale="68" workbookViewId="0"/>
  </sheetViews>
  <pageMargins left="0.75" right="0.75" top="1" bottom="1" header="0.5" footer="0.5"/>
  <pageSetup orientation="landscape" horizontalDpi="360" verticalDpi="200"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13"/>
  <sheetViews>
    <sheetView zoomScale="68" workbookViewId="0"/>
  </sheetViews>
  <pageMargins left="0.75" right="0.75" top="1" bottom="1" header="0.5" footer="0.5"/>
  <pageSetup orientation="landscape" horizontalDpi="360" verticalDpi="200" r:id="rId1"/>
  <headerFooter alignWithMargins="0"/>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8"/>
  <sheetViews>
    <sheetView zoomScale="68" workbookViewId="0"/>
  </sheetViews>
  <pageMargins left="0.75" right="0.75" top="1" bottom="1" header="0.5" footer="0.5"/>
  <pageSetup paperSize="9" orientation="landscape" horizontalDpi="4294967293" verticalDpi="4294967293"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4"/>
  <sheetViews>
    <sheetView zoomScale="68" workbookViewId="0"/>
  </sheetViews>
  <pageMargins left="0.75" right="0.75" top="1" bottom="1" header="0.5" footer="0.5"/>
  <pageSetup orientation="landscape" horizontalDpi="360" verticalDpi="200"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9"/>
  <sheetViews>
    <sheetView zoomScale="68" workbookViewId="0"/>
  </sheetViews>
  <pageMargins left="0.75" right="0.75" top="1" bottom="1" header="0.5" footer="0.5"/>
  <pageSetup orientation="landscape" horizontalDpi="360" verticalDpi="200" r:id="rId1"/>
  <headerFooter alignWithMargins="0"/>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5.x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oneCellAnchor>
    <xdr:from>
      <xdr:col>1</xdr:col>
      <xdr:colOff>1428750</xdr:colOff>
      <xdr:row>33</xdr:row>
      <xdr:rowOff>85725</xdr:rowOff>
    </xdr:from>
    <xdr:ext cx="76200" cy="200025"/>
    <xdr:sp macro="" textlink="">
      <xdr:nvSpPr>
        <xdr:cNvPr id="515074" name="Text Box 2">
          <a:extLst>
            <a:ext uri="{FF2B5EF4-FFF2-40B4-BE49-F238E27FC236}">
              <a16:creationId xmlns:a16="http://schemas.microsoft.com/office/drawing/2014/main" id="{00000000-0008-0000-0100-000002DC0700}"/>
            </a:ext>
          </a:extLst>
        </xdr:cNvPr>
        <xdr:cNvSpPr txBox="1">
          <a:spLocks noChangeArrowheads="1"/>
        </xdr:cNvSpPr>
      </xdr:nvSpPr>
      <xdr:spPr bwMode="auto">
        <a:xfrm>
          <a:off x="2066925" y="5772150"/>
          <a:ext cx="76200" cy="200025"/>
        </a:xfrm>
        <a:prstGeom prst="rect">
          <a:avLst/>
        </a:prstGeom>
        <a:noFill/>
        <a:ln w="9525">
          <a:noFill/>
          <a:miter lim="800000"/>
          <a:headEnd/>
          <a:tailEnd/>
        </a:ln>
        <a:effectLst>
          <a:outerShdw dist="35921" dir="2700000" algn="ctr" rotWithShape="0">
            <a:srgbClr val="000000"/>
          </a:outerShdw>
        </a:effectLst>
      </xdr:spPr>
    </xdr:sp>
    <xdr:clientData/>
  </xdr:oneCellAnchor>
  <xdr:twoCellAnchor>
    <xdr:from>
      <xdr:col>1</xdr:col>
      <xdr:colOff>2095500</xdr:colOff>
      <xdr:row>19</xdr:row>
      <xdr:rowOff>38100</xdr:rowOff>
    </xdr:from>
    <xdr:to>
      <xdr:col>1</xdr:col>
      <xdr:colOff>5461000</xdr:colOff>
      <xdr:row>20</xdr:row>
      <xdr:rowOff>203200</xdr:rowOff>
    </xdr:to>
    <xdr:pic>
      <xdr:nvPicPr>
        <xdr:cNvPr id="515073" name="regwel">
          <a:extLst>
            <a:ext uri="{FF2B5EF4-FFF2-40B4-BE49-F238E27FC236}">
              <a16:creationId xmlns:a16="http://schemas.microsoft.com/office/drawing/2014/main" id="{9D87AE77-F90A-30E4-8192-0F050D6C474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0" y="3441700"/>
          <a:ext cx="33655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50800</xdr:colOff>
      <xdr:row>27</xdr:row>
      <xdr:rowOff>101600</xdr:rowOff>
    </xdr:from>
    <xdr:to>
      <xdr:col>6</xdr:col>
      <xdr:colOff>190500</xdr:colOff>
      <xdr:row>29</xdr:row>
      <xdr:rowOff>0</xdr:rowOff>
    </xdr:to>
    <xdr:pic>
      <xdr:nvPicPr>
        <xdr:cNvPr id="478252" name="CurPriButton">
          <a:extLst>
            <a:ext uri="{FF2B5EF4-FFF2-40B4-BE49-F238E27FC236}">
              <a16:creationId xmlns:a16="http://schemas.microsoft.com/office/drawing/2014/main" id="{ADCFDB5F-17A1-CE51-57FF-01FBDF31985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3400" y="4343400"/>
          <a:ext cx="49403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50800</xdr:colOff>
      <xdr:row>44</xdr:row>
      <xdr:rowOff>101600</xdr:rowOff>
    </xdr:from>
    <xdr:to>
      <xdr:col>6</xdr:col>
      <xdr:colOff>190500</xdr:colOff>
      <xdr:row>46</xdr:row>
      <xdr:rowOff>0</xdr:rowOff>
    </xdr:to>
    <xdr:pic>
      <xdr:nvPicPr>
        <xdr:cNvPr id="478253" name="IncPriButton">
          <a:extLst>
            <a:ext uri="{FF2B5EF4-FFF2-40B4-BE49-F238E27FC236}">
              <a16:creationId xmlns:a16="http://schemas.microsoft.com/office/drawing/2014/main" id="{C910CF17-8D57-AC06-FF48-01A046C0CF7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73400" y="7264400"/>
          <a:ext cx="49403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50800</xdr:colOff>
      <xdr:row>54</xdr:row>
      <xdr:rowOff>101600</xdr:rowOff>
    </xdr:from>
    <xdr:to>
      <xdr:col>6</xdr:col>
      <xdr:colOff>190500</xdr:colOff>
      <xdr:row>56</xdr:row>
      <xdr:rowOff>0</xdr:rowOff>
    </xdr:to>
    <xdr:pic>
      <xdr:nvPicPr>
        <xdr:cNvPr id="478254" name="DecPriButton">
          <a:extLst>
            <a:ext uri="{FF2B5EF4-FFF2-40B4-BE49-F238E27FC236}">
              <a16:creationId xmlns:a16="http://schemas.microsoft.com/office/drawing/2014/main" id="{C172E2A6-8AE7-0F66-EF78-F657F5B9D2F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073400" y="8940800"/>
          <a:ext cx="49403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50800</xdr:colOff>
      <xdr:row>56</xdr:row>
      <xdr:rowOff>101600</xdr:rowOff>
    </xdr:from>
    <xdr:to>
      <xdr:col>6</xdr:col>
      <xdr:colOff>190500</xdr:colOff>
      <xdr:row>58</xdr:row>
      <xdr:rowOff>0</xdr:rowOff>
    </xdr:to>
    <xdr:pic>
      <xdr:nvPicPr>
        <xdr:cNvPr id="478255" name="PriAnaButton">
          <a:extLst>
            <a:ext uri="{FF2B5EF4-FFF2-40B4-BE49-F238E27FC236}">
              <a16:creationId xmlns:a16="http://schemas.microsoft.com/office/drawing/2014/main" id="{E2B4D967-7A45-1135-17C3-34A1869162A8}"/>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073400" y="9283700"/>
          <a:ext cx="49403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50800</xdr:colOff>
      <xdr:row>72</xdr:row>
      <xdr:rowOff>101600</xdr:rowOff>
    </xdr:from>
    <xdr:to>
      <xdr:col>6</xdr:col>
      <xdr:colOff>190500</xdr:colOff>
      <xdr:row>74</xdr:row>
      <xdr:rowOff>0</xdr:rowOff>
    </xdr:to>
    <xdr:pic>
      <xdr:nvPicPr>
        <xdr:cNvPr id="478256" name="ExtPriButton">
          <a:extLst>
            <a:ext uri="{FF2B5EF4-FFF2-40B4-BE49-F238E27FC236}">
              <a16:creationId xmlns:a16="http://schemas.microsoft.com/office/drawing/2014/main" id="{0323C037-1010-3124-7884-B236F4B216ED}"/>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073400" y="11988800"/>
          <a:ext cx="4940300" cy="2032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50800</xdr:colOff>
      <xdr:row>76</xdr:row>
      <xdr:rowOff>101600</xdr:rowOff>
    </xdr:from>
    <xdr:to>
      <xdr:col>6</xdr:col>
      <xdr:colOff>190500</xdr:colOff>
      <xdr:row>78</xdr:row>
      <xdr:rowOff>0</xdr:rowOff>
    </xdr:to>
    <xdr:pic>
      <xdr:nvPicPr>
        <xdr:cNvPr id="478257" name="BreTabButton">
          <a:extLst>
            <a:ext uri="{FF2B5EF4-FFF2-40B4-BE49-F238E27FC236}">
              <a16:creationId xmlns:a16="http://schemas.microsoft.com/office/drawing/2014/main" id="{902F1F37-EEFC-3435-F9C1-AB9BCD6B4838}"/>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73400" y="12623800"/>
          <a:ext cx="49403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2</xdr:col>
      <xdr:colOff>50800</xdr:colOff>
      <xdr:row>70</xdr:row>
      <xdr:rowOff>101600</xdr:rowOff>
    </xdr:from>
    <xdr:to>
      <xdr:col>6</xdr:col>
      <xdr:colOff>190500</xdr:colOff>
      <xdr:row>72</xdr:row>
      <xdr:rowOff>0</xdr:rowOff>
    </xdr:to>
    <xdr:pic>
      <xdr:nvPicPr>
        <xdr:cNvPr id="478345" name="OptPriButton">
          <a:extLst>
            <a:ext uri="{FF2B5EF4-FFF2-40B4-BE49-F238E27FC236}">
              <a16:creationId xmlns:a16="http://schemas.microsoft.com/office/drawing/2014/main" id="{CDB30449-9371-7D82-3100-E51EABB6650D}"/>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073400" y="11645900"/>
          <a:ext cx="4940300" cy="24130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0.43125</cdr:x>
      <cdr:y>0.0095</cdr:y>
    </cdr:from>
    <cdr:to>
      <cdr:x>0.678</cdr:x>
      <cdr:y>0.0705</cdr:y>
    </cdr:to>
    <cdr:sp macro="" textlink="Input!$C$9">
      <cdr:nvSpPr>
        <cdr:cNvPr id="492548" name="Text Box 4"/>
        <cdr:cNvSpPr txBox="1">
          <a:spLocks xmlns:a="http://schemas.openxmlformats.org/drawingml/2006/main" noChangeArrowheads="1" noTextEdit="1"/>
        </cdr:cNvSpPr>
      </cdr:nvSpPr>
      <cdr:spPr bwMode="auto">
        <a:xfrm xmlns:a="http://schemas.openxmlformats.org/drawingml/2006/main">
          <a:off x="3700998" y="55469"/>
          <a:ext cx="2117615" cy="35616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AC17608F-A0F8-4EE6-A9E0-9984E969A317}"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0.45925</cdr:x>
      <cdr:y>0.0095</cdr:y>
    </cdr:from>
    <cdr:to>
      <cdr:x>0.70525</cdr:x>
      <cdr:y>0.0705</cdr:y>
    </cdr:to>
    <cdr:sp macro="" textlink="Input!$C$9">
      <cdr:nvSpPr>
        <cdr:cNvPr id="494594" name="Text Box 2"/>
        <cdr:cNvSpPr txBox="1">
          <a:spLocks xmlns:a="http://schemas.openxmlformats.org/drawingml/2006/main" noChangeArrowheads="1" noTextEdit="1"/>
        </cdr:cNvSpPr>
      </cdr:nvSpPr>
      <cdr:spPr bwMode="auto">
        <a:xfrm xmlns:a="http://schemas.openxmlformats.org/drawingml/2006/main">
          <a:off x="3941295" y="55469"/>
          <a:ext cx="2111178" cy="35616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FAD98454-E35C-434A-9EE7-107743168EE1}"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0.45925</cdr:x>
      <cdr:y>0.0095</cdr:y>
    </cdr:from>
    <cdr:to>
      <cdr:x>0.70525</cdr:x>
      <cdr:y>0.07125</cdr:y>
    </cdr:to>
    <cdr:sp macro="" textlink="Input!$C$9">
      <cdr:nvSpPr>
        <cdr:cNvPr id="497666" name="Text Box 2"/>
        <cdr:cNvSpPr txBox="1">
          <a:spLocks xmlns:a="http://schemas.openxmlformats.org/drawingml/2006/main" noChangeArrowheads="1" noTextEdit="1"/>
        </cdr:cNvSpPr>
      </cdr:nvSpPr>
      <cdr:spPr bwMode="auto">
        <a:xfrm xmlns:a="http://schemas.openxmlformats.org/drawingml/2006/main">
          <a:off x="3941295" y="55469"/>
          <a:ext cx="2111178" cy="36054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048CF10B-B26A-4355-B07C-95F996EB8F65}"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drawings/drawing9.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0.26475</cdr:x>
      <cdr:y>0.0115</cdr:y>
    </cdr:from>
    <cdr:to>
      <cdr:x>0.51425</cdr:x>
      <cdr:y>0.0715</cdr:y>
    </cdr:to>
    <cdr:sp macro="" textlink="Input!$C$9">
      <cdr:nvSpPr>
        <cdr:cNvPr id="502787" name="Text Box 3"/>
        <cdr:cNvSpPr txBox="1">
          <a:spLocks xmlns:a="http://schemas.openxmlformats.org/drawingml/2006/main" noChangeArrowheads="1" noTextEdit="1"/>
        </cdr:cNvSpPr>
      </cdr:nvSpPr>
      <cdr:spPr bwMode="auto">
        <a:xfrm xmlns:a="http://schemas.openxmlformats.org/drawingml/2006/main">
          <a:off x="2438526" y="64627"/>
          <a:ext cx="2298064" cy="33718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52E8AD13-BFA2-4392-9290-68F9B3FAA89D}"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drawings/drawing11.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0.45925</cdr:x>
      <cdr:y>0.0095</cdr:y>
    </cdr:from>
    <cdr:to>
      <cdr:x>0.70525</cdr:x>
      <cdr:y>0.07125</cdr:y>
    </cdr:to>
    <cdr:sp macro="" textlink="Input!$C$9">
      <cdr:nvSpPr>
        <cdr:cNvPr id="508930" name="Text Box 2"/>
        <cdr:cNvSpPr txBox="1">
          <a:spLocks xmlns:a="http://schemas.openxmlformats.org/drawingml/2006/main" noChangeArrowheads="1" noTextEdit="1"/>
        </cdr:cNvSpPr>
      </cdr:nvSpPr>
      <cdr:spPr bwMode="auto">
        <a:xfrm xmlns:a="http://schemas.openxmlformats.org/drawingml/2006/main">
          <a:off x="3941295" y="55469"/>
          <a:ext cx="2111178" cy="36054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80FBBC21-623F-4C68-A754-39F156B982DE}"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0.4045</cdr:x>
      <cdr:y>0</cdr:y>
    </cdr:from>
    <cdr:to>
      <cdr:x>0.6495</cdr:x>
      <cdr:y>0.06125</cdr:y>
    </cdr:to>
    <cdr:sp macro="" textlink="Input!$C$9">
      <cdr:nvSpPr>
        <cdr:cNvPr id="501762" name="Text Box 2"/>
        <cdr:cNvSpPr txBox="1">
          <a:spLocks xmlns:a="http://schemas.openxmlformats.org/drawingml/2006/main" noChangeArrowheads="1" noTextEdit="1"/>
        </cdr:cNvSpPr>
      </cdr:nvSpPr>
      <cdr:spPr bwMode="auto">
        <a:xfrm xmlns:a="http://schemas.openxmlformats.org/drawingml/2006/main">
          <a:off x="3471429" y="0"/>
          <a:ext cx="2102596" cy="35762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fld id="{2B2DCEBA-1351-4C2D-BDA6-4E45408AD2F1}" type="TxLink">
            <a:rPr lang="en-AU" sz="1400" b="1" i="0" u="none" strike="noStrike" baseline="0">
              <a:solidFill>
                <a:srgbClr val="000000"/>
              </a:solidFill>
              <a:latin typeface="Arial"/>
              <a:cs typeface="Arial"/>
            </a:rPr>
            <a:pPr algn="l" rtl="0">
              <a:defRPr sz="1000"/>
            </a:pPr>
            <a:t>Acme Widgets</a:t>
          </a:fld>
          <a:endParaRPr lang="en-AU" sz="1400" b="1" i="0" u="none" strike="noStrike" baseline="0">
            <a:solidFill>
              <a:srgbClr val="000000"/>
            </a:solidFill>
            <a:latin typeface="Arial"/>
            <a:cs typeface="Arial"/>
          </a:endParaRPr>
        </a:p>
      </cdr:txBody>
    </cdr:sp>
  </cdr:relSizeAnchor>
</c:userShapes>
</file>

<file path=xl/drawings/drawing15.xml><?xml version="1.0" encoding="utf-8"?>
<xdr:wsDr xmlns:xdr="http://schemas.openxmlformats.org/drawingml/2006/spreadsheetDrawing" xmlns:a="http://schemas.openxmlformats.org/drawingml/2006/main">
  <xdr:twoCellAnchor editAs="oneCell">
    <xdr:from>
      <xdr:col>1</xdr:col>
      <xdr:colOff>2146300</xdr:colOff>
      <xdr:row>20</xdr:row>
      <xdr:rowOff>76200</xdr:rowOff>
    </xdr:from>
    <xdr:to>
      <xdr:col>1</xdr:col>
      <xdr:colOff>5791200</xdr:colOff>
      <xdr:row>20</xdr:row>
      <xdr:rowOff>469900</xdr:rowOff>
    </xdr:to>
    <xdr:pic>
      <xdr:nvPicPr>
        <xdr:cNvPr id="516098" name="regtop">
          <a:extLst>
            <a:ext uri="{FF2B5EF4-FFF2-40B4-BE49-F238E27FC236}">
              <a16:creationId xmlns:a16="http://schemas.microsoft.com/office/drawing/2014/main" id="{3D656B0E-DAE0-09C5-B2A1-092C0C516C6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4800" y="3505200"/>
          <a:ext cx="36449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bizpeponline.com/PricingBreakeven.html"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www.bizpeponline.com/PricingBreakevenReg.html" TargetMode="External"/><Relationship Id="rId2" Type="http://schemas.openxmlformats.org/officeDocument/2006/relationships/hyperlink" Target="http://www.businessperformanceanalysis.com/" TargetMode="External"/><Relationship Id="rId1" Type="http://schemas.openxmlformats.org/officeDocument/2006/relationships/hyperlink" Target="http://www.bizpeponline.com/"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www.bizpeponline.com/"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www.bizpeponline.com/ContactUs.html" TargetMode="External"/><Relationship Id="rId3" Type="http://schemas.openxmlformats.org/officeDocument/2006/relationships/hyperlink" Target="http://www.bizpeponline.com/PricingBreakevenReg.html" TargetMode="External"/><Relationship Id="rId7" Type="http://schemas.openxmlformats.org/officeDocument/2006/relationships/hyperlink" Target="http://www.bizpeponline.com/ContactUs.html" TargetMode="External"/><Relationship Id="rId2" Type="http://schemas.openxmlformats.org/officeDocument/2006/relationships/hyperlink" Target="http://www.bizpeponline.com/" TargetMode="External"/><Relationship Id="rId1" Type="http://schemas.openxmlformats.org/officeDocument/2006/relationships/hyperlink" Target="http://www.bizpeponline.com/PricingBreakevenReg.html" TargetMode="External"/><Relationship Id="rId6" Type="http://schemas.openxmlformats.org/officeDocument/2006/relationships/hyperlink" Target="http://www.businessperformanceanalysis.com/" TargetMode="External"/><Relationship Id="rId5" Type="http://schemas.openxmlformats.org/officeDocument/2006/relationships/hyperlink" Target="http://www.bizpeponline.com/ContactUs.html" TargetMode="External"/><Relationship Id="rId10" Type="http://schemas.openxmlformats.org/officeDocument/2006/relationships/drawing" Target="../drawings/drawing15.xml"/><Relationship Id="rId4" Type="http://schemas.openxmlformats.org/officeDocument/2006/relationships/hyperlink" Target="http://www.bizpeponline.com/" TargetMode="External"/><Relationship Id="rId9" Type="http://schemas.openxmlformats.org/officeDocument/2006/relationships/printerSettings" Target="../printerSettings/printerSettings1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fitToPage="1"/>
  </sheetPr>
  <dimension ref="A1:B26"/>
  <sheetViews>
    <sheetView showGridLines="0" tabSelected="1" defaultGridColor="0" colorId="9" zoomScaleNormal="100" workbookViewId="0"/>
  </sheetViews>
  <sheetFormatPr baseColWidth="10" defaultColWidth="9.1640625" defaultRowHeight="13" x14ac:dyDescent="0.15"/>
  <cols>
    <col min="1" max="1" width="9.5" style="307" customWidth="1"/>
    <col min="2" max="2" width="89.5" style="307" customWidth="1"/>
    <col min="3" max="16384" width="9.1640625" style="308"/>
  </cols>
  <sheetData>
    <row r="1" spans="2:2" ht="3.75" customHeight="1" x14ac:dyDescent="0.15"/>
    <row r="2" spans="2:2" x14ac:dyDescent="0.15">
      <c r="B2" s="309" t="str">
        <f>"Macros Required - " &amp; 'Terms and Conditions'!B3</f>
        <v>Macros Required - Pricing and Breakeven Analysis Excel 30</v>
      </c>
    </row>
    <row r="3" spans="2:2" x14ac:dyDescent="0.15">
      <c r="B3" s="310"/>
    </row>
    <row r="4" spans="2:2" ht="14" x14ac:dyDescent="0.15">
      <c r="B4" s="311" t="s">
        <v>152</v>
      </c>
    </row>
    <row r="5" spans="2:2" x14ac:dyDescent="0.15">
      <c r="B5" s="19"/>
    </row>
    <row r="6" spans="2:2" ht="14" x14ac:dyDescent="0.15">
      <c r="B6" s="21" t="s">
        <v>101</v>
      </c>
    </row>
    <row r="7" spans="2:2" x14ac:dyDescent="0.15">
      <c r="B7" s="21"/>
    </row>
    <row r="8" spans="2:2" ht="14" x14ac:dyDescent="0.15">
      <c r="B8" s="21" t="s">
        <v>153</v>
      </c>
    </row>
    <row r="9" spans="2:2" x14ac:dyDescent="0.15">
      <c r="B9" s="19"/>
    </row>
    <row r="10" spans="2:2" ht="14" x14ac:dyDescent="0.15">
      <c r="B10" s="21" t="s">
        <v>225</v>
      </c>
    </row>
    <row r="11" spans="2:2" x14ac:dyDescent="0.15">
      <c r="B11" s="19"/>
    </row>
    <row r="12" spans="2:2" ht="14" x14ac:dyDescent="0.15">
      <c r="B12" s="242" t="s">
        <v>226</v>
      </c>
    </row>
    <row r="13" spans="2:2" x14ac:dyDescent="0.15">
      <c r="B13" s="16"/>
    </row>
    <row r="14" spans="2:2" ht="14" x14ac:dyDescent="0.15">
      <c r="B14" s="21" t="s">
        <v>96</v>
      </c>
    </row>
    <row r="15" spans="2:2" x14ac:dyDescent="0.15">
      <c r="B15" s="312"/>
    </row>
    <row r="16" spans="2:2" ht="14" x14ac:dyDescent="0.15">
      <c r="B16" s="313" t="s">
        <v>95</v>
      </c>
    </row>
    <row r="17" spans="2:2" ht="14" x14ac:dyDescent="0.15">
      <c r="B17" s="314" t="s">
        <v>118</v>
      </c>
    </row>
    <row r="18" spans="2:2" ht="14" x14ac:dyDescent="0.15">
      <c r="B18" s="315" t="str">
        <f>'Terms and Conditions'!B10</f>
        <v>Copyright © Bizpep 2010 - www.bizpeponline.com.</v>
      </c>
    </row>
    <row r="19" spans="2:2" ht="18" x14ac:dyDescent="0.15">
      <c r="B19" s="316"/>
    </row>
    <row r="20" spans="2:2" ht="18" x14ac:dyDescent="0.15">
      <c r="B20" s="15"/>
    </row>
    <row r="21" spans="2:2" ht="18" x14ac:dyDescent="0.15">
      <c r="B21" s="317"/>
    </row>
    <row r="22" spans="2:2" ht="18" x14ac:dyDescent="0.15">
      <c r="B22" s="6"/>
    </row>
    <row r="23" spans="2:2" ht="18" x14ac:dyDescent="0.15">
      <c r="B23" s="318"/>
    </row>
    <row r="24" spans="2:2" ht="18" x14ac:dyDescent="0.15">
      <c r="B24" s="319"/>
    </row>
    <row r="25" spans="2:2" ht="18" x14ac:dyDescent="0.15">
      <c r="B25" s="318"/>
    </row>
    <row r="26" spans="2:2" x14ac:dyDescent="0.15">
      <c r="B26" s="9"/>
    </row>
  </sheetData>
  <sheetProtection password="C68B" sheet="1" objects="1" scenarios="1"/>
  <hyperlinks>
    <hyperlink ref="B17" location="'Terms and Conditions'!A1" tooltip="Terms and Conditions" display="Terms and Conditions" xr:uid="{00000000-0004-0000-0000-000000000000}"/>
    <hyperlink ref="B12" r:id="rId1" location="excel" xr:uid="{00000000-0004-0000-0000-000001000000}"/>
  </hyperlinks>
  <pageMargins left="0.75" right="0.75" top="1" bottom="1" header="0.5" footer="0.5"/>
  <pageSetup scale="90" orientation="portrait" horizontalDpi="360" verticalDpi="4294967293"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pageSetUpPr autoPageBreaks="0" fitToPage="1"/>
  </sheetPr>
  <dimension ref="A1:C43"/>
  <sheetViews>
    <sheetView showGridLines="0" defaultGridColor="0" colorId="9" zoomScale="163" workbookViewId="0"/>
  </sheetViews>
  <sheetFormatPr baseColWidth="10" defaultColWidth="8.83203125" defaultRowHeight="13" x14ac:dyDescent="0.15"/>
  <cols>
    <col min="1" max="1" width="9.5" customWidth="1"/>
    <col min="2" max="2" width="89.5" customWidth="1"/>
  </cols>
  <sheetData>
    <row r="1" spans="1:3" ht="3.75" customHeight="1" x14ac:dyDescent="0.15">
      <c r="A1" s="2"/>
      <c r="B1" s="2"/>
      <c r="C1" s="2"/>
    </row>
    <row r="2" spans="1:3" x14ac:dyDescent="0.15">
      <c r="A2" s="2"/>
      <c r="B2" s="231" t="str">
        <f>"Welcome"</f>
        <v>Welcome</v>
      </c>
      <c r="C2" s="2"/>
    </row>
    <row r="3" spans="1:3" ht="19" x14ac:dyDescent="0.15">
      <c r="A3" s="2"/>
      <c r="B3" s="232" t="str">
        <f>'Terms and Conditions'!B3</f>
        <v>Pricing and Breakeven Analysis Excel 30</v>
      </c>
      <c r="C3" s="2"/>
    </row>
    <row r="4" spans="1:3" x14ac:dyDescent="0.15">
      <c r="A4" s="2"/>
      <c r="B4" s="233"/>
      <c r="C4" s="2"/>
    </row>
    <row r="5" spans="1:3" ht="28" x14ac:dyDescent="0.15">
      <c r="A5" s="2"/>
      <c r="B5" s="234" t="s">
        <v>150</v>
      </c>
      <c r="C5" s="2"/>
    </row>
    <row r="6" spans="1:3" x14ac:dyDescent="0.15">
      <c r="A6" s="2"/>
      <c r="B6" s="235" t="str">
        <f>'Terms and Conditions'!B4</f>
        <v>Software licensed to</v>
      </c>
      <c r="C6" s="2"/>
    </row>
    <row r="7" spans="1:3" ht="16" x14ac:dyDescent="0.15">
      <c r="A7" s="2"/>
      <c r="B7" s="236" t="str">
        <f>'Terms and Conditions'!B5</f>
        <v>Not Licensed, Evaluation Mode.</v>
      </c>
      <c r="C7" s="2"/>
    </row>
    <row r="8" spans="1:3" x14ac:dyDescent="0.15">
      <c r="A8" s="2"/>
      <c r="B8" s="237" t="str">
        <f>'Terms and Conditions'!B6</f>
        <v>Inputs for Current Performance values (gray cells) are limited to Example Business data.</v>
      </c>
      <c r="C8" s="2"/>
    </row>
    <row r="9" spans="1:3" x14ac:dyDescent="0.15">
      <c r="A9" s="2"/>
      <c r="B9" s="237" t="str">
        <f>'Terms and Conditions'!B7</f>
        <v>Payment is required to Register this software and enable all inputs.</v>
      </c>
      <c r="C9" s="2"/>
    </row>
    <row r="10" spans="1:3" ht="14" x14ac:dyDescent="0.15">
      <c r="A10" s="2"/>
      <c r="B10" s="238" t="str">
        <f>'Terms and Conditions'!B12</f>
        <v>For Software Support and additional Business Support Software visit:</v>
      </c>
      <c r="C10" s="2"/>
    </row>
    <row r="11" spans="1:3" ht="14" x14ac:dyDescent="0.15">
      <c r="A11" s="2"/>
      <c r="B11" s="239" t="str">
        <f>'Terms and Conditions'!B13</f>
        <v>www.bizpeponline.com</v>
      </c>
      <c r="C11" s="2"/>
    </row>
    <row r="12" spans="1:3" x14ac:dyDescent="0.15">
      <c r="A12" s="2"/>
      <c r="B12" s="239"/>
      <c r="C12" s="2"/>
    </row>
    <row r="13" spans="1:3" ht="14" x14ac:dyDescent="0.15">
      <c r="A13" s="2"/>
      <c r="B13" s="238" t="str">
        <f>'Terms and Conditions'!B15</f>
        <v xml:space="preserve">Order Now for immediate online delivery and receive a 30 day money back guarantee for just: </v>
      </c>
      <c r="C13" s="2"/>
    </row>
    <row r="14" spans="1:3" ht="14" x14ac:dyDescent="0.15">
      <c r="A14" s="2"/>
      <c r="B14" s="238" t="str">
        <f>'Terms and Conditions'!B16</f>
        <v>US$69.00</v>
      </c>
      <c r="C14" s="2"/>
    </row>
    <row r="15" spans="1:3" x14ac:dyDescent="0.15">
      <c r="A15" s="2"/>
      <c r="B15" s="240" t="str">
        <f>'Terms and Conditions'!B17</f>
        <v>Single User Non-Commercial License - Multi-user licenses attract a 30% discount.</v>
      </c>
      <c r="C15" s="2"/>
    </row>
    <row r="16" spans="1:3" ht="14" x14ac:dyDescent="0.15">
      <c r="A16" s="2"/>
      <c r="B16" s="241" t="str">
        <f>'Terms and Conditions'!B18</f>
        <v>Secure online payment is available at:</v>
      </c>
      <c r="C16" s="2"/>
    </row>
    <row r="17" spans="1:3" ht="14" x14ac:dyDescent="0.15">
      <c r="A17" s="2"/>
      <c r="B17" s="242" t="str">
        <f>'Terms and Conditions'!B19</f>
        <v>http://www.bizpeponline.com/PricingBreakevenReg.html</v>
      </c>
      <c r="C17" s="2"/>
    </row>
    <row r="18" spans="1:3" x14ac:dyDescent="0.15">
      <c r="A18" s="2"/>
      <c r="B18" s="242"/>
      <c r="C18" s="2"/>
    </row>
    <row r="19" spans="1:3" ht="14" x14ac:dyDescent="0.15">
      <c r="A19" s="2"/>
      <c r="B19" s="241" t="str">
        <f>'Terms and Conditions'!B20</f>
        <v>As soon as your transaction is completed you will receive Registration Details by return email.</v>
      </c>
      <c r="C19" s="2"/>
    </row>
    <row r="20" spans="1:3" x14ac:dyDescent="0.15">
      <c r="A20" s="2"/>
      <c r="B20" s="241"/>
      <c r="C20" s="2"/>
    </row>
    <row r="21" spans="1:3" x14ac:dyDescent="0.15">
      <c r="A21" s="2"/>
      <c r="B21" s="242"/>
      <c r="C21" s="2"/>
    </row>
    <row r="22" spans="1:3" ht="14" x14ac:dyDescent="0.15">
      <c r="A22" s="2"/>
      <c r="B22" s="241" t="str">
        <f>'Terms and Conditions'!B22</f>
        <v>This will register your software and enable all inputs.</v>
      </c>
      <c r="C22" s="2"/>
    </row>
    <row r="23" spans="1:3" x14ac:dyDescent="0.15">
      <c r="A23" s="2"/>
      <c r="B23" s="241"/>
      <c r="C23" s="2"/>
    </row>
    <row r="24" spans="1:3" x14ac:dyDescent="0.15">
      <c r="A24" s="2"/>
      <c r="B24" s="243" t="str">
        <f>'Terms and Conditions'!$B$23</f>
        <v>Software which is not correctly licensed exposes individuals and business to serious risk.</v>
      </c>
      <c r="C24" s="2"/>
    </row>
    <row r="25" spans="1:3" x14ac:dyDescent="0.15">
      <c r="A25" s="2"/>
      <c r="B25" s="244" t="s">
        <v>97</v>
      </c>
      <c r="C25" s="2"/>
    </row>
    <row r="26" spans="1:3" ht="14" thickBot="1" x14ac:dyDescent="0.2">
      <c r="A26" s="2"/>
      <c r="B26" s="244"/>
      <c r="C26" s="2"/>
    </row>
    <row r="27" spans="1:3" ht="17" x14ac:dyDescent="0.15">
      <c r="A27" s="2"/>
      <c r="B27" s="245" t="str">
        <f>'Terms and Conditions'!$B26</f>
        <v>You can also try our web based Breakeven and Price Analysis Modules at:</v>
      </c>
      <c r="C27" s="2"/>
    </row>
    <row r="28" spans="1:3" ht="14" x14ac:dyDescent="0.15">
      <c r="A28" s="2"/>
      <c r="B28" s="246" t="s">
        <v>151</v>
      </c>
      <c r="C28" s="2"/>
    </row>
    <row r="29" spans="1:3" ht="14" thickBot="1" x14ac:dyDescent="0.2">
      <c r="A29" s="2"/>
      <c r="B29" s="247" t="str">
        <f>'Terms and Conditions'!$B28</f>
        <v>They run directly in your browser with no download required.</v>
      </c>
      <c r="C29" s="2"/>
    </row>
    <row r="30" spans="1:3" x14ac:dyDescent="0.15">
      <c r="A30" s="2"/>
      <c r="B30" s="248"/>
      <c r="C30" s="2"/>
    </row>
    <row r="31" spans="1:3" ht="14" x14ac:dyDescent="0.15">
      <c r="A31" s="2"/>
      <c r="B31" s="248" t="str">
        <f>'Terms and Conditions'!B10</f>
        <v>Copyright © Bizpep 2010 - www.bizpeponline.com.</v>
      </c>
      <c r="C31" s="2"/>
    </row>
    <row r="32" spans="1:3" ht="18" x14ac:dyDescent="0.15">
      <c r="A32" s="174"/>
      <c r="B32" s="53"/>
      <c r="C32" s="2"/>
    </row>
    <row r="33" spans="1:3" ht="18" x14ac:dyDescent="0.15">
      <c r="A33" s="175"/>
      <c r="B33" s="15"/>
      <c r="C33" s="2"/>
    </row>
    <row r="34" spans="1:3" ht="18" x14ac:dyDescent="0.15">
      <c r="A34" s="174"/>
      <c r="B34" s="7"/>
      <c r="C34" s="2"/>
    </row>
    <row r="35" spans="1:3" ht="18" x14ac:dyDescent="0.15">
      <c r="A35" s="249"/>
      <c r="B35" s="6"/>
      <c r="C35" s="2"/>
    </row>
    <row r="36" spans="1:3" ht="18" x14ac:dyDescent="0.15">
      <c r="A36" s="250"/>
      <c r="B36" s="8"/>
      <c r="C36" s="2"/>
    </row>
    <row r="37" spans="1:3" ht="18" x14ac:dyDescent="0.15">
      <c r="A37" s="250"/>
      <c r="B37" s="28"/>
      <c r="C37" s="2"/>
    </row>
    <row r="38" spans="1:3" ht="18" x14ac:dyDescent="0.15">
      <c r="A38" s="251"/>
      <c r="B38" s="8"/>
      <c r="C38" s="2"/>
    </row>
    <row r="39" spans="1:3" x14ac:dyDescent="0.15">
      <c r="A39" s="251"/>
      <c r="B39" s="9"/>
      <c r="C39" s="2"/>
    </row>
    <row r="40" spans="1:3" x14ac:dyDescent="0.15">
      <c r="A40" s="174"/>
      <c r="B40" s="2"/>
      <c r="C40" s="2"/>
    </row>
    <row r="41" spans="1:3" x14ac:dyDescent="0.15">
      <c r="A41" s="174"/>
      <c r="B41" s="219"/>
      <c r="C41" s="2"/>
    </row>
    <row r="42" spans="1:3" x14ac:dyDescent="0.15">
      <c r="A42" s="218"/>
    </row>
    <row r="43" spans="1:3" x14ac:dyDescent="0.15">
      <c r="A43" s="174"/>
    </row>
  </sheetData>
  <sheetProtection algorithmName="SHA-512" hashValue="Lt+rrP8xgm43+7SGU7B5FTQv3VrrENlwbDEB9eNUXd7QzM/uFcqLxMCj4OfxARiGSLEHJeizjfC8ZpNZGZaN5w==" saltValue="RcN6ds7X/wLx2PbccxOxNg==" spinCount="100000" sheet="1" objects="1" scenarios="1"/>
  <phoneticPr fontId="0" type="noConversion"/>
  <hyperlinks>
    <hyperlink ref="B25" location="'Terms and Conditions'!A1" display="by proceeding you acknowledge acceptance of our Terms and Conditions." xr:uid="{00000000-0004-0000-0100-000000000000}"/>
    <hyperlink ref="B11" r:id="rId1" display="http://www.bizpeponline.com/" xr:uid="{00000000-0004-0000-0100-000001000000}"/>
    <hyperlink ref="B28" r:id="rId2" xr:uid="{00000000-0004-0000-0100-000002000000}"/>
    <hyperlink ref="B17" r:id="rId3" display="http://www.bizpeponline.com/PricingBreakevenReg.html" xr:uid="{00000000-0004-0000-0100-000003000000}"/>
  </hyperlinks>
  <pageMargins left="0.75" right="0.75" top="1" bottom="1" header="0.5" footer="0.5"/>
  <pageSetup scale="82" orientation="portrait" horizontalDpi="360" verticalDpi="4294967293" r:id="rId4"/>
  <headerFooter alignWithMargins="0"/>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autoPageBreaks="0"/>
  </sheetPr>
  <dimension ref="A1:I99"/>
  <sheetViews>
    <sheetView showGridLines="0" topLeftCell="A43" zoomScale="200" zoomScaleNormal="100" workbookViewId="0"/>
  </sheetViews>
  <sheetFormatPr baseColWidth="10" defaultColWidth="8.83203125" defaultRowHeight="13" x14ac:dyDescent="0.15"/>
  <cols>
    <col min="1" max="1" width="2" customWidth="1"/>
    <col min="2" max="2" width="37.6640625" customWidth="1"/>
    <col min="3" max="3" width="16" customWidth="1"/>
    <col min="4" max="8" width="15.6640625" customWidth="1"/>
    <col min="9" max="9" width="2.1640625" customWidth="1"/>
  </cols>
  <sheetData>
    <row r="1" spans="1:9" ht="3.75" customHeight="1" x14ac:dyDescent="0.15">
      <c r="A1" s="32"/>
      <c r="B1" s="32"/>
      <c r="C1" s="32"/>
      <c r="D1" s="32"/>
      <c r="E1" s="32"/>
      <c r="F1" s="32"/>
      <c r="G1" s="32"/>
      <c r="H1" s="32"/>
      <c r="I1" s="2"/>
    </row>
    <row r="2" spans="1:9" ht="3.75" customHeight="1" x14ac:dyDescent="0.15">
      <c r="A2" s="32"/>
      <c r="B2" s="32"/>
      <c r="C2" s="32"/>
      <c r="D2" s="33"/>
      <c r="E2" s="33"/>
      <c r="F2" s="32"/>
      <c r="G2" s="32"/>
      <c r="H2" s="32"/>
      <c r="I2" s="2"/>
    </row>
    <row r="3" spans="1:9" x14ac:dyDescent="0.15">
      <c r="A3" s="32"/>
      <c r="B3" s="348" t="s">
        <v>47</v>
      </c>
      <c r="C3" s="349"/>
      <c r="D3" s="349"/>
      <c r="E3" s="349"/>
      <c r="F3" s="349"/>
      <c r="G3" s="349"/>
      <c r="H3" s="350"/>
      <c r="I3" s="2"/>
    </row>
    <row r="4" spans="1:9" x14ac:dyDescent="0.15">
      <c r="A4" s="32"/>
      <c r="B4" s="351" t="s">
        <v>99</v>
      </c>
      <c r="C4" s="352"/>
      <c r="D4" s="352"/>
      <c r="E4" s="352"/>
      <c r="F4" s="353"/>
      <c r="G4" s="354"/>
      <c r="H4" s="355"/>
      <c r="I4" s="2"/>
    </row>
    <row r="5" spans="1:9" x14ac:dyDescent="0.15">
      <c r="A5" s="32"/>
      <c r="B5" s="356" t="s">
        <v>98</v>
      </c>
      <c r="C5" s="357"/>
      <c r="D5" s="357"/>
      <c r="E5" s="357"/>
      <c r="F5" s="358"/>
      <c r="G5" s="359"/>
      <c r="H5" s="360"/>
      <c r="I5" s="2"/>
    </row>
    <row r="6" spans="1:9" x14ac:dyDescent="0.15">
      <c r="A6" s="32"/>
      <c r="B6" s="34"/>
      <c r="C6" s="43"/>
      <c r="D6" s="43"/>
      <c r="E6" s="43"/>
      <c r="F6" s="45"/>
      <c r="G6" s="32"/>
      <c r="H6" s="40"/>
      <c r="I6" s="2"/>
    </row>
    <row r="7" spans="1:9" ht="12.75" customHeight="1" x14ac:dyDescent="0.15">
      <c r="A7" s="32"/>
      <c r="B7" s="35" t="s">
        <v>100</v>
      </c>
      <c r="C7" s="363" t="s">
        <v>113</v>
      </c>
      <c r="D7" s="330"/>
      <c r="E7" s="330"/>
      <c r="F7" s="330"/>
      <c r="G7" s="330"/>
      <c r="H7" s="331"/>
      <c r="I7" s="2"/>
    </row>
    <row r="8" spans="1:9" x14ac:dyDescent="0.15">
      <c r="A8" s="32"/>
      <c r="B8" s="35"/>
      <c r="C8" s="32"/>
      <c r="D8" s="44"/>
      <c r="E8" s="32"/>
      <c r="F8" s="32"/>
      <c r="G8" s="32"/>
      <c r="H8" s="40"/>
      <c r="I8" s="2"/>
    </row>
    <row r="9" spans="1:9" ht="14" x14ac:dyDescent="0.15">
      <c r="A9" s="32"/>
      <c r="B9" s="36" t="s">
        <v>114</v>
      </c>
      <c r="C9" s="370" t="s">
        <v>48</v>
      </c>
      <c r="D9" s="371"/>
      <c r="E9" s="371"/>
      <c r="F9" s="372" t="s">
        <v>112</v>
      </c>
      <c r="G9" s="330"/>
      <c r="H9" s="331"/>
      <c r="I9" s="2"/>
    </row>
    <row r="10" spans="1:9" ht="12.75" customHeight="1" x14ac:dyDescent="0.15">
      <c r="A10" s="32"/>
      <c r="B10" s="373"/>
      <c r="C10" s="374"/>
      <c r="D10" s="374"/>
      <c r="E10" s="374"/>
      <c r="F10" s="374"/>
      <c r="G10" s="32"/>
      <c r="H10" s="40"/>
      <c r="I10" s="2"/>
    </row>
    <row r="11" spans="1:9" ht="12.75" customHeight="1" x14ac:dyDescent="0.15">
      <c r="A11" s="32"/>
      <c r="B11" s="36" t="s">
        <v>104</v>
      </c>
      <c r="C11" s="302">
        <v>500000</v>
      </c>
      <c r="D11" s="375" t="s">
        <v>109</v>
      </c>
      <c r="E11" s="374"/>
      <c r="F11" s="369"/>
      <c r="G11" s="330"/>
      <c r="H11" s="331"/>
      <c r="I11" s="2"/>
    </row>
    <row r="12" spans="1:9" ht="12.75" customHeight="1" x14ac:dyDescent="0.15">
      <c r="A12" s="32"/>
      <c r="B12" s="36"/>
      <c r="C12" s="47"/>
      <c r="D12" s="46"/>
      <c r="E12" s="45"/>
      <c r="F12" s="45"/>
      <c r="G12" s="32"/>
      <c r="H12" s="40"/>
      <c r="I12" s="2"/>
    </row>
    <row r="13" spans="1:9" ht="12.75" customHeight="1" x14ac:dyDescent="0.15">
      <c r="A13" s="32"/>
      <c r="B13" s="37" t="s">
        <v>74</v>
      </c>
      <c r="C13" s="303" t="s">
        <v>84</v>
      </c>
      <c r="D13" s="48" t="str">
        <f>+IF(C13=B90,B91,B90)</f>
        <v>Num Sales</v>
      </c>
      <c r="E13" s="329" t="s">
        <v>63</v>
      </c>
      <c r="F13" s="376"/>
      <c r="G13" s="330"/>
      <c r="H13" s="331"/>
      <c r="I13" s="2"/>
    </row>
    <row r="14" spans="1:9" ht="12.75" customHeight="1" x14ac:dyDescent="0.15">
      <c r="A14" s="32"/>
      <c r="B14" s="37" t="s">
        <v>62</v>
      </c>
      <c r="C14" s="304">
        <v>27</v>
      </c>
      <c r="D14" s="87">
        <f>+C11/C14</f>
        <v>18518.518518518518</v>
      </c>
      <c r="E14" s="329" t="s">
        <v>132</v>
      </c>
      <c r="F14" s="330"/>
      <c r="G14" s="330"/>
      <c r="H14" s="331"/>
      <c r="I14" s="2"/>
    </row>
    <row r="15" spans="1:9" ht="12.75" customHeight="1" x14ac:dyDescent="0.15">
      <c r="A15" s="32"/>
      <c r="B15" s="36"/>
      <c r="C15" s="47"/>
      <c r="D15" s="47"/>
      <c r="E15" s="45"/>
      <c r="F15" s="45"/>
      <c r="G15" s="32"/>
      <c r="H15" s="40"/>
      <c r="I15" s="2"/>
    </row>
    <row r="16" spans="1:9" ht="14" x14ac:dyDescent="0.15">
      <c r="A16" s="32"/>
      <c r="B16" s="35" t="s">
        <v>105</v>
      </c>
      <c r="C16" s="303" t="s">
        <v>108</v>
      </c>
      <c r="D16" s="48" t="str">
        <f>+IF(C16=B92,B93,B92)</f>
        <v>Percent</v>
      </c>
      <c r="E16" s="361" t="s">
        <v>111</v>
      </c>
      <c r="F16" s="362"/>
      <c r="G16" s="330"/>
      <c r="H16" s="331"/>
      <c r="I16" s="2"/>
    </row>
    <row r="17" spans="1:9" ht="14" x14ac:dyDescent="0.15">
      <c r="A17" s="32"/>
      <c r="B17" s="215" t="s">
        <v>136</v>
      </c>
      <c r="C17" s="305">
        <v>345000</v>
      </c>
      <c r="D17" s="88">
        <f>+IF(D$16=B$93,C17/C$11*100,C17/100*C$11)</f>
        <v>69</v>
      </c>
      <c r="E17" s="361" t="s">
        <v>110</v>
      </c>
      <c r="F17" s="362"/>
      <c r="G17" s="330"/>
      <c r="H17" s="331"/>
      <c r="I17" s="2"/>
    </row>
    <row r="18" spans="1:9" ht="14" x14ac:dyDescent="0.15">
      <c r="A18" s="32"/>
      <c r="B18" s="215" t="s">
        <v>137</v>
      </c>
      <c r="C18" s="306">
        <v>80000</v>
      </c>
      <c r="D18" s="49">
        <f>+IF(D$16=B$93,C18/C$11*100,C18/100*C$11)</f>
        <v>16</v>
      </c>
      <c r="E18" s="361" t="s">
        <v>102</v>
      </c>
      <c r="F18" s="377"/>
      <c r="G18" s="330"/>
      <c r="H18" s="331"/>
      <c r="I18" s="2"/>
    </row>
    <row r="19" spans="1:9" ht="14" x14ac:dyDescent="0.15">
      <c r="A19" s="32"/>
      <c r="B19" s="216" t="s">
        <v>106</v>
      </c>
      <c r="C19" s="89">
        <f>+IF(C$16=B$93,100-C17-C18,C11-C17-C18)</f>
        <v>75000</v>
      </c>
      <c r="D19" s="51">
        <f>+IF(D$16=B$93,C19/C$11*100,C19/100*C$11)</f>
        <v>15</v>
      </c>
      <c r="E19" s="361" t="s">
        <v>28</v>
      </c>
      <c r="F19" s="362"/>
      <c r="G19" s="330"/>
      <c r="H19" s="331"/>
      <c r="I19" s="2"/>
    </row>
    <row r="20" spans="1:9" x14ac:dyDescent="0.15">
      <c r="A20" s="32"/>
      <c r="B20" s="38"/>
      <c r="C20" s="47"/>
      <c r="D20" s="47"/>
      <c r="E20" s="50"/>
      <c r="F20" s="45"/>
      <c r="G20" s="32"/>
      <c r="H20" s="40"/>
      <c r="I20" s="2"/>
    </row>
    <row r="21" spans="1:9" x14ac:dyDescent="0.15">
      <c r="A21" s="32"/>
      <c r="B21" s="326" t="s">
        <v>61</v>
      </c>
      <c r="C21" s="327"/>
      <c r="D21" s="327"/>
      <c r="E21" s="327"/>
      <c r="F21" s="327"/>
      <c r="G21" s="327"/>
      <c r="H21" s="328"/>
      <c r="I21" s="2"/>
    </row>
    <row r="22" spans="1:9" x14ac:dyDescent="0.15">
      <c r="A22" s="32"/>
      <c r="B22" s="158"/>
      <c r="C22" s="183"/>
      <c r="D22" s="183"/>
      <c r="E22" s="183"/>
      <c r="F22" s="183"/>
      <c r="G22" s="183"/>
      <c r="H22" s="184"/>
      <c r="I22" s="2"/>
    </row>
    <row r="23" spans="1:9" ht="14" x14ac:dyDescent="0.15">
      <c r="A23" s="32"/>
      <c r="B23" s="160" t="s">
        <v>61</v>
      </c>
      <c r="C23" s="364" t="s">
        <v>9</v>
      </c>
      <c r="D23" s="364"/>
      <c r="E23" s="364"/>
      <c r="F23" s="364"/>
      <c r="G23" s="364"/>
      <c r="H23" s="365"/>
      <c r="I23" s="2"/>
    </row>
    <row r="24" spans="1:9" ht="14" x14ac:dyDescent="0.15">
      <c r="A24" s="32"/>
      <c r="B24" s="93" t="s">
        <v>119</v>
      </c>
      <c r="C24" s="47"/>
      <c r="D24" s="47"/>
      <c r="E24" s="50"/>
      <c r="F24" s="45"/>
      <c r="G24" s="32"/>
      <c r="H24" s="40"/>
      <c r="I24" s="2"/>
    </row>
    <row r="25" spans="1:9" ht="14" x14ac:dyDescent="0.15">
      <c r="A25" s="32"/>
      <c r="B25" s="93"/>
      <c r="C25" s="123" t="s">
        <v>75</v>
      </c>
      <c r="D25" s="124" t="s">
        <v>68</v>
      </c>
      <c r="E25" s="125" t="s">
        <v>69</v>
      </c>
      <c r="F25" s="45"/>
      <c r="G25" s="32"/>
      <c r="H25" s="40"/>
      <c r="I25" s="2"/>
    </row>
    <row r="26" spans="1:9" ht="14" x14ac:dyDescent="0.15">
      <c r="A26" s="32"/>
      <c r="B26" s="36" t="s">
        <v>76</v>
      </c>
      <c r="C26" s="96">
        <f>+Worksheet!E14</f>
        <v>258064.51612903221</v>
      </c>
      <c r="D26" s="96">
        <f>+C26/12</f>
        <v>21505.376344086017</v>
      </c>
      <c r="E26" s="94">
        <f>+C26/52</f>
        <v>4962.7791563275423</v>
      </c>
      <c r="F26" s="329" t="s">
        <v>42</v>
      </c>
      <c r="G26" s="330"/>
      <c r="H26" s="331"/>
      <c r="I26" s="2"/>
    </row>
    <row r="27" spans="1:9" ht="14" x14ac:dyDescent="0.15">
      <c r="A27" s="32"/>
      <c r="B27" s="36" t="s">
        <v>59</v>
      </c>
      <c r="C27" s="97">
        <f>+Worksheet!E15</f>
        <v>9557.9450418160086</v>
      </c>
      <c r="D27" s="97">
        <f>+C27/12</f>
        <v>796.49542015133409</v>
      </c>
      <c r="E27" s="95">
        <f>+C27/52</f>
        <v>183.80663541953862</v>
      </c>
      <c r="F27" s="329" t="s">
        <v>43</v>
      </c>
      <c r="G27" s="330"/>
      <c r="H27" s="331"/>
      <c r="I27" s="2"/>
    </row>
    <row r="28" spans="1:9" x14ac:dyDescent="0.15">
      <c r="A28" s="32"/>
      <c r="B28" s="126"/>
      <c r="C28" s="47"/>
      <c r="D28" s="47"/>
      <c r="E28" s="47"/>
      <c r="F28" s="45"/>
      <c r="G28" s="32"/>
      <c r="H28" s="40"/>
      <c r="I28" s="2"/>
    </row>
    <row r="29" spans="1:9" ht="14" x14ac:dyDescent="0.15">
      <c r="A29" s="32"/>
      <c r="B29" s="173" t="s">
        <v>44</v>
      </c>
      <c r="C29" s="339"/>
      <c r="D29" s="330"/>
      <c r="E29" s="330"/>
      <c r="F29" s="330"/>
      <c r="G29" s="330"/>
      <c r="H29" s="331"/>
      <c r="I29" s="2"/>
    </row>
    <row r="30" spans="1:9" x14ac:dyDescent="0.15">
      <c r="A30" s="32"/>
      <c r="B30" s="93"/>
      <c r="C30" s="47"/>
      <c r="D30" s="47"/>
      <c r="E30" s="127">
        <f>+IF(E31=B96,52,IF(E31=B95,12,1))</f>
        <v>1</v>
      </c>
      <c r="F30" s="45"/>
      <c r="G30" s="32"/>
      <c r="H30" s="40"/>
      <c r="I30" s="2"/>
    </row>
    <row r="31" spans="1:9" ht="14" x14ac:dyDescent="0.15">
      <c r="A31" s="32"/>
      <c r="B31" s="37" t="s">
        <v>19</v>
      </c>
      <c r="C31" s="211">
        <v>90000</v>
      </c>
      <c r="D31" s="47" t="s">
        <v>77</v>
      </c>
      <c r="E31" s="211" t="s">
        <v>78</v>
      </c>
      <c r="F31" s="45"/>
      <c r="G31" s="32"/>
      <c r="H31" s="40"/>
      <c r="I31" s="2"/>
    </row>
    <row r="32" spans="1:9" ht="14" x14ac:dyDescent="0.15">
      <c r="A32" s="32"/>
      <c r="B32" s="37" t="s">
        <v>18</v>
      </c>
      <c r="C32" s="52">
        <f>(+C31+IF(D16=B92,D18,C18)/E30)/(1-IF(C16=B93,C17,D17)/100)</f>
        <v>548387.09677419346</v>
      </c>
      <c r="D32" s="47" t="s">
        <v>81</v>
      </c>
      <c r="E32" s="52">
        <f>+C32/IF(C13=B90,C14,D14)</f>
        <v>20310.633213859019</v>
      </c>
      <c r="F32" s="369" t="s">
        <v>83</v>
      </c>
      <c r="G32" s="330"/>
      <c r="H32" s="331"/>
      <c r="I32" s="2"/>
    </row>
    <row r="33" spans="1:9" x14ac:dyDescent="0.15">
      <c r="A33" s="32"/>
      <c r="B33" s="38"/>
      <c r="C33" s="47"/>
      <c r="D33" s="47"/>
      <c r="E33" s="50"/>
      <c r="F33" s="45"/>
      <c r="G33" s="32"/>
      <c r="H33" s="40"/>
      <c r="I33" s="2"/>
    </row>
    <row r="34" spans="1:9" x14ac:dyDescent="0.15">
      <c r="A34" s="32"/>
      <c r="B34" s="326" t="s">
        <v>57</v>
      </c>
      <c r="C34" s="327"/>
      <c r="D34" s="327"/>
      <c r="E34" s="327"/>
      <c r="F34" s="327"/>
      <c r="G34" s="327"/>
      <c r="H34" s="328"/>
      <c r="I34" s="2"/>
    </row>
    <row r="35" spans="1:9" x14ac:dyDescent="0.15">
      <c r="A35" s="128"/>
      <c r="B35" s="161"/>
      <c r="C35" s="185"/>
      <c r="D35" s="185"/>
      <c r="E35" s="185"/>
      <c r="F35" s="185"/>
      <c r="G35" s="185"/>
      <c r="H35" s="186"/>
      <c r="I35" s="2"/>
    </row>
    <row r="36" spans="1:9" ht="14" x14ac:dyDescent="0.15">
      <c r="A36" s="128"/>
      <c r="B36" s="163" t="s">
        <v>57</v>
      </c>
      <c r="C36" s="366" t="s">
        <v>29</v>
      </c>
      <c r="D36" s="367"/>
      <c r="E36" s="367"/>
      <c r="F36" s="367"/>
      <c r="G36" s="367"/>
      <c r="H36" s="368"/>
      <c r="I36" s="2"/>
    </row>
    <row r="37" spans="1:9" x14ac:dyDescent="0.15">
      <c r="A37" s="128"/>
      <c r="B37" s="161"/>
      <c r="C37" s="185"/>
      <c r="D37" s="185"/>
      <c r="E37" s="185"/>
      <c r="F37" s="185"/>
      <c r="G37" s="185"/>
      <c r="H37" s="186"/>
      <c r="I37" s="2"/>
    </row>
    <row r="38" spans="1:9" ht="14" x14ac:dyDescent="0.15">
      <c r="A38" s="32"/>
      <c r="B38" s="35" t="s">
        <v>11</v>
      </c>
      <c r="C38" s="212" t="s">
        <v>107</v>
      </c>
      <c r="D38" s="47"/>
      <c r="E38" s="110" t="str">
        <f>+IF(C38=B$97,B$98,B$97)</f>
        <v>Units</v>
      </c>
      <c r="F38" s="45"/>
      <c r="G38" s="32"/>
      <c r="H38" s="40"/>
      <c r="I38" s="2"/>
    </row>
    <row r="39" spans="1:9" ht="14" x14ac:dyDescent="0.15">
      <c r="A39" s="32"/>
      <c r="B39" s="37" t="s">
        <v>10</v>
      </c>
      <c r="C39" s="213">
        <v>15</v>
      </c>
      <c r="D39" s="47" t="s">
        <v>92</v>
      </c>
      <c r="E39" s="94">
        <f>IF($C$38=$B$98,+IF($C$13=$B$90,C39/$C$14*100,C39/$D$14*100),($C39/100)*IF($C$13=$B$90,$C$14,$D$14))</f>
        <v>4.05</v>
      </c>
      <c r="F39" s="111" t="s">
        <v>90</v>
      </c>
      <c r="G39" s="52">
        <f>IF($C$38=$B$98,$C39+IF($C$13=$B$90,$C$14,$D$14),($C39/100+1)*IF($C$13=$B$90,$C$14,$D$14))</f>
        <v>31.049999999999997</v>
      </c>
      <c r="H39" s="182" t="s">
        <v>91</v>
      </c>
      <c r="I39" s="2"/>
    </row>
    <row r="40" spans="1:9" ht="14" x14ac:dyDescent="0.15">
      <c r="A40" s="32"/>
      <c r="B40" s="37" t="s">
        <v>93</v>
      </c>
      <c r="C40" s="214">
        <v>20</v>
      </c>
      <c r="D40" s="47" t="s">
        <v>92</v>
      </c>
      <c r="E40" s="95">
        <f>IF($C$38=$B$98,$C$40/+IF($C$13=$B$91,$C$14,$D$14)*100,($C$40/100)*IF($C$13=$B$91,$C$14,$D$14))</f>
        <v>3703.7037037037039</v>
      </c>
      <c r="F40" s="111" t="s">
        <v>90</v>
      </c>
      <c r="G40" s="52">
        <f>IF($C$38=$B$98,-$C$40+IF($C$13=$B$91,$C$14,$D$14),(-$C$40/100+1)*IF($C$13=$B$91,$C$14,$D$14))</f>
        <v>14814.814814814816</v>
      </c>
      <c r="H40" s="182" t="s">
        <v>103</v>
      </c>
      <c r="I40" s="2"/>
    </row>
    <row r="41" spans="1:9" x14ac:dyDescent="0.15">
      <c r="A41" s="32"/>
      <c r="B41" s="38"/>
      <c r="C41" s="47"/>
      <c r="D41" s="47"/>
      <c r="E41" s="47"/>
      <c r="F41" s="45"/>
      <c r="G41" s="32"/>
      <c r="H41" s="40"/>
      <c r="I41" s="2"/>
    </row>
    <row r="42" spans="1:9" ht="14" x14ac:dyDescent="0.15">
      <c r="A42" s="32"/>
      <c r="B42" s="37" t="s">
        <v>88</v>
      </c>
      <c r="C42" s="98">
        <f>+Worksheet!E35</f>
        <v>460000</v>
      </c>
      <c r="D42" s="332" t="str">
        <f>+IF(C42=C$11,"which is a change of",IF(C42&gt;C$11,"which is an increase of"," which is a decrease of"))</f>
        <v xml:space="preserve"> which is a decrease of</v>
      </c>
      <c r="E42" s="333"/>
      <c r="F42" s="112">
        <f>ABS(+C42-C$11)</f>
        <v>40000</v>
      </c>
      <c r="G42" s="108" t="s">
        <v>89</v>
      </c>
      <c r="H42" s="109">
        <f>+F42/C$11</f>
        <v>0.08</v>
      </c>
      <c r="I42" s="2"/>
    </row>
    <row r="43" spans="1:9" x14ac:dyDescent="0.15">
      <c r="A43" s="32"/>
      <c r="B43" s="38"/>
      <c r="C43" s="47"/>
      <c r="D43" s="47"/>
      <c r="E43" s="47"/>
      <c r="F43" s="111"/>
      <c r="G43" s="32"/>
      <c r="H43" s="40"/>
      <c r="I43" s="2"/>
    </row>
    <row r="44" spans="1:9" ht="14" x14ac:dyDescent="0.15">
      <c r="A44" s="32"/>
      <c r="B44" s="37" t="s">
        <v>17</v>
      </c>
      <c r="C44" s="98">
        <f>+Worksheet!E42</f>
        <v>104000</v>
      </c>
      <c r="D44" s="332" t="str">
        <f>+IF(C44=Worksheet!E$12,"which is a change of",IF(C44&gt;Worksheet!E$12,"which is an increase of"," which is a decrease of"))</f>
        <v>which is an increase of</v>
      </c>
      <c r="E44" s="333"/>
      <c r="F44" s="112">
        <f>ABS(+C44-IF(C$16=B$92,C$19,D$19))</f>
        <v>29000</v>
      </c>
      <c r="G44" s="108" t="s">
        <v>89</v>
      </c>
      <c r="H44" s="109">
        <f>+F44/IF(C$16=B$92,C$19,D$19)</f>
        <v>0.38666666666666666</v>
      </c>
      <c r="I44" s="2"/>
    </row>
    <row r="45" spans="1:9" x14ac:dyDescent="0.15">
      <c r="A45" s="32"/>
      <c r="B45" s="38"/>
      <c r="C45" s="47"/>
      <c r="D45" s="47"/>
      <c r="E45" s="50"/>
      <c r="F45" s="45"/>
      <c r="G45" s="32"/>
      <c r="H45" s="40"/>
      <c r="I45" s="2"/>
    </row>
    <row r="46" spans="1:9" ht="14" x14ac:dyDescent="0.15">
      <c r="A46" s="32"/>
      <c r="B46" s="164" t="s">
        <v>45</v>
      </c>
      <c r="C46" s="339"/>
      <c r="D46" s="330"/>
      <c r="E46" s="330"/>
      <c r="F46" s="330"/>
      <c r="G46" s="330"/>
      <c r="H46" s="331"/>
      <c r="I46" s="2"/>
    </row>
    <row r="47" spans="1:9" x14ac:dyDescent="0.15">
      <c r="A47" s="32"/>
      <c r="B47" s="38"/>
      <c r="C47" s="47"/>
      <c r="D47" s="47"/>
      <c r="E47" s="50"/>
      <c r="F47" s="45"/>
      <c r="G47" s="32"/>
      <c r="H47" s="40"/>
      <c r="I47" s="2"/>
    </row>
    <row r="48" spans="1:9" ht="14" x14ac:dyDescent="0.15">
      <c r="A48" s="32"/>
      <c r="B48" s="35" t="s">
        <v>12</v>
      </c>
      <c r="C48" s="212" t="s">
        <v>107</v>
      </c>
      <c r="D48" s="47"/>
      <c r="E48" s="110" t="str">
        <f>+IF(C48=B$97,B$98,B$97)</f>
        <v>Units</v>
      </c>
      <c r="F48" s="45"/>
      <c r="G48" s="32"/>
      <c r="H48" s="40"/>
      <c r="I48" s="2"/>
    </row>
    <row r="49" spans="1:9" ht="14" x14ac:dyDescent="0.15">
      <c r="A49" s="32"/>
      <c r="B49" s="37" t="s">
        <v>32</v>
      </c>
      <c r="C49" s="213">
        <v>15</v>
      </c>
      <c r="D49" s="47" t="s">
        <v>92</v>
      </c>
      <c r="E49" s="94">
        <f>IF($C$48=$B$98,+IF($C$13=$B$90,C49/$C$14*100,C49/$D$14*100),($C49/100)*IF($C$13=$B$90,$C$14,$D$14))</f>
        <v>4.05</v>
      </c>
      <c r="F49" s="111" t="s">
        <v>90</v>
      </c>
      <c r="G49" s="52">
        <f>IF($C$48=$B$98,-$C49+IF($C$13=$B$90,$C$14,$D$14),(1-$C49/100)*IF($C$13=$B$90,$C$14,$D$14))</f>
        <v>22.95</v>
      </c>
      <c r="H49" s="182" t="s">
        <v>91</v>
      </c>
      <c r="I49" s="2"/>
    </row>
    <row r="50" spans="1:9" ht="14" x14ac:dyDescent="0.15">
      <c r="A50" s="32"/>
      <c r="B50" s="37" t="s">
        <v>94</v>
      </c>
      <c r="C50" s="214">
        <v>25</v>
      </c>
      <c r="D50" s="47" t="s">
        <v>92</v>
      </c>
      <c r="E50" s="95">
        <f>IF($C$48=$B$98,$C$50/+IF($C$13=$B$91,$C$14,$D$14)*100,($C$50/100)*IF($C$13=$B$91,$C$14,$D$14))</f>
        <v>4629.6296296296296</v>
      </c>
      <c r="F50" s="111" t="s">
        <v>90</v>
      </c>
      <c r="G50" s="52">
        <f>IF($C$48=$B$98,$C$50+IF($C$13=$B$91,$C$14,$D$14),($C$50/100+1)*IF($C$13=$B$91,$C$14,$D$14))</f>
        <v>23148.148148148146</v>
      </c>
      <c r="H50" s="182" t="s">
        <v>103</v>
      </c>
      <c r="I50" s="2"/>
    </row>
    <row r="51" spans="1:9" x14ac:dyDescent="0.15">
      <c r="A51" s="32"/>
      <c r="B51" s="38"/>
      <c r="C51" s="47"/>
      <c r="D51" s="47"/>
      <c r="E51" s="47"/>
      <c r="F51" s="45"/>
      <c r="G51" s="32"/>
      <c r="H51" s="40"/>
      <c r="I51" s="2"/>
    </row>
    <row r="52" spans="1:9" ht="12.75" customHeight="1" x14ac:dyDescent="0.15">
      <c r="A52" s="32"/>
      <c r="B52" s="37" t="s">
        <v>88</v>
      </c>
      <c r="C52" s="98">
        <f>+Worksheet!E20</f>
        <v>531249.99999999988</v>
      </c>
      <c r="D52" s="332" t="str">
        <f>+IF(C52=C$11,"which is a change of",IF(C52&gt;C$11,"which is an increase of"," which is a decrease of"))</f>
        <v>which is an increase of</v>
      </c>
      <c r="E52" s="333"/>
      <c r="F52" s="112">
        <f>ABS(+C52-C$11)</f>
        <v>31249.999999999884</v>
      </c>
      <c r="G52" s="108" t="s">
        <v>89</v>
      </c>
      <c r="H52" s="109">
        <f>+F52/C$11</f>
        <v>6.2499999999999764E-2</v>
      </c>
      <c r="I52" s="2"/>
    </row>
    <row r="53" spans="1:9" x14ac:dyDescent="0.15">
      <c r="A53" s="32"/>
      <c r="B53" s="38"/>
      <c r="C53" s="47"/>
      <c r="D53" s="47"/>
      <c r="E53" s="47"/>
      <c r="F53" s="111"/>
      <c r="G53" s="32"/>
      <c r="H53" s="40"/>
      <c r="I53" s="2"/>
    </row>
    <row r="54" spans="1:9" ht="12.75" customHeight="1" x14ac:dyDescent="0.15">
      <c r="A54" s="32"/>
      <c r="B54" s="37" t="s">
        <v>17</v>
      </c>
      <c r="C54" s="98">
        <f>+Worksheet!E27</f>
        <v>19999.999999999942</v>
      </c>
      <c r="D54" s="332" t="str">
        <f>+IF(C54=Worksheet!E$12,"which is a change of",IF(C54&gt;Worksheet!E$12,"which is an increase of"," which is a decrease of"))</f>
        <v xml:space="preserve"> which is a decrease of</v>
      </c>
      <c r="E54" s="333"/>
      <c r="F54" s="112">
        <f>ABS(+C54-IF(C$16=B$92,C$19,D$19))</f>
        <v>55000.000000000058</v>
      </c>
      <c r="G54" s="108" t="s">
        <v>89</v>
      </c>
      <c r="H54" s="109">
        <f>+F54/IF(C$16=B$92,C$19,D$19)</f>
        <v>0.73333333333333406</v>
      </c>
      <c r="I54" s="2"/>
    </row>
    <row r="55" spans="1:9" x14ac:dyDescent="0.15">
      <c r="A55" s="32"/>
      <c r="B55" s="38"/>
      <c r="C55" s="47"/>
      <c r="D55" s="47"/>
      <c r="E55" s="50"/>
      <c r="F55" s="45"/>
      <c r="G55" s="32"/>
      <c r="H55" s="40"/>
      <c r="I55" s="2"/>
    </row>
    <row r="56" spans="1:9" ht="14" x14ac:dyDescent="0.15">
      <c r="A56" s="32"/>
      <c r="B56" s="164" t="s">
        <v>33</v>
      </c>
      <c r="C56" s="339"/>
      <c r="D56" s="330"/>
      <c r="E56" s="330"/>
      <c r="F56" s="330"/>
      <c r="G56" s="330"/>
      <c r="H56" s="331"/>
      <c r="I56" s="2"/>
    </row>
    <row r="57" spans="1:9" x14ac:dyDescent="0.15">
      <c r="A57" s="32"/>
      <c r="B57" s="38"/>
      <c r="C57" s="47"/>
      <c r="D57" s="47"/>
      <c r="E57" s="50"/>
      <c r="F57" s="45"/>
      <c r="G57" s="32"/>
      <c r="H57" s="40"/>
      <c r="I57" s="2"/>
    </row>
    <row r="58" spans="1:9" ht="14" x14ac:dyDescent="0.15">
      <c r="A58" s="32"/>
      <c r="B58" s="164" t="s">
        <v>49</v>
      </c>
      <c r="C58" s="339"/>
      <c r="D58" s="330"/>
      <c r="E58" s="330"/>
      <c r="F58" s="330"/>
      <c r="G58" s="330"/>
      <c r="H58" s="331"/>
      <c r="I58" s="2"/>
    </row>
    <row r="59" spans="1:9" x14ac:dyDescent="0.15">
      <c r="A59" s="32"/>
      <c r="B59" s="38"/>
      <c r="C59" s="47"/>
      <c r="D59" s="47"/>
      <c r="E59" s="50"/>
      <c r="F59" s="45"/>
      <c r="G59" s="32"/>
      <c r="H59" s="40"/>
      <c r="I59" s="2"/>
    </row>
    <row r="60" spans="1:9" x14ac:dyDescent="0.15">
      <c r="A60" s="32"/>
      <c r="B60" s="326" t="s">
        <v>60</v>
      </c>
      <c r="C60" s="327"/>
      <c r="D60" s="327"/>
      <c r="E60" s="327"/>
      <c r="F60" s="327"/>
      <c r="G60" s="327"/>
      <c r="H60" s="328"/>
      <c r="I60" s="2"/>
    </row>
    <row r="61" spans="1:9" x14ac:dyDescent="0.15">
      <c r="A61" s="32"/>
      <c r="B61" s="38"/>
      <c r="C61" s="47"/>
      <c r="D61" s="47"/>
      <c r="E61" s="50"/>
      <c r="F61" s="45"/>
      <c r="G61" s="32"/>
      <c r="H61" s="40"/>
      <c r="I61" s="2"/>
    </row>
    <row r="62" spans="1:9" ht="14" x14ac:dyDescent="0.15">
      <c r="A62" s="32"/>
      <c r="B62" s="35" t="s">
        <v>60</v>
      </c>
      <c r="C62" s="340" t="s">
        <v>30</v>
      </c>
      <c r="D62" s="341"/>
      <c r="E62" s="341"/>
      <c r="F62" s="341"/>
      <c r="G62" s="341"/>
      <c r="H62" s="342"/>
      <c r="I62" s="2"/>
    </row>
    <row r="63" spans="1:9" x14ac:dyDescent="0.15">
      <c r="A63" s="32"/>
      <c r="B63" s="39"/>
      <c r="C63" s="47"/>
      <c r="D63" s="47"/>
      <c r="E63" s="50"/>
      <c r="F63" s="45"/>
      <c r="G63" s="32"/>
      <c r="H63" s="40"/>
      <c r="I63" s="2"/>
    </row>
    <row r="64" spans="1:9" x14ac:dyDescent="0.15">
      <c r="A64" s="32"/>
      <c r="B64" s="334" t="s">
        <v>58</v>
      </c>
      <c r="C64" s="335"/>
      <c r="D64" s="335"/>
      <c r="E64" s="187">
        <f>+Worksheet!G174</f>
        <v>32.94</v>
      </c>
      <c r="F64" s="113" t="s">
        <v>50</v>
      </c>
      <c r="G64" s="119">
        <f>+Worksheet!H174</f>
        <v>13086.419753086417</v>
      </c>
      <c r="H64" s="40" t="s">
        <v>51</v>
      </c>
      <c r="I64" s="2"/>
    </row>
    <row r="65" spans="1:9" x14ac:dyDescent="0.15">
      <c r="A65" s="32"/>
      <c r="B65" s="38"/>
      <c r="C65" s="188"/>
      <c r="D65" s="188"/>
      <c r="E65" s="189"/>
      <c r="F65" s="113"/>
      <c r="G65" s="114"/>
      <c r="H65" s="40"/>
      <c r="I65" s="2"/>
    </row>
    <row r="66" spans="1:9" ht="12.75" customHeight="1" x14ac:dyDescent="0.15">
      <c r="A66" s="32"/>
      <c r="B66" s="37" t="s">
        <v>88</v>
      </c>
      <c r="C66" s="98">
        <f>+Worksheet!I174</f>
        <v>431066.66666666651</v>
      </c>
      <c r="D66" s="332" t="str">
        <f>+IF(C66=C$11,"which is a change of",IF(C66&gt;C$11,"which is an increase of"," which is a decrease of"))</f>
        <v xml:space="preserve"> which is a decrease of</v>
      </c>
      <c r="E66" s="333"/>
      <c r="F66" s="112">
        <f>ABS(+C66-C$11)</f>
        <v>68933.333333333489</v>
      </c>
      <c r="G66" s="108" t="s">
        <v>89</v>
      </c>
      <c r="H66" s="109">
        <f>+F66/C$11</f>
        <v>0.13786666666666697</v>
      </c>
      <c r="I66" s="2"/>
    </row>
    <row r="67" spans="1:9" x14ac:dyDescent="0.15">
      <c r="A67" s="32"/>
      <c r="B67" s="38"/>
      <c r="C67" s="47"/>
      <c r="D67" s="47"/>
      <c r="E67" s="50"/>
      <c r="F67" s="45"/>
      <c r="G67" s="32"/>
      <c r="H67" s="40"/>
      <c r="I67" s="2"/>
    </row>
    <row r="68" spans="1:9" ht="12.75" customHeight="1" x14ac:dyDescent="0.15">
      <c r="A68" s="32"/>
      <c r="B68" s="37" t="s">
        <v>17</v>
      </c>
      <c r="C68" s="98">
        <f>+Worksheet!J174</f>
        <v>107266.66666666657</v>
      </c>
      <c r="D68" s="332" t="str">
        <f>+IF(C68=Worksheet!E$12,"which is a change of",IF(C68&gt;Worksheet!E$12,"which is an increase of"," which is a decrease of"))</f>
        <v>which is an increase of</v>
      </c>
      <c r="E68" s="347"/>
      <c r="F68" s="112">
        <f>ABS(+C68-IF(C$16=B$92,C$19,D$19))</f>
        <v>32266.66666666657</v>
      </c>
      <c r="G68" s="120" t="s">
        <v>89</v>
      </c>
      <c r="H68" s="109">
        <f>+F68/IF(C$16=B$92,C$19,D$19)</f>
        <v>0.43022222222222095</v>
      </c>
      <c r="I68" s="2"/>
    </row>
    <row r="69" spans="1:9" ht="12.75" customHeight="1" x14ac:dyDescent="0.15">
      <c r="A69" s="32"/>
      <c r="B69" s="154"/>
      <c r="C69" s="107"/>
      <c r="D69" s="107"/>
      <c r="E69" s="190"/>
      <c r="F69" s="121"/>
      <c r="G69" s="122"/>
      <c r="H69" s="155"/>
      <c r="I69" s="2"/>
    </row>
    <row r="70" spans="1:9" ht="18" x14ac:dyDescent="0.2">
      <c r="A70" s="32"/>
      <c r="B70" s="343" t="str">
        <f>+IF(H68&gt;0.1,"Perhaps you should consider","Your current pricing appears to be")</f>
        <v>Perhaps you should consider</v>
      </c>
      <c r="C70" s="344"/>
      <c r="D70" s="345" t="str">
        <f>+IF($H$68&gt;0.1,IF($E$64&gt;Worksheet!$E$6,"increasing","decreasing"),"OK")</f>
        <v>increasing</v>
      </c>
      <c r="E70" s="337"/>
      <c r="F70" s="336" t="str">
        <f>+IF(H68&gt;0.1,"your price by","")</f>
        <v>your price by</v>
      </c>
      <c r="G70" s="337"/>
      <c r="H70" s="191">
        <f>IF(H68&gt;0.1,+Worksheet!C47,"")</f>
        <v>0.21999999999999992</v>
      </c>
      <c r="I70" s="2"/>
    </row>
    <row r="71" spans="1:9" x14ac:dyDescent="0.15">
      <c r="A71" s="32"/>
      <c r="B71" s="156"/>
      <c r="C71" s="204"/>
      <c r="D71" s="205"/>
      <c r="E71" s="206"/>
      <c r="F71" s="207"/>
      <c r="G71" s="206"/>
      <c r="H71" s="208"/>
      <c r="I71" s="2"/>
    </row>
    <row r="72" spans="1:9" ht="14" x14ac:dyDescent="0.15">
      <c r="A72" s="32"/>
      <c r="B72" s="173" t="s">
        <v>31</v>
      </c>
      <c r="C72" s="346"/>
      <c r="D72" s="330"/>
      <c r="E72" s="330"/>
      <c r="F72" s="330"/>
      <c r="G72" s="330"/>
      <c r="H72" s="331"/>
      <c r="I72" s="2"/>
    </row>
    <row r="73" spans="1:9" ht="12.75" customHeight="1" x14ac:dyDescent="0.15">
      <c r="A73" s="32"/>
      <c r="B73" s="209"/>
      <c r="C73" s="207"/>
      <c r="D73" s="207"/>
      <c r="E73" s="207"/>
      <c r="F73" s="207"/>
      <c r="G73" s="207"/>
      <c r="H73" s="210"/>
      <c r="I73" s="2"/>
    </row>
    <row r="74" spans="1:9" ht="12.75" customHeight="1" x14ac:dyDescent="0.2">
      <c r="A74" s="32"/>
      <c r="B74" s="173" t="s">
        <v>34</v>
      </c>
      <c r="C74" s="336"/>
      <c r="D74" s="337"/>
      <c r="E74" s="337"/>
      <c r="F74" s="337"/>
      <c r="G74" s="337"/>
      <c r="H74" s="338"/>
      <c r="I74" s="2"/>
    </row>
    <row r="75" spans="1:9" x14ac:dyDescent="0.15">
      <c r="A75" s="32"/>
      <c r="B75" s="38"/>
      <c r="C75" s="47"/>
      <c r="D75" s="47"/>
      <c r="E75" s="50"/>
      <c r="F75" s="45"/>
      <c r="G75" s="32"/>
      <c r="H75" s="40"/>
      <c r="I75" s="2"/>
    </row>
    <row r="76" spans="1:9" x14ac:dyDescent="0.15">
      <c r="A76" s="32"/>
      <c r="B76" s="326" t="s">
        <v>41</v>
      </c>
      <c r="C76" s="327"/>
      <c r="D76" s="327"/>
      <c r="E76" s="327"/>
      <c r="F76" s="327"/>
      <c r="G76" s="327"/>
      <c r="H76" s="328"/>
      <c r="I76" s="2"/>
    </row>
    <row r="77" spans="1:9" x14ac:dyDescent="0.15">
      <c r="A77" s="32"/>
      <c r="B77" s="38"/>
      <c r="C77" s="47"/>
      <c r="D77" s="47"/>
      <c r="E77" s="50"/>
      <c r="F77" s="45"/>
      <c r="G77" s="32"/>
      <c r="H77" s="40"/>
      <c r="I77" s="2"/>
    </row>
    <row r="78" spans="1:9" ht="14" x14ac:dyDescent="0.15">
      <c r="A78" s="32"/>
      <c r="B78" s="164" t="s">
        <v>41</v>
      </c>
      <c r="C78" s="339"/>
      <c r="D78" s="330"/>
      <c r="E78" s="330"/>
      <c r="F78" s="330"/>
      <c r="G78" s="330"/>
      <c r="H78" s="331"/>
      <c r="I78" s="2"/>
    </row>
    <row r="79" spans="1:9" x14ac:dyDescent="0.15">
      <c r="A79" s="32"/>
      <c r="B79" s="38"/>
      <c r="C79" s="47"/>
      <c r="D79" s="47"/>
      <c r="E79" s="50"/>
      <c r="F79" s="45"/>
      <c r="G79" s="32"/>
      <c r="H79" s="40"/>
      <c r="I79" s="2"/>
    </row>
    <row r="80" spans="1:9" x14ac:dyDescent="0.15">
      <c r="A80" s="32"/>
      <c r="B80" s="326" t="str">
        <f>'Terms and Conditions'!B10</f>
        <v>Copyright © Bizpep 2010 - www.bizpeponline.com.</v>
      </c>
      <c r="C80" s="327"/>
      <c r="D80" s="327"/>
      <c r="E80" s="327"/>
      <c r="F80" s="327"/>
      <c r="G80" s="327"/>
      <c r="H80" s="328"/>
      <c r="I80" s="2"/>
    </row>
    <row r="81" spans="1:9" ht="18" x14ac:dyDescent="0.15">
      <c r="A81" s="32"/>
      <c r="B81" s="325"/>
      <c r="C81" s="325"/>
      <c r="D81" s="325"/>
      <c r="E81" s="325"/>
      <c r="F81" s="325"/>
      <c r="G81" s="325"/>
      <c r="H81" s="325"/>
      <c r="I81" s="2"/>
    </row>
    <row r="82" spans="1:9" ht="18" x14ac:dyDescent="0.15">
      <c r="A82" s="32"/>
      <c r="B82" s="325"/>
      <c r="C82" s="325"/>
      <c r="D82" s="325"/>
      <c r="E82" s="325"/>
      <c r="F82" s="325"/>
      <c r="G82" s="325"/>
      <c r="H82" s="325"/>
      <c r="I82" s="2"/>
    </row>
    <row r="83" spans="1:9" ht="18" x14ac:dyDescent="0.15">
      <c r="A83" s="32"/>
      <c r="B83" s="324"/>
      <c r="C83" s="324"/>
      <c r="D83" s="324"/>
      <c r="E83" s="324"/>
      <c r="F83" s="324"/>
      <c r="G83" s="324"/>
      <c r="H83" s="324"/>
      <c r="I83" s="2"/>
    </row>
    <row r="84" spans="1:9" ht="18" x14ac:dyDescent="0.15">
      <c r="A84" s="32"/>
      <c r="B84" s="323"/>
      <c r="C84" s="323"/>
      <c r="D84" s="323"/>
      <c r="E84" s="323"/>
      <c r="F84" s="323"/>
      <c r="G84" s="323"/>
      <c r="H84" s="323"/>
      <c r="I84" s="2"/>
    </row>
    <row r="85" spans="1:9" ht="18" x14ac:dyDescent="0.15">
      <c r="A85" s="32"/>
      <c r="B85" s="324"/>
      <c r="C85" s="324"/>
      <c r="D85" s="324"/>
      <c r="E85" s="324"/>
      <c r="F85" s="324"/>
      <c r="G85" s="324"/>
      <c r="H85" s="324"/>
      <c r="I85" s="2"/>
    </row>
    <row r="86" spans="1:9" ht="18" x14ac:dyDescent="0.15">
      <c r="A86" s="32"/>
      <c r="B86" s="321"/>
      <c r="C86" s="321"/>
      <c r="D86" s="321"/>
      <c r="E86" s="321"/>
      <c r="F86" s="321"/>
      <c r="G86" s="321"/>
      <c r="H86" s="321"/>
      <c r="I86" s="2"/>
    </row>
    <row r="87" spans="1:9" ht="18" x14ac:dyDescent="0.15">
      <c r="A87" s="32"/>
      <c r="B87" s="320"/>
      <c r="C87" s="320"/>
      <c r="D87" s="320"/>
      <c r="E87" s="320"/>
      <c r="F87" s="320"/>
      <c r="G87" s="320"/>
      <c r="H87" s="320"/>
      <c r="I87" s="2"/>
    </row>
    <row r="88" spans="1:9" ht="18" x14ac:dyDescent="0.15">
      <c r="A88" s="32"/>
      <c r="B88" s="321"/>
      <c r="C88" s="321"/>
      <c r="D88" s="321"/>
      <c r="E88" s="321"/>
      <c r="F88" s="321"/>
      <c r="G88" s="321"/>
      <c r="H88" s="321"/>
      <c r="I88" s="2"/>
    </row>
    <row r="89" spans="1:9" x14ac:dyDescent="0.15">
      <c r="A89" s="32"/>
      <c r="B89" s="322"/>
      <c r="C89" s="322"/>
      <c r="D89" s="322"/>
      <c r="E89" s="322"/>
      <c r="F89" s="322"/>
      <c r="G89" s="322"/>
      <c r="H89" s="322"/>
      <c r="I89" s="2"/>
    </row>
    <row r="90" spans="1:9" ht="14" x14ac:dyDescent="0.15">
      <c r="A90" s="32"/>
      <c r="B90" s="179" t="s">
        <v>84</v>
      </c>
      <c r="C90" s="32"/>
      <c r="D90" s="41"/>
      <c r="E90" s="32"/>
      <c r="F90" s="32"/>
      <c r="G90" s="32"/>
      <c r="H90" s="32"/>
      <c r="I90" s="2"/>
    </row>
    <row r="91" spans="1:9" ht="14" x14ac:dyDescent="0.15">
      <c r="A91" s="32"/>
      <c r="B91" s="179" t="s">
        <v>73</v>
      </c>
      <c r="C91" s="32"/>
      <c r="D91" s="41"/>
      <c r="E91" s="32"/>
      <c r="F91" s="32"/>
      <c r="G91" s="32"/>
      <c r="H91" s="32"/>
      <c r="I91" s="2"/>
    </row>
    <row r="92" spans="1:9" x14ac:dyDescent="0.15">
      <c r="A92" s="32"/>
      <c r="B92" s="180" t="s">
        <v>108</v>
      </c>
      <c r="C92" s="32"/>
      <c r="D92" s="41"/>
      <c r="E92" s="32"/>
      <c r="F92" s="32"/>
      <c r="G92" s="32"/>
      <c r="H92" s="32"/>
      <c r="I92" s="2"/>
    </row>
    <row r="93" spans="1:9" ht="14" x14ac:dyDescent="0.15">
      <c r="A93" s="32"/>
      <c r="B93" s="181" t="s">
        <v>107</v>
      </c>
      <c r="C93" s="32"/>
      <c r="D93" s="32"/>
      <c r="E93" s="32"/>
      <c r="F93" s="32"/>
      <c r="G93" s="32"/>
      <c r="H93" s="32"/>
      <c r="I93" s="2"/>
    </row>
    <row r="94" spans="1:9" x14ac:dyDescent="0.15">
      <c r="A94" s="32"/>
      <c r="B94" s="180" t="s">
        <v>78</v>
      </c>
      <c r="C94" s="32"/>
      <c r="D94" s="32"/>
      <c r="E94" s="32"/>
      <c r="F94" s="32"/>
      <c r="G94" s="32"/>
      <c r="H94" s="32"/>
      <c r="I94" s="2"/>
    </row>
    <row r="95" spans="1:9" x14ac:dyDescent="0.15">
      <c r="A95" s="2"/>
      <c r="B95" s="174" t="s">
        <v>79</v>
      </c>
      <c r="C95" s="2"/>
      <c r="D95" s="2"/>
      <c r="E95" s="2"/>
      <c r="F95" s="2"/>
      <c r="G95" s="2"/>
      <c r="H95" s="2"/>
      <c r="I95" s="2"/>
    </row>
    <row r="96" spans="1:9" x14ac:dyDescent="0.15">
      <c r="A96" s="2"/>
      <c r="B96" s="174" t="s">
        <v>80</v>
      </c>
      <c r="C96" s="2"/>
      <c r="D96" s="2"/>
      <c r="E96" s="2"/>
      <c r="F96" s="2"/>
      <c r="G96" s="2"/>
      <c r="H96" s="2"/>
      <c r="I96" s="2"/>
    </row>
    <row r="97" spans="1:9" x14ac:dyDescent="0.15">
      <c r="A97" s="2"/>
      <c r="B97" s="174" t="s">
        <v>107</v>
      </c>
      <c r="C97" s="2"/>
      <c r="D97" s="2"/>
      <c r="E97" s="2"/>
      <c r="F97" s="2"/>
      <c r="G97" s="2"/>
      <c r="H97" s="2"/>
      <c r="I97" s="2"/>
    </row>
    <row r="98" spans="1:9" x14ac:dyDescent="0.15">
      <c r="A98" s="2"/>
      <c r="B98" s="174" t="s">
        <v>133</v>
      </c>
      <c r="C98" s="2"/>
      <c r="D98" s="2"/>
      <c r="E98" s="2"/>
      <c r="F98" s="2"/>
      <c r="G98" s="2"/>
      <c r="H98" s="2"/>
      <c r="I98" s="2"/>
    </row>
    <row r="99" spans="1:9" x14ac:dyDescent="0.15">
      <c r="A99" s="2"/>
      <c r="B99" s="2"/>
      <c r="C99" s="2"/>
      <c r="D99" s="2"/>
      <c r="E99" s="2"/>
      <c r="F99" s="2"/>
      <c r="G99" s="2"/>
      <c r="H99" s="2"/>
      <c r="I99" s="2"/>
    </row>
  </sheetData>
  <sheetProtection algorithmName="SHA-512" hashValue="LxVrx/2bQmK4EBRJmiQ5pCi7BX7UjP14V0PAy761sQbvhlqV10NjUHnbqezpH0ImBR+5FYou5VwrI7OmIppUKg==" saltValue="MN20jWKqxJgvQkfcqsn7xQ==" spinCount="100000" sheet="1" objects="1" scenarios="1" formatCells="0" formatColumns="0" formatRows="0"/>
  <mergeCells count="51">
    <mergeCell ref="B10:F10"/>
    <mergeCell ref="D44:E44"/>
    <mergeCell ref="D11:H11"/>
    <mergeCell ref="E13:H13"/>
    <mergeCell ref="B34:H34"/>
    <mergeCell ref="E18:H18"/>
    <mergeCell ref="B3:H3"/>
    <mergeCell ref="B4:H4"/>
    <mergeCell ref="D42:E42"/>
    <mergeCell ref="B5:H5"/>
    <mergeCell ref="E16:H16"/>
    <mergeCell ref="E17:H17"/>
    <mergeCell ref="C7:H7"/>
    <mergeCell ref="C23:H23"/>
    <mergeCell ref="C29:H29"/>
    <mergeCell ref="C36:H36"/>
    <mergeCell ref="E19:H19"/>
    <mergeCell ref="B21:H21"/>
    <mergeCell ref="F32:H32"/>
    <mergeCell ref="C9:E9"/>
    <mergeCell ref="E14:H14"/>
    <mergeCell ref="F9:H9"/>
    <mergeCell ref="D52:E52"/>
    <mergeCell ref="D70:E70"/>
    <mergeCell ref="C78:H78"/>
    <mergeCell ref="C72:H72"/>
    <mergeCell ref="B76:H76"/>
    <mergeCell ref="D68:E68"/>
    <mergeCell ref="B60:H60"/>
    <mergeCell ref="B81:H81"/>
    <mergeCell ref="B83:H83"/>
    <mergeCell ref="B80:H80"/>
    <mergeCell ref="F26:H26"/>
    <mergeCell ref="F27:H27"/>
    <mergeCell ref="D54:E54"/>
    <mergeCell ref="B64:D64"/>
    <mergeCell ref="D66:E66"/>
    <mergeCell ref="B82:H82"/>
    <mergeCell ref="C74:H74"/>
    <mergeCell ref="C46:H46"/>
    <mergeCell ref="C58:H58"/>
    <mergeCell ref="C56:H56"/>
    <mergeCell ref="C62:H62"/>
    <mergeCell ref="B70:C70"/>
    <mergeCell ref="F70:G70"/>
    <mergeCell ref="B87:H87"/>
    <mergeCell ref="B88:H88"/>
    <mergeCell ref="B89:H89"/>
    <mergeCell ref="B84:H84"/>
    <mergeCell ref="B85:H85"/>
    <mergeCell ref="B86:H86"/>
  </mergeCells>
  <phoneticPr fontId="0" type="noConversion"/>
  <dataValidations count="4">
    <dataValidation type="list" showInputMessage="1" showErrorMessage="1" error="Input must be &quot;Monetary&quot; or &quot;Percent&quot;." sqref="C16" xr:uid="{00000000-0002-0000-0200-000000000000}">
      <formula1>$B$92:$B$93</formula1>
    </dataValidation>
    <dataValidation type="list" showInputMessage="1" showErrorMessage="1" error="Input must be &quot;Price&quot; or &quot;Num Sales&quot;." sqref="C13" xr:uid="{00000000-0002-0000-0200-000001000000}">
      <formula1>$B$90:$B$91</formula1>
    </dataValidation>
    <dataValidation type="list" allowBlank="1" showInputMessage="1" showErrorMessage="1" sqref="E31" xr:uid="{00000000-0002-0000-0200-000002000000}">
      <formula1>$B$94:$B$96</formula1>
    </dataValidation>
    <dataValidation type="list" showInputMessage="1" showErrorMessage="1" error="Input must be &quot;Monetary&quot; or &quot;Percent&quot;." sqref="C48 C38" xr:uid="{00000000-0002-0000-0200-000003000000}">
      <formula1>$B$97:$B$98</formula1>
    </dataValidation>
  </dataValidations>
  <hyperlinks>
    <hyperlink ref="B5:E5" location="Instructions!A1" tooltip="Go to Instruction Sheet" display="Instruction Sheet" xr:uid="{00000000-0004-0000-0200-000000000000}"/>
    <hyperlink ref="B7" location="Instructions!B10" tooltip="Go to Instruction Sheet" display="Current Performance" xr:uid="{00000000-0004-0000-0200-000001000000}"/>
    <hyperlink ref="B11" location="Instructions!B12" tooltip="Go to Instruction Sheet" display="Business Revenue" xr:uid="{00000000-0004-0000-0200-000002000000}"/>
    <hyperlink ref="B17" location="Instructions!B16" tooltip="Go to Instruction Sheet" display="Cost of Sales (COS)" xr:uid="{00000000-0004-0000-0200-000003000000}"/>
    <hyperlink ref="B18" location="Instructions!B17" tooltip="Go to Instruction Sheet" display="Overheads (O/H)" xr:uid="{00000000-0004-0000-0200-000004000000}"/>
    <hyperlink ref="B16" location="Instructions!B15" tooltip="Go to Instruction Sheet" display="Expenses" xr:uid="{00000000-0004-0000-0200-000005000000}"/>
    <hyperlink ref="B5:F5" location="Instructions!A1" tooltip="Go to Instruction Sheet" display="Instruction Sheet" xr:uid="{00000000-0004-0000-0200-000006000000}"/>
    <hyperlink ref="B9" location="Instructions!B11" tooltip="Go to Instruction Sheet" display="Business Name or Identifier" xr:uid="{00000000-0004-0000-0200-000007000000}"/>
    <hyperlink ref="B13" location="Instructions!B13" tooltip="Go to Insruction Sheet" display="Sales" xr:uid="{00000000-0004-0000-0200-000008000000}"/>
    <hyperlink ref="B14" location="Instructions!B14" tooltip="Go to Instruction Sheet" display="Price (revenue per sale) &amp; Number of Sales" xr:uid="{00000000-0004-0000-0200-000009000000}"/>
    <hyperlink ref="B19" location="Instructions!B18" tooltip="Go to Instruction Sheet" display="Operating Surplus" xr:uid="{00000000-0004-0000-0200-00000A000000}"/>
    <hyperlink ref="B23" location="Instructions!B19" display="Curent Breakeven Analysis" xr:uid="{00000000-0004-0000-0200-00000B000000}"/>
    <hyperlink ref="B26" location="Instructions!B20" tooltip="Go to Instruction Sheet" display="Current Breakeven Revenue is" xr:uid="{00000000-0004-0000-0200-00000C000000}"/>
    <hyperlink ref="B27" location="Instructions!B21" tooltip="Go to Instruction Sheet" display="Current Breakeven Number of Sales is" xr:uid="{00000000-0004-0000-0200-00000D000000}"/>
    <hyperlink ref="B29" location="Instructions!B22" tooltip="Go to Instruction Sheet" display="Current Price Breakeven Chart" xr:uid="{00000000-0004-0000-0200-00000E000000}"/>
    <hyperlink ref="B31" location="Instructions!B23" tooltip="Go to Instruction Sheet" display="To generate a surplus of" xr:uid="{00000000-0004-0000-0200-00000F000000}"/>
    <hyperlink ref="B32" location="Instructions!B24" tooltip="Go to Instruction Sheet" display="You currently require Revenue of" xr:uid="{00000000-0004-0000-0200-000010000000}"/>
    <hyperlink ref="B36" location="Instructions!B25" tooltip="Go to Instruction Sheet" display="Pricing Analysis" xr:uid="{00000000-0004-0000-0200-000011000000}"/>
    <hyperlink ref="B38" location="Instructions!B26" tooltip="Go to Instruction Sheet" display="Increased Average Price" xr:uid="{00000000-0004-0000-0200-000012000000}"/>
    <hyperlink ref="B39" location="Instructions!B27" tooltip="Go to Instruction Sheet" display="An average price increase of" xr:uid="{00000000-0004-0000-0200-000013000000}"/>
    <hyperlink ref="B40" location="Instructions!B28" tooltip="Go to Instruction Sheet" display="annual Number of Sales decrease by" xr:uid="{00000000-0004-0000-0200-000014000000}"/>
    <hyperlink ref="B42" location="Instructions!B29" tooltip="Go to Instruction Sheet" display="This results in Revenue of" xr:uid="{00000000-0004-0000-0200-000015000000}"/>
    <hyperlink ref="B44" location="Instructions!B30" tooltip="Go to Instruction Sheet" display="With an Operating Surplus of" xr:uid="{00000000-0004-0000-0200-000016000000}"/>
    <hyperlink ref="B46" location="Instructions!B31" tooltip="Go to Instruction Sheet" display="Increased Price Breakeven Chart" xr:uid="{00000000-0004-0000-0200-000017000000}"/>
    <hyperlink ref="B48" location="Instructions!B32" tooltip="Go to Instruction Sheet" display="Decreased Average Price" xr:uid="{00000000-0004-0000-0200-000018000000}"/>
    <hyperlink ref="B49" location="Instructions!B33" tooltip="Go to Instruction Sheet" display="An average price decrease of " xr:uid="{00000000-0004-0000-0200-000019000000}"/>
    <hyperlink ref="B50" location="Instructions!B34" tooltip="Go to Instruction Sheet" display="annual Number of Sales increase by" xr:uid="{00000000-0004-0000-0200-00001A000000}"/>
    <hyperlink ref="B52" location="Instructions!B35" tooltip="Go to Instruction Sheet" display="This results in Revenue of" xr:uid="{00000000-0004-0000-0200-00001B000000}"/>
    <hyperlink ref="B54" location="Instructions!B36" tooltip="Go to Instruction Sheet" display="With an Operating Surplus of " xr:uid="{00000000-0004-0000-0200-00001C000000}"/>
    <hyperlink ref="B56" location="Instructions!B37" tooltip="Go to Instruction Sheet" display="Decreased Price Breakeven Chart" xr:uid="{00000000-0004-0000-0200-00001D000000}"/>
    <hyperlink ref="B58" location="Instructions!B38" tooltip="Go to Instruction Sheet" display="Price  Analysis Chart" xr:uid="{00000000-0004-0000-0200-00001E000000}"/>
    <hyperlink ref="B62" location="Instructions!B39" tooltip="Go to Instruction Sheet" display="Extended Pricing Analysis" xr:uid="{00000000-0004-0000-0200-00001F000000}"/>
    <hyperlink ref="B64:D64" location="Instructions!B40" tooltip="Go to Instruction Sheet" display="Applying extended price analysis the optimum average sale price is" xr:uid="{00000000-0004-0000-0200-000020000000}"/>
    <hyperlink ref="B66" location="Instructions!B41" tooltip="Go to Instruction Sheet" display="This results in Revenue of" xr:uid="{00000000-0004-0000-0200-000021000000}"/>
    <hyperlink ref="B68" location="Instructions!B42" tooltip="Go to Instruction Sheet" display="With an Operating Surplus of " xr:uid="{00000000-0004-0000-0200-000022000000}"/>
    <hyperlink ref="B74" location="Instructions!B44" tooltip="Go to Instruction Sheet" display="Extended Price Analysis Chart" xr:uid="{00000000-0004-0000-0200-000023000000}"/>
    <hyperlink ref="B78" location="Instructions!B45" tooltip="Go to Instruction Sheet" display="Breakeven Tables" xr:uid="{00000000-0004-0000-0200-000024000000}"/>
    <hyperlink ref="B72" location="Instructions!B43" tooltip="Go to Instruction Sheet" display="Optimum Price Breakeven Chart" xr:uid="{00000000-0004-0000-0200-000025000000}"/>
  </hyperlinks>
  <pageMargins left="0.75" right="0.75" top="1" bottom="1" header="0.5" footer="0.5"/>
  <pageSetup paperSize="9" scale="75" orientation="portrait" horizontalDpi="360" verticalDpi="0" copies="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J63"/>
  <sheetViews>
    <sheetView showGridLines="0" zoomScaleNormal="100" workbookViewId="0"/>
  </sheetViews>
  <sheetFormatPr baseColWidth="10" defaultColWidth="8.83203125" defaultRowHeight="13" x14ac:dyDescent="0.15"/>
  <cols>
    <col min="1" max="1" width="2" customWidth="1"/>
    <col min="2" max="2" width="10.6640625" customWidth="1"/>
    <col min="3" max="3" width="27" customWidth="1"/>
    <col min="4" max="4" width="15.6640625" customWidth="1"/>
    <col min="5" max="5" width="15.83203125" customWidth="1"/>
    <col min="6" max="8" width="15.6640625" customWidth="1"/>
    <col min="9" max="9" width="10.6640625" customWidth="1"/>
    <col min="10" max="10" width="2.1640625" customWidth="1"/>
  </cols>
  <sheetData>
    <row r="1" spans="1:10" ht="3.75" customHeight="1" x14ac:dyDescent="0.15">
      <c r="A1" s="32"/>
      <c r="B1" s="32"/>
      <c r="C1" s="32"/>
      <c r="D1" s="32"/>
      <c r="E1" s="32"/>
      <c r="F1" s="32"/>
      <c r="G1" s="32"/>
      <c r="H1" s="32"/>
      <c r="I1" s="32"/>
      <c r="J1" s="2"/>
    </row>
    <row r="2" spans="1:10" ht="3.75" customHeight="1" x14ac:dyDescent="0.15">
      <c r="A2" s="32"/>
      <c r="B2" s="32"/>
      <c r="C2" s="32"/>
      <c r="D2" s="32"/>
      <c r="E2" s="33"/>
      <c r="F2" s="33"/>
      <c r="G2" s="32"/>
      <c r="H2" s="32"/>
      <c r="I2" s="32"/>
      <c r="J2" s="2"/>
    </row>
    <row r="3" spans="1:10" ht="12.75" customHeight="1" x14ac:dyDescent="0.15">
      <c r="A3" s="32"/>
      <c r="B3" s="378" t="s">
        <v>40</v>
      </c>
      <c r="C3" s="379"/>
      <c r="D3" s="379"/>
      <c r="E3" s="379"/>
      <c r="F3" s="379"/>
      <c r="G3" s="379"/>
      <c r="H3" s="379"/>
      <c r="I3" s="380"/>
      <c r="J3" s="2"/>
    </row>
    <row r="4" spans="1:10" x14ac:dyDescent="0.15">
      <c r="A4" s="32"/>
      <c r="B4" s="153"/>
      <c r="C4" s="43"/>
      <c r="D4" s="43"/>
      <c r="E4" s="43"/>
      <c r="F4" s="43"/>
      <c r="G4" s="131"/>
      <c r="H4" s="2"/>
      <c r="I4" s="182"/>
      <c r="J4" s="2"/>
    </row>
    <row r="5" spans="1:10" x14ac:dyDescent="0.15">
      <c r="A5" s="32"/>
      <c r="B5" s="153"/>
      <c r="C5" s="381" t="s">
        <v>35</v>
      </c>
      <c r="D5" s="382"/>
      <c r="E5" s="50"/>
      <c r="F5" s="50"/>
      <c r="G5" s="132"/>
      <c r="H5" s="192"/>
      <c r="I5" s="193"/>
      <c r="J5" s="2"/>
    </row>
    <row r="6" spans="1:10" ht="14" x14ac:dyDescent="0.15">
      <c r="A6" s="32"/>
      <c r="B6" s="153"/>
      <c r="C6" s="137" t="str">
        <f>+Worksheet!B6</f>
        <v>Unit Sales Price</v>
      </c>
      <c r="D6" s="150">
        <f>+Worksheet!E6</f>
        <v>27</v>
      </c>
      <c r="E6" s="50"/>
      <c r="F6" s="50"/>
      <c r="G6" s="132"/>
      <c r="H6" s="192"/>
      <c r="I6" s="193"/>
      <c r="J6" s="2"/>
    </row>
    <row r="7" spans="1:10" ht="14" x14ac:dyDescent="0.15">
      <c r="A7" s="32"/>
      <c r="B7" s="153"/>
      <c r="C7" s="138" t="str">
        <f>+Worksheet!B9</f>
        <v>Variable Costs per Unit</v>
      </c>
      <c r="D7" s="151">
        <f>+Worksheet!E9</f>
        <v>18.63</v>
      </c>
      <c r="E7" s="50"/>
      <c r="F7" s="152" t="s">
        <v>38</v>
      </c>
      <c r="G7" s="132"/>
      <c r="H7" s="192"/>
      <c r="I7" s="193"/>
      <c r="J7" s="2"/>
    </row>
    <row r="8" spans="1:10" ht="14" x14ac:dyDescent="0.15">
      <c r="A8" s="32"/>
      <c r="B8" s="153"/>
      <c r="C8" s="139" t="str">
        <f>+Worksheet!B4</f>
        <v>Number of Sales</v>
      </c>
      <c r="D8" s="144">
        <f>+Worksheet!C4</f>
        <v>0</v>
      </c>
      <c r="E8" s="139">
        <f>+Worksheet!D4</f>
        <v>9259.2592592592591</v>
      </c>
      <c r="F8" s="145">
        <f>+Worksheet!E4</f>
        <v>18518.518518518518</v>
      </c>
      <c r="G8" s="144">
        <f>+Worksheet!F4</f>
        <v>27777.777777777777</v>
      </c>
      <c r="H8" s="144">
        <f>+Worksheet!G4</f>
        <v>37037.037037037036</v>
      </c>
      <c r="I8" s="193"/>
      <c r="J8" s="2"/>
    </row>
    <row r="9" spans="1:10" ht="14" x14ac:dyDescent="0.15">
      <c r="A9" s="32"/>
      <c r="B9" s="153"/>
      <c r="C9" s="140" t="str">
        <f>+Worksheet!B5</f>
        <v>Business Revenue</v>
      </c>
      <c r="D9" s="135">
        <f>+Worksheet!C5</f>
        <v>0</v>
      </c>
      <c r="E9" s="142">
        <f>+Worksheet!D5</f>
        <v>250000</v>
      </c>
      <c r="F9" s="146">
        <f>+Worksheet!E5</f>
        <v>500000</v>
      </c>
      <c r="G9" s="135">
        <f>+Worksheet!F5</f>
        <v>750000</v>
      </c>
      <c r="H9" s="135">
        <f>+Worksheet!G5</f>
        <v>1000000</v>
      </c>
      <c r="I9" s="193"/>
      <c r="J9" s="2"/>
    </row>
    <row r="10" spans="1:10" ht="14" x14ac:dyDescent="0.15">
      <c r="A10" s="32"/>
      <c r="B10" s="153"/>
      <c r="C10" s="140" t="str">
        <f>+Worksheet!B7</f>
        <v>Variable Costs</v>
      </c>
      <c r="D10" s="135">
        <f>+Worksheet!C7</f>
        <v>0</v>
      </c>
      <c r="E10" s="142">
        <f>+Worksheet!D7</f>
        <v>172500</v>
      </c>
      <c r="F10" s="146">
        <f>+Worksheet!E7</f>
        <v>345000</v>
      </c>
      <c r="G10" s="135">
        <f>+Worksheet!F7</f>
        <v>517499.99999999994</v>
      </c>
      <c r="H10" s="135">
        <f>+Worksheet!G7</f>
        <v>690000</v>
      </c>
      <c r="I10" s="193"/>
      <c r="J10" s="2"/>
    </row>
    <row r="11" spans="1:10" ht="14" x14ac:dyDescent="0.15">
      <c r="A11" s="32"/>
      <c r="B11" s="153"/>
      <c r="C11" s="140" t="str">
        <f>+Worksheet!B10</f>
        <v>Fixed Costs</v>
      </c>
      <c r="D11" s="135">
        <f>+Worksheet!C10</f>
        <v>80000</v>
      </c>
      <c r="E11" s="142">
        <f>+Worksheet!D10</f>
        <v>80000</v>
      </c>
      <c r="F11" s="146">
        <f>+Worksheet!E10</f>
        <v>80000</v>
      </c>
      <c r="G11" s="135">
        <f>+Worksheet!F10</f>
        <v>80000</v>
      </c>
      <c r="H11" s="135">
        <f>+Worksheet!G10</f>
        <v>80000</v>
      </c>
      <c r="I11" s="193"/>
      <c r="J11" s="2"/>
    </row>
    <row r="12" spans="1:10" ht="14" x14ac:dyDescent="0.15">
      <c r="A12" s="32"/>
      <c r="B12" s="153"/>
      <c r="C12" s="140" t="str">
        <f>+Worksheet!B11</f>
        <v>Total Costs</v>
      </c>
      <c r="D12" s="135">
        <f>+Worksheet!C11</f>
        <v>80000</v>
      </c>
      <c r="E12" s="142">
        <f>+Worksheet!D11</f>
        <v>252500</v>
      </c>
      <c r="F12" s="146">
        <f>+Worksheet!E11</f>
        <v>425000</v>
      </c>
      <c r="G12" s="135">
        <f>+Worksheet!F11</f>
        <v>597500</v>
      </c>
      <c r="H12" s="135">
        <f>+Worksheet!G11</f>
        <v>770000</v>
      </c>
      <c r="I12" s="193"/>
      <c r="J12" s="2"/>
    </row>
    <row r="13" spans="1:10" ht="14" x14ac:dyDescent="0.15">
      <c r="A13" s="32"/>
      <c r="B13" s="153"/>
      <c r="C13" s="140" t="str">
        <f>+Worksheet!B12</f>
        <v>Operating Surplus</v>
      </c>
      <c r="D13" s="135">
        <f>+Worksheet!C12</f>
        <v>-80000</v>
      </c>
      <c r="E13" s="142">
        <f>+Worksheet!D12</f>
        <v>-2500</v>
      </c>
      <c r="F13" s="146">
        <f>+Worksheet!E12</f>
        <v>75000</v>
      </c>
      <c r="G13" s="135">
        <f>+Worksheet!F12</f>
        <v>152500.00000000006</v>
      </c>
      <c r="H13" s="135">
        <f>+Worksheet!G12</f>
        <v>230000</v>
      </c>
      <c r="I13" s="193"/>
      <c r="J13" s="2"/>
    </row>
    <row r="14" spans="1:10" ht="14" x14ac:dyDescent="0.15">
      <c r="A14" s="32"/>
      <c r="B14" s="153"/>
      <c r="C14" s="141" t="str">
        <f>+Worksheet!B13</f>
        <v xml:space="preserve"> Surplus %</v>
      </c>
      <c r="D14" s="136" t="str">
        <f>+Worksheet!C13</f>
        <v>N/A</v>
      </c>
      <c r="E14" s="143">
        <f>+Worksheet!D13</f>
        <v>-0.01</v>
      </c>
      <c r="F14" s="147">
        <f>+Worksheet!E13</f>
        <v>0.15</v>
      </c>
      <c r="G14" s="136">
        <f>+Worksheet!F13</f>
        <v>0.20333333333333342</v>
      </c>
      <c r="H14" s="136">
        <f>+Worksheet!G13</f>
        <v>0.23</v>
      </c>
      <c r="I14" s="193"/>
      <c r="J14" s="2"/>
    </row>
    <row r="15" spans="1:10" x14ac:dyDescent="0.15">
      <c r="A15" s="32"/>
      <c r="B15" s="153"/>
      <c r="C15" s="134"/>
      <c r="D15" s="133"/>
      <c r="E15" s="133"/>
      <c r="F15" s="133"/>
      <c r="G15" s="133"/>
      <c r="H15" s="133"/>
      <c r="I15" s="193"/>
      <c r="J15" s="2"/>
    </row>
    <row r="16" spans="1:10" x14ac:dyDescent="0.15">
      <c r="A16" s="32"/>
      <c r="B16" s="153"/>
      <c r="C16" s="381" t="s">
        <v>36</v>
      </c>
      <c r="D16" s="382"/>
      <c r="E16" s="50"/>
      <c r="F16" s="50"/>
      <c r="G16" s="132"/>
      <c r="H16" s="192"/>
      <c r="I16" s="193"/>
      <c r="J16" s="2"/>
    </row>
    <row r="17" spans="1:10" ht="14" x14ac:dyDescent="0.15">
      <c r="A17" s="32"/>
      <c r="B17" s="153"/>
      <c r="C17" s="137" t="str">
        <f>+Worksheet!B36</f>
        <v>Unit Sales Price</v>
      </c>
      <c r="D17" s="150">
        <f>+Worksheet!E36</f>
        <v>31.049999999999997</v>
      </c>
      <c r="E17" s="50"/>
      <c r="F17" s="50"/>
      <c r="G17" s="132"/>
      <c r="H17" s="192"/>
      <c r="I17" s="193"/>
      <c r="J17" s="2"/>
    </row>
    <row r="18" spans="1:10" ht="14" x14ac:dyDescent="0.15">
      <c r="A18" s="32"/>
      <c r="B18" s="153"/>
      <c r="C18" s="138" t="str">
        <f>+Worksheet!B39</f>
        <v>Variable Costs per Unit</v>
      </c>
      <c r="D18" s="151">
        <f>+Worksheet!E39</f>
        <v>18.63</v>
      </c>
      <c r="E18" s="50"/>
      <c r="F18" s="152" t="str">
        <f>+F7</f>
        <v>Input Point</v>
      </c>
      <c r="G18" s="132"/>
      <c r="H18" s="192"/>
      <c r="I18" s="193"/>
      <c r="J18" s="2"/>
    </row>
    <row r="19" spans="1:10" ht="12.75" customHeight="1" x14ac:dyDescent="0.15">
      <c r="A19" s="32"/>
      <c r="B19" s="153"/>
      <c r="C19" s="139" t="str">
        <f>+Worksheet!B34</f>
        <v>Number of Sales</v>
      </c>
      <c r="D19" s="139">
        <f>+Worksheet!C34</f>
        <v>0</v>
      </c>
      <c r="E19" s="139">
        <f>+Worksheet!D34</f>
        <v>7407.4074074074078</v>
      </c>
      <c r="F19" s="145">
        <f>+Worksheet!E34</f>
        <v>14814.814814814816</v>
      </c>
      <c r="G19" s="139">
        <f>+Worksheet!F34</f>
        <v>22222.222222222223</v>
      </c>
      <c r="H19" s="139">
        <f>+Worksheet!G34</f>
        <v>29629.629629629631</v>
      </c>
      <c r="I19" s="193"/>
      <c r="J19" s="2"/>
    </row>
    <row r="20" spans="1:10" ht="14" x14ac:dyDescent="0.15">
      <c r="A20" s="32"/>
      <c r="B20" s="153"/>
      <c r="C20" s="140" t="str">
        <f>+Worksheet!B35</f>
        <v>Business Revenue</v>
      </c>
      <c r="D20" s="142">
        <f>+Worksheet!C35</f>
        <v>0</v>
      </c>
      <c r="E20" s="142">
        <f>+Worksheet!D35</f>
        <v>230000</v>
      </c>
      <c r="F20" s="146">
        <f>+Worksheet!E35</f>
        <v>460000</v>
      </c>
      <c r="G20" s="142">
        <f>+Worksheet!F35</f>
        <v>690000</v>
      </c>
      <c r="H20" s="142">
        <f>+Worksheet!G35</f>
        <v>920000</v>
      </c>
      <c r="I20" s="193"/>
      <c r="J20" s="2"/>
    </row>
    <row r="21" spans="1:10" ht="14" x14ac:dyDescent="0.15">
      <c r="A21" s="32"/>
      <c r="B21" s="153"/>
      <c r="C21" s="140" t="str">
        <f>+Worksheet!B37</f>
        <v>Variable Costs</v>
      </c>
      <c r="D21" s="142">
        <f>+Worksheet!C37</f>
        <v>0</v>
      </c>
      <c r="E21" s="142">
        <f>+Worksheet!D37</f>
        <v>138000</v>
      </c>
      <c r="F21" s="146">
        <f>+Worksheet!E37</f>
        <v>276000</v>
      </c>
      <c r="G21" s="142">
        <f>+Worksheet!F37</f>
        <v>414000</v>
      </c>
      <c r="H21" s="142">
        <f>+Worksheet!G37</f>
        <v>552000</v>
      </c>
      <c r="I21" s="193"/>
      <c r="J21" s="2"/>
    </row>
    <row r="22" spans="1:10" ht="14" x14ac:dyDescent="0.15">
      <c r="A22" s="32"/>
      <c r="B22" s="153"/>
      <c r="C22" s="140" t="str">
        <f>+Worksheet!B40</f>
        <v>Fixed Costs</v>
      </c>
      <c r="D22" s="142">
        <f>+Worksheet!C40</f>
        <v>80000</v>
      </c>
      <c r="E22" s="142">
        <f>+Worksheet!D40</f>
        <v>80000</v>
      </c>
      <c r="F22" s="146">
        <f>+Worksheet!E40</f>
        <v>80000</v>
      </c>
      <c r="G22" s="142">
        <f>+Worksheet!F40</f>
        <v>80000</v>
      </c>
      <c r="H22" s="142">
        <f>+Worksheet!G40</f>
        <v>80000</v>
      </c>
      <c r="I22" s="193"/>
      <c r="J22" s="2"/>
    </row>
    <row r="23" spans="1:10" ht="14" x14ac:dyDescent="0.15">
      <c r="A23" s="32"/>
      <c r="B23" s="153"/>
      <c r="C23" s="140" t="str">
        <f>+Worksheet!B41</f>
        <v>Total Costs</v>
      </c>
      <c r="D23" s="142">
        <f>+Worksheet!C41</f>
        <v>80000</v>
      </c>
      <c r="E23" s="142">
        <f>+Worksheet!D41</f>
        <v>218000</v>
      </c>
      <c r="F23" s="146">
        <f>+Worksheet!E41</f>
        <v>356000</v>
      </c>
      <c r="G23" s="142">
        <f>+Worksheet!F41</f>
        <v>494000</v>
      </c>
      <c r="H23" s="142">
        <f>+Worksheet!G41</f>
        <v>632000</v>
      </c>
      <c r="I23" s="193"/>
      <c r="J23" s="2"/>
    </row>
    <row r="24" spans="1:10" ht="14" x14ac:dyDescent="0.15">
      <c r="A24" s="32"/>
      <c r="B24" s="153"/>
      <c r="C24" s="140" t="str">
        <f>+Worksheet!B42</f>
        <v>Operating Surplus</v>
      </c>
      <c r="D24" s="142">
        <f>+Worksheet!C42</f>
        <v>-80000</v>
      </c>
      <c r="E24" s="142">
        <f>+Worksheet!D42</f>
        <v>12000</v>
      </c>
      <c r="F24" s="146">
        <f>+Worksheet!E42</f>
        <v>104000</v>
      </c>
      <c r="G24" s="142">
        <f>+Worksheet!F42</f>
        <v>196000</v>
      </c>
      <c r="H24" s="142">
        <f>+Worksheet!G42</f>
        <v>288000</v>
      </c>
      <c r="I24" s="193"/>
      <c r="J24" s="2"/>
    </row>
    <row r="25" spans="1:10" ht="14" x14ac:dyDescent="0.15">
      <c r="A25" s="32"/>
      <c r="B25" s="153"/>
      <c r="C25" s="141" t="str">
        <f>+Worksheet!B43</f>
        <v xml:space="preserve"> Surplus %</v>
      </c>
      <c r="D25" s="143" t="str">
        <f>+Worksheet!C43</f>
        <v>N/A</v>
      </c>
      <c r="E25" s="143">
        <f>+Worksheet!D43</f>
        <v>5.2173913043478258E-2</v>
      </c>
      <c r="F25" s="147">
        <f>+Worksheet!E43</f>
        <v>0.22608695652173913</v>
      </c>
      <c r="G25" s="143">
        <f>+Worksheet!F43</f>
        <v>0.28405797101449276</v>
      </c>
      <c r="H25" s="143">
        <f>+Worksheet!G43</f>
        <v>0.31304347826086959</v>
      </c>
      <c r="I25" s="193"/>
      <c r="J25" s="2"/>
    </row>
    <row r="26" spans="1:10" x14ac:dyDescent="0.15">
      <c r="A26" s="32"/>
      <c r="B26" s="153"/>
      <c r="C26" s="134"/>
      <c r="D26" s="133"/>
      <c r="E26" s="133"/>
      <c r="F26" s="133"/>
      <c r="G26" s="133"/>
      <c r="H26" s="133"/>
      <c r="I26" s="193"/>
      <c r="J26" s="2"/>
    </row>
    <row r="27" spans="1:10" x14ac:dyDescent="0.15">
      <c r="A27" s="32"/>
      <c r="B27" s="153"/>
      <c r="C27" s="381" t="s">
        <v>37</v>
      </c>
      <c r="D27" s="382"/>
      <c r="E27" s="50"/>
      <c r="F27" s="50"/>
      <c r="G27" s="132"/>
      <c r="H27" s="192"/>
      <c r="I27" s="193"/>
      <c r="J27" s="2"/>
    </row>
    <row r="28" spans="1:10" ht="14" x14ac:dyDescent="0.15">
      <c r="A28" s="32"/>
      <c r="B28" s="153"/>
      <c r="C28" s="137" t="str">
        <f>+Worksheet!B21</f>
        <v>Unit Sales Price</v>
      </c>
      <c r="D28" s="150">
        <f>+Worksheet!E21</f>
        <v>22.95</v>
      </c>
      <c r="E28" s="50"/>
      <c r="F28" s="50"/>
      <c r="G28" s="132"/>
      <c r="H28" s="192"/>
      <c r="I28" s="193"/>
      <c r="J28" s="2"/>
    </row>
    <row r="29" spans="1:10" ht="14" x14ac:dyDescent="0.15">
      <c r="A29" s="32"/>
      <c r="B29" s="153"/>
      <c r="C29" s="138" t="str">
        <f>+Worksheet!B24</f>
        <v>Variable Costs per Unit</v>
      </c>
      <c r="D29" s="151">
        <f>+Worksheet!E24</f>
        <v>18.63</v>
      </c>
      <c r="E29" s="50"/>
      <c r="F29" s="152" t="str">
        <f>+F18</f>
        <v>Input Point</v>
      </c>
      <c r="G29" s="132"/>
      <c r="H29" s="192"/>
      <c r="I29" s="193"/>
      <c r="J29" s="2"/>
    </row>
    <row r="30" spans="1:10" ht="14" x14ac:dyDescent="0.15">
      <c r="A30" s="32"/>
      <c r="B30" s="153"/>
      <c r="C30" s="139" t="str">
        <f>+Worksheet!B19</f>
        <v>Number of Sales</v>
      </c>
      <c r="D30" s="139">
        <f>+Worksheet!C19</f>
        <v>0</v>
      </c>
      <c r="E30" s="139">
        <f>+Worksheet!D19</f>
        <v>11574.074074074073</v>
      </c>
      <c r="F30" s="145">
        <f>+Worksheet!E19</f>
        <v>23148.148148148146</v>
      </c>
      <c r="G30" s="139">
        <f>+Worksheet!F19</f>
        <v>34722.222222222219</v>
      </c>
      <c r="H30" s="139">
        <f>+Worksheet!G19</f>
        <v>46296.296296296292</v>
      </c>
      <c r="I30" s="193"/>
      <c r="J30" s="2"/>
    </row>
    <row r="31" spans="1:10" ht="14" x14ac:dyDescent="0.15">
      <c r="A31" s="32"/>
      <c r="B31" s="153"/>
      <c r="C31" s="140" t="str">
        <f>+Worksheet!B20</f>
        <v>Business Revenue</v>
      </c>
      <c r="D31" s="148">
        <f>+Worksheet!C20</f>
        <v>0</v>
      </c>
      <c r="E31" s="148">
        <f>+Worksheet!D20</f>
        <v>265624.99999999994</v>
      </c>
      <c r="F31" s="149">
        <f>+Worksheet!E20</f>
        <v>531249.99999999988</v>
      </c>
      <c r="G31" s="148">
        <f>+Worksheet!F20</f>
        <v>796874.99999999988</v>
      </c>
      <c r="H31" s="148">
        <f>+Worksheet!G20</f>
        <v>1062499.9999999998</v>
      </c>
      <c r="I31" s="193"/>
      <c r="J31" s="2"/>
    </row>
    <row r="32" spans="1:10" ht="14" x14ac:dyDescent="0.15">
      <c r="A32" s="32"/>
      <c r="B32" s="153"/>
      <c r="C32" s="140" t="str">
        <f>+Worksheet!B22</f>
        <v>Variable Costs</v>
      </c>
      <c r="D32" s="142">
        <f>+Worksheet!C22</f>
        <v>0</v>
      </c>
      <c r="E32" s="142">
        <f>+Worksheet!D22</f>
        <v>215624.99999999997</v>
      </c>
      <c r="F32" s="146">
        <f>+Worksheet!E22</f>
        <v>431249.99999999994</v>
      </c>
      <c r="G32" s="142">
        <f>+Worksheet!F22</f>
        <v>646875</v>
      </c>
      <c r="H32" s="142">
        <f>+Worksheet!G22</f>
        <v>862499.99999999988</v>
      </c>
      <c r="I32" s="193"/>
      <c r="J32" s="2"/>
    </row>
    <row r="33" spans="1:10" ht="14" x14ac:dyDescent="0.15">
      <c r="A33" s="32"/>
      <c r="B33" s="153"/>
      <c r="C33" s="140" t="str">
        <f>+Worksheet!B25</f>
        <v>Fixed Costs</v>
      </c>
      <c r="D33" s="142">
        <f>+Worksheet!C25</f>
        <v>80000</v>
      </c>
      <c r="E33" s="142">
        <f>+Worksheet!D25</f>
        <v>80000</v>
      </c>
      <c r="F33" s="146">
        <f>+Worksheet!E25</f>
        <v>80000</v>
      </c>
      <c r="G33" s="142">
        <f>+Worksheet!F25</f>
        <v>80000</v>
      </c>
      <c r="H33" s="142">
        <f>+Worksheet!G25</f>
        <v>80000</v>
      </c>
      <c r="I33" s="193"/>
      <c r="J33" s="2"/>
    </row>
    <row r="34" spans="1:10" ht="14" x14ac:dyDescent="0.15">
      <c r="A34" s="32"/>
      <c r="B34" s="153"/>
      <c r="C34" s="140" t="str">
        <f>+Worksheet!B26</f>
        <v>Total Costs</v>
      </c>
      <c r="D34" s="142">
        <f>+Worksheet!C26</f>
        <v>80000</v>
      </c>
      <c r="E34" s="142">
        <f>+Worksheet!D26</f>
        <v>295625</v>
      </c>
      <c r="F34" s="146">
        <f>+Worksheet!E26</f>
        <v>511249.99999999994</v>
      </c>
      <c r="G34" s="142">
        <f>+Worksheet!F26</f>
        <v>726875</v>
      </c>
      <c r="H34" s="142">
        <f>+Worksheet!G26</f>
        <v>942499.99999999988</v>
      </c>
      <c r="I34" s="193"/>
      <c r="J34" s="2"/>
    </row>
    <row r="35" spans="1:10" ht="14" x14ac:dyDescent="0.15">
      <c r="A35" s="32"/>
      <c r="B35" s="153"/>
      <c r="C35" s="140" t="str">
        <f>+Worksheet!B27</f>
        <v>Operating Surplus</v>
      </c>
      <c r="D35" s="142">
        <f>+Worksheet!C27</f>
        <v>-80000</v>
      </c>
      <c r="E35" s="142">
        <f>+Worksheet!D27</f>
        <v>-30000.000000000029</v>
      </c>
      <c r="F35" s="146">
        <f>+Worksheet!E27</f>
        <v>19999.999999999942</v>
      </c>
      <c r="G35" s="142">
        <f>+Worksheet!F27</f>
        <v>69999.999999999884</v>
      </c>
      <c r="H35" s="142">
        <f>+Worksheet!G27</f>
        <v>119999.99999999988</v>
      </c>
      <c r="I35" s="193"/>
      <c r="J35" s="2"/>
    </row>
    <row r="36" spans="1:10" ht="14" x14ac:dyDescent="0.15">
      <c r="A36" s="32"/>
      <c r="B36" s="153"/>
      <c r="C36" s="141" t="str">
        <f>+Worksheet!B28</f>
        <v xml:space="preserve"> Surplus %</v>
      </c>
      <c r="D36" s="143" t="str">
        <f>+Worksheet!C28</f>
        <v>N/A</v>
      </c>
      <c r="E36" s="143">
        <f>+Worksheet!D28</f>
        <v>-0.11294117647058836</v>
      </c>
      <c r="F36" s="147">
        <f>+Worksheet!E28</f>
        <v>3.7647058823529311E-2</v>
      </c>
      <c r="G36" s="143">
        <f>+Worksheet!F28</f>
        <v>8.7843137254901824E-2</v>
      </c>
      <c r="H36" s="143">
        <f>+Worksheet!G28</f>
        <v>0.11294117647058816</v>
      </c>
      <c r="I36" s="193"/>
      <c r="J36" s="2"/>
    </row>
    <row r="37" spans="1:10" x14ac:dyDescent="0.15">
      <c r="A37" s="32"/>
      <c r="B37" s="153"/>
      <c r="C37" s="134"/>
      <c r="D37" s="133"/>
      <c r="E37" s="133"/>
      <c r="F37" s="133"/>
      <c r="G37" s="133"/>
      <c r="H37" s="133"/>
      <c r="I37" s="193"/>
      <c r="J37" s="2"/>
    </row>
    <row r="38" spans="1:10" x14ac:dyDescent="0.15">
      <c r="A38" s="32"/>
      <c r="B38" s="153"/>
      <c r="C38" s="381" t="s">
        <v>39</v>
      </c>
      <c r="D38" s="382"/>
      <c r="E38" s="50"/>
      <c r="F38" s="50"/>
      <c r="G38" s="132"/>
      <c r="H38" s="192"/>
      <c r="I38" s="193"/>
      <c r="J38" s="2"/>
    </row>
    <row r="39" spans="1:10" ht="14" x14ac:dyDescent="0.15">
      <c r="A39" s="32"/>
      <c r="B39" s="153"/>
      <c r="C39" s="137" t="str">
        <f>+Worksheet!B51</f>
        <v>Unit Sales Price</v>
      </c>
      <c r="D39" s="150">
        <f>+Worksheet!E51</f>
        <v>32.94</v>
      </c>
      <c r="E39" s="50"/>
      <c r="F39" s="50"/>
      <c r="G39" s="132"/>
      <c r="H39" s="192"/>
      <c r="I39" s="193"/>
      <c r="J39" s="2"/>
    </row>
    <row r="40" spans="1:10" ht="14" x14ac:dyDescent="0.15">
      <c r="A40" s="32"/>
      <c r="B40" s="153"/>
      <c r="C40" s="138" t="str">
        <f>+Worksheet!B54</f>
        <v>Variable Costs per Unit</v>
      </c>
      <c r="D40" s="151">
        <f>+Worksheet!E54</f>
        <v>18.63</v>
      </c>
      <c r="E40" s="50"/>
      <c r="F40" s="152" t="s">
        <v>38</v>
      </c>
      <c r="G40" s="132"/>
      <c r="H40" s="192"/>
      <c r="I40" s="193"/>
      <c r="J40" s="2"/>
    </row>
    <row r="41" spans="1:10" ht="14" x14ac:dyDescent="0.15">
      <c r="A41" s="32"/>
      <c r="B41" s="153"/>
      <c r="C41" s="139" t="str">
        <f>+Worksheet!B49</f>
        <v>Number of Sales</v>
      </c>
      <c r="D41" s="139">
        <f>+Worksheet!C49</f>
        <v>0</v>
      </c>
      <c r="E41" s="139">
        <f>+Worksheet!D49</f>
        <v>6543.2098765432083</v>
      </c>
      <c r="F41" s="145">
        <f>+Worksheet!E49</f>
        <v>13086.419753086417</v>
      </c>
      <c r="G41" s="139">
        <f>+Worksheet!F49</f>
        <v>19629.629629629624</v>
      </c>
      <c r="H41" s="139">
        <f>+Worksheet!G49</f>
        <v>26172.839506172833</v>
      </c>
      <c r="I41" s="193"/>
      <c r="J41" s="2"/>
    </row>
    <row r="42" spans="1:10" ht="14" x14ac:dyDescent="0.15">
      <c r="A42" s="32"/>
      <c r="B42" s="153"/>
      <c r="C42" s="140" t="str">
        <f>+Worksheet!B50</f>
        <v>Business Revenue</v>
      </c>
      <c r="D42" s="142">
        <f>+Worksheet!C50</f>
        <v>0</v>
      </c>
      <c r="E42" s="142">
        <f>+Worksheet!D50</f>
        <v>215533.33333333326</v>
      </c>
      <c r="F42" s="146">
        <f>+Worksheet!E50</f>
        <v>431066.66666666651</v>
      </c>
      <c r="G42" s="142">
        <f>+Worksheet!F50</f>
        <v>646599.99999999977</v>
      </c>
      <c r="H42" s="142">
        <f>+Worksheet!G50</f>
        <v>862133.33333333302</v>
      </c>
      <c r="I42" s="193"/>
      <c r="J42" s="2"/>
    </row>
    <row r="43" spans="1:10" ht="14" x14ac:dyDescent="0.15">
      <c r="A43" s="32"/>
      <c r="B43" s="153"/>
      <c r="C43" s="140" t="str">
        <f>+Worksheet!B52</f>
        <v>Variable Costs</v>
      </c>
      <c r="D43" s="142">
        <f>+Worksheet!C52</f>
        <v>0</v>
      </c>
      <c r="E43" s="142">
        <f>+Worksheet!D52</f>
        <v>121899.99999999997</v>
      </c>
      <c r="F43" s="146">
        <f>+Worksheet!E52</f>
        <v>243799.99999999994</v>
      </c>
      <c r="G43" s="142">
        <f>+Worksheet!F52</f>
        <v>365699.99999999994</v>
      </c>
      <c r="H43" s="142">
        <f>+Worksheet!G52</f>
        <v>487599.99999999988</v>
      </c>
      <c r="I43" s="193"/>
      <c r="J43" s="2"/>
    </row>
    <row r="44" spans="1:10" ht="14" x14ac:dyDescent="0.15">
      <c r="A44" s="32"/>
      <c r="B44" s="153"/>
      <c r="C44" s="140" t="str">
        <f>+Worksheet!B55</f>
        <v>Fixed Costs</v>
      </c>
      <c r="D44" s="142">
        <f>+Worksheet!C55</f>
        <v>80000</v>
      </c>
      <c r="E44" s="142">
        <f>+Worksheet!D55</f>
        <v>80000</v>
      </c>
      <c r="F44" s="146">
        <f>+Worksheet!E55</f>
        <v>80000</v>
      </c>
      <c r="G44" s="142">
        <f>+Worksheet!F55</f>
        <v>80000</v>
      </c>
      <c r="H44" s="142">
        <f>+Worksheet!G55</f>
        <v>80000</v>
      </c>
      <c r="I44" s="193"/>
      <c r="J44" s="2"/>
    </row>
    <row r="45" spans="1:10" ht="14" x14ac:dyDescent="0.15">
      <c r="A45" s="32"/>
      <c r="B45" s="153"/>
      <c r="C45" s="140" t="str">
        <f>+Worksheet!B56</f>
        <v>Total Costs</v>
      </c>
      <c r="D45" s="142">
        <f>+Worksheet!C56</f>
        <v>80000</v>
      </c>
      <c r="E45" s="142">
        <f>+Worksheet!D56</f>
        <v>201899.99999999997</v>
      </c>
      <c r="F45" s="146">
        <f>+Worksheet!E56</f>
        <v>323799.99999999994</v>
      </c>
      <c r="G45" s="142">
        <f>+Worksheet!F56</f>
        <v>445699.99999999994</v>
      </c>
      <c r="H45" s="142">
        <f>+Worksheet!G56</f>
        <v>567599.99999999988</v>
      </c>
      <c r="I45" s="193"/>
      <c r="J45" s="2"/>
    </row>
    <row r="46" spans="1:10" ht="14" x14ac:dyDescent="0.15">
      <c r="A46" s="32"/>
      <c r="B46" s="153"/>
      <c r="C46" s="140" t="str">
        <f>+Worksheet!B57</f>
        <v>Operating Surplus</v>
      </c>
      <c r="D46" s="142">
        <f>+Worksheet!C57</f>
        <v>-80000</v>
      </c>
      <c r="E46" s="142">
        <f>+Worksheet!D57</f>
        <v>13633.333333333285</v>
      </c>
      <c r="F46" s="146">
        <f>+Worksheet!E57</f>
        <v>107266.66666666657</v>
      </c>
      <c r="G46" s="142">
        <f>+Worksheet!F57</f>
        <v>200899.99999999983</v>
      </c>
      <c r="H46" s="142">
        <f>+Worksheet!G57</f>
        <v>294533.33333333314</v>
      </c>
      <c r="I46" s="193"/>
      <c r="J46" s="2"/>
    </row>
    <row r="47" spans="1:10" ht="14" x14ac:dyDescent="0.15">
      <c r="A47" s="32"/>
      <c r="B47" s="153"/>
      <c r="C47" s="141" t="str">
        <f>+Worksheet!B58</f>
        <v xml:space="preserve"> Surplus %</v>
      </c>
      <c r="D47" s="143" t="str">
        <f>+Worksheet!C58</f>
        <v>N/A</v>
      </c>
      <c r="E47" s="143">
        <f>+Worksheet!D58</f>
        <v>6.3253943705536456E-2</v>
      </c>
      <c r="F47" s="147">
        <f>+Worksheet!E58</f>
        <v>0.24884008660686655</v>
      </c>
      <c r="G47" s="143">
        <f>+Worksheet!F58</f>
        <v>0.31070213424064319</v>
      </c>
      <c r="H47" s="143">
        <f>+Worksheet!G58</f>
        <v>0.34163315805753158</v>
      </c>
      <c r="I47" s="193"/>
      <c r="J47" s="2"/>
    </row>
    <row r="48" spans="1:10" x14ac:dyDescent="0.15">
      <c r="A48" s="32"/>
      <c r="B48" s="153"/>
      <c r="C48" s="134"/>
      <c r="D48" s="133"/>
      <c r="E48" s="133"/>
      <c r="F48" s="133"/>
      <c r="G48" s="133"/>
      <c r="H48" s="133"/>
      <c r="I48" s="193"/>
      <c r="J48" s="2"/>
    </row>
    <row r="49" spans="1:10" ht="12.75" customHeight="1" x14ac:dyDescent="0.15">
      <c r="A49" s="32"/>
      <c r="B49" s="378" t="str">
        <f>Welcome!B31</f>
        <v>Copyright © Bizpep 2010 - www.bizpeponline.com.</v>
      </c>
      <c r="C49" s="379"/>
      <c r="D49" s="379"/>
      <c r="E49" s="379"/>
      <c r="F49" s="379"/>
      <c r="G49" s="379"/>
      <c r="H49" s="379"/>
      <c r="I49" s="380"/>
      <c r="J49" s="2"/>
    </row>
    <row r="50" spans="1:10" ht="18" x14ac:dyDescent="0.15">
      <c r="A50" s="32"/>
      <c r="B50" s="325"/>
      <c r="C50" s="330"/>
      <c r="D50" s="330"/>
      <c r="E50" s="330"/>
      <c r="F50" s="330"/>
      <c r="G50" s="330"/>
      <c r="H50" s="330"/>
      <c r="I50" s="330"/>
      <c r="J50" s="2"/>
    </row>
    <row r="51" spans="1:10" ht="18" x14ac:dyDescent="0.15">
      <c r="A51" s="32"/>
      <c r="B51" s="325"/>
      <c r="C51" s="325"/>
      <c r="D51" s="325"/>
      <c r="E51" s="325"/>
      <c r="F51" s="325"/>
      <c r="G51" s="325"/>
      <c r="H51" s="325"/>
      <c r="I51" s="325"/>
      <c r="J51" s="2"/>
    </row>
    <row r="52" spans="1:10" ht="18" x14ac:dyDescent="0.15">
      <c r="A52" s="32"/>
      <c r="B52" s="324"/>
      <c r="C52" s="330"/>
      <c r="D52" s="330"/>
      <c r="E52" s="330"/>
      <c r="F52" s="330"/>
      <c r="G52" s="330"/>
      <c r="H52" s="330"/>
      <c r="I52" s="330"/>
      <c r="J52" s="2"/>
    </row>
    <row r="53" spans="1:10" ht="18" x14ac:dyDescent="0.15">
      <c r="A53" s="32"/>
      <c r="B53" s="323"/>
      <c r="C53" s="330"/>
      <c r="D53" s="330"/>
      <c r="E53" s="330"/>
      <c r="F53" s="330"/>
      <c r="G53" s="330"/>
      <c r="H53" s="330"/>
      <c r="I53" s="330"/>
      <c r="J53" s="2"/>
    </row>
    <row r="54" spans="1:10" ht="18" x14ac:dyDescent="0.15">
      <c r="A54" s="32"/>
      <c r="B54" s="324"/>
      <c r="C54" s="330"/>
      <c r="D54" s="330"/>
      <c r="E54" s="330"/>
      <c r="F54" s="330"/>
      <c r="G54" s="330"/>
      <c r="H54" s="330"/>
      <c r="I54" s="330"/>
      <c r="J54" s="2"/>
    </row>
    <row r="55" spans="1:10" ht="18" x14ac:dyDescent="0.15">
      <c r="A55" s="32"/>
      <c r="B55" s="321"/>
      <c r="C55" s="330"/>
      <c r="D55" s="330"/>
      <c r="E55" s="330"/>
      <c r="F55" s="330"/>
      <c r="G55" s="330"/>
      <c r="H55" s="330"/>
      <c r="I55" s="330"/>
      <c r="J55" s="2"/>
    </row>
    <row r="56" spans="1:10" ht="18" x14ac:dyDescent="0.15">
      <c r="A56" s="32"/>
      <c r="B56" s="320"/>
      <c r="C56" s="330"/>
      <c r="D56" s="330"/>
      <c r="E56" s="330"/>
      <c r="F56" s="330"/>
      <c r="G56" s="330"/>
      <c r="H56" s="330"/>
      <c r="I56" s="330"/>
      <c r="J56" s="2"/>
    </row>
    <row r="57" spans="1:10" ht="18" x14ac:dyDescent="0.15">
      <c r="A57" s="32"/>
      <c r="B57" s="321"/>
      <c r="C57" s="330"/>
      <c r="D57" s="330"/>
      <c r="E57" s="330"/>
      <c r="F57" s="330"/>
      <c r="G57" s="330"/>
      <c r="H57" s="330"/>
      <c r="I57" s="330"/>
      <c r="J57" s="2"/>
    </row>
    <row r="58" spans="1:10" x14ac:dyDescent="0.15">
      <c r="A58" s="32"/>
      <c r="B58" s="322"/>
      <c r="C58" s="330"/>
      <c r="D58" s="330"/>
      <c r="E58" s="330"/>
      <c r="F58" s="330"/>
      <c r="G58" s="330"/>
      <c r="H58" s="330"/>
      <c r="I58" s="330"/>
      <c r="J58" s="2"/>
    </row>
    <row r="59" spans="1:10" x14ac:dyDescent="0.15">
      <c r="A59" s="32"/>
      <c r="B59" s="32"/>
      <c r="C59" s="85"/>
      <c r="D59" s="32"/>
      <c r="E59" s="41"/>
      <c r="F59" s="32"/>
      <c r="G59" s="32"/>
      <c r="H59" s="32"/>
      <c r="I59" s="32"/>
      <c r="J59" s="2"/>
    </row>
    <row r="60" spans="1:10" x14ac:dyDescent="0.15">
      <c r="A60" s="32"/>
      <c r="B60" s="32"/>
      <c r="C60" s="85"/>
      <c r="D60" s="32"/>
      <c r="E60" s="41"/>
      <c r="F60" s="32"/>
      <c r="G60" s="32"/>
      <c r="H60" s="32"/>
      <c r="I60" s="32"/>
      <c r="J60" s="2"/>
    </row>
    <row r="61" spans="1:10" x14ac:dyDescent="0.15">
      <c r="A61" s="32"/>
      <c r="B61" s="32"/>
      <c r="C61" s="42"/>
      <c r="D61" s="32"/>
      <c r="E61" s="41"/>
      <c r="F61" s="32"/>
      <c r="G61" s="32"/>
      <c r="H61" s="32"/>
      <c r="I61" s="32"/>
    </row>
    <row r="62" spans="1:10" x14ac:dyDescent="0.15">
      <c r="A62" s="32"/>
      <c r="B62" s="32"/>
      <c r="C62" s="86"/>
      <c r="D62" s="32"/>
      <c r="E62" s="32"/>
      <c r="F62" s="32"/>
      <c r="G62" s="32"/>
      <c r="H62" s="32"/>
      <c r="I62" s="32"/>
    </row>
    <row r="63" spans="1:10" x14ac:dyDescent="0.15">
      <c r="A63" s="32"/>
      <c r="B63" s="32"/>
      <c r="C63" s="42"/>
      <c r="D63" s="32"/>
      <c r="E63" s="32"/>
      <c r="F63" s="32"/>
      <c r="G63" s="32"/>
      <c r="H63" s="32"/>
      <c r="I63" s="32"/>
    </row>
  </sheetData>
  <sheetProtection password="C68B" sheet="1" objects="1" scenarios="1" formatCells="0" formatColumns="0" formatRows="0"/>
  <mergeCells count="15">
    <mergeCell ref="B3:I3"/>
    <mergeCell ref="B51:I51"/>
    <mergeCell ref="B58:I58"/>
    <mergeCell ref="C5:D5"/>
    <mergeCell ref="C16:D16"/>
    <mergeCell ref="C27:D27"/>
    <mergeCell ref="C38:D38"/>
    <mergeCell ref="B54:I54"/>
    <mergeCell ref="B55:I55"/>
    <mergeCell ref="B56:I56"/>
    <mergeCell ref="B57:I57"/>
    <mergeCell ref="B49:I49"/>
    <mergeCell ref="B50:I50"/>
    <mergeCell ref="B52:I52"/>
    <mergeCell ref="B53:I53"/>
  </mergeCells>
  <phoneticPr fontId="0" type="noConversion"/>
  <pageMargins left="0.75" right="0.75" top="1" bottom="1" header="0.5" footer="0.5"/>
  <pageSetup paperSize="9" scale="75" orientation="portrait" horizontalDpi="360" verticalDpi="0"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pageSetUpPr fitToPage="1"/>
  </sheetPr>
  <dimension ref="A1:E56"/>
  <sheetViews>
    <sheetView showGridLines="0" zoomScaleNormal="100" workbookViewId="0"/>
  </sheetViews>
  <sheetFormatPr baseColWidth="10" defaultColWidth="9.1640625" defaultRowHeight="13" x14ac:dyDescent="0.15"/>
  <cols>
    <col min="1" max="1" width="3.33203125" style="1" customWidth="1"/>
    <col min="2" max="2" width="17.6640625" style="14" customWidth="1"/>
    <col min="3" max="3" width="2.83203125" style="1" customWidth="1"/>
    <col min="4" max="4" width="79.5" style="1" customWidth="1"/>
    <col min="5" max="5" width="4.5" style="1" customWidth="1"/>
    <col min="6" max="16384" width="9.1640625" style="1"/>
  </cols>
  <sheetData>
    <row r="1" spans="1:5" ht="3.75" customHeight="1" x14ac:dyDescent="0.15">
      <c r="A1" s="11"/>
      <c r="B1" s="13"/>
      <c r="C1" s="12"/>
      <c r="D1" s="25"/>
      <c r="E1" s="11"/>
    </row>
    <row r="2" spans="1:5" ht="12.75" customHeight="1" x14ac:dyDescent="0.15">
      <c r="A2" s="11"/>
      <c r="B2" s="390" t="str">
        <f xml:space="preserve"> "Instructions - " &amp; 'Terms and Conditions'!B3</f>
        <v>Instructions - Pricing and Breakeven Analysis Excel 30</v>
      </c>
      <c r="C2" s="391"/>
      <c r="D2" s="392"/>
      <c r="E2" s="12"/>
    </row>
    <row r="3" spans="1:5" x14ac:dyDescent="0.15">
      <c r="A3" s="11"/>
      <c r="B3" s="399" t="s">
        <v>128</v>
      </c>
      <c r="C3" s="333"/>
      <c r="D3" s="400"/>
      <c r="E3" s="12"/>
    </row>
    <row r="4" spans="1:5" ht="129.75" customHeight="1" x14ac:dyDescent="0.15">
      <c r="A4" s="11"/>
      <c r="B4" s="22" t="s">
        <v>116</v>
      </c>
      <c r="C4" s="23"/>
      <c r="D4" s="30" t="s">
        <v>201</v>
      </c>
      <c r="E4" s="12"/>
    </row>
    <row r="5" spans="1:5" x14ac:dyDescent="0.15">
      <c r="A5" s="11"/>
      <c r="B5" s="22"/>
      <c r="C5" s="24"/>
      <c r="D5" s="67"/>
      <c r="E5" s="12"/>
    </row>
    <row r="6" spans="1:5" ht="14" x14ac:dyDescent="0.15">
      <c r="A6" s="11"/>
      <c r="B6" s="22" t="s">
        <v>117</v>
      </c>
      <c r="C6" s="29"/>
      <c r="D6" s="30" t="s">
        <v>202</v>
      </c>
      <c r="E6" s="12"/>
    </row>
    <row r="7" spans="1:5" ht="14" x14ac:dyDescent="0.15">
      <c r="A7" s="11"/>
      <c r="B7" s="68"/>
      <c r="C7" s="29"/>
      <c r="D7" s="67" t="s">
        <v>141</v>
      </c>
      <c r="E7" s="12"/>
    </row>
    <row r="8" spans="1:5" x14ac:dyDescent="0.15">
      <c r="A8" s="11"/>
      <c r="B8" s="396" t="s">
        <v>115</v>
      </c>
      <c r="C8" s="397"/>
      <c r="D8" s="398"/>
      <c r="E8" s="12"/>
    </row>
    <row r="9" spans="1:5" ht="25.5" customHeight="1" x14ac:dyDescent="0.15">
      <c r="A9" s="71"/>
      <c r="B9" s="401" t="s">
        <v>211</v>
      </c>
      <c r="C9" s="402"/>
      <c r="D9" s="403"/>
      <c r="E9" s="12"/>
    </row>
    <row r="10" spans="1:5" ht="84" x14ac:dyDescent="0.15">
      <c r="A10" s="71"/>
      <c r="B10" s="63" t="str">
        <f>+Input!B7</f>
        <v>Current Operating Performance Data</v>
      </c>
      <c r="C10" s="72"/>
      <c r="D10" s="30" t="s">
        <v>142</v>
      </c>
      <c r="E10" s="12"/>
    </row>
    <row r="11" spans="1:5" ht="28" x14ac:dyDescent="0.15">
      <c r="A11" s="71"/>
      <c r="B11" s="54" t="str">
        <f>+Input!B9</f>
        <v>Business Name or Identifier</v>
      </c>
      <c r="C11" s="73"/>
      <c r="D11" s="30" t="s">
        <v>0</v>
      </c>
      <c r="E11" s="12"/>
    </row>
    <row r="12" spans="1:5" ht="42" x14ac:dyDescent="0.15">
      <c r="A12" s="71"/>
      <c r="B12" s="54" t="str">
        <f>+Input!B11</f>
        <v>Business Revenue</v>
      </c>
      <c r="C12" s="59"/>
      <c r="D12" s="30" t="s">
        <v>1</v>
      </c>
      <c r="E12" s="12"/>
    </row>
    <row r="13" spans="1:5" ht="42" x14ac:dyDescent="0.15">
      <c r="A13" s="11"/>
      <c r="B13" s="54" t="str">
        <f>+Input!B13</f>
        <v>Sales</v>
      </c>
      <c r="C13" s="58"/>
      <c r="D13" s="30" t="s">
        <v>2</v>
      </c>
      <c r="E13" s="12"/>
    </row>
    <row r="14" spans="1:5" ht="56" x14ac:dyDescent="0.15">
      <c r="A14" s="11"/>
      <c r="B14" s="54" t="str">
        <f>+Input!B14</f>
        <v>Price (revenue per sale) &amp; Number of Sales</v>
      </c>
      <c r="C14" s="59"/>
      <c r="D14" s="30" t="s">
        <v>3</v>
      </c>
      <c r="E14" s="12"/>
    </row>
    <row r="15" spans="1:5" ht="28" x14ac:dyDescent="0.15">
      <c r="A15" s="11"/>
      <c r="B15" s="64" t="str">
        <f>+Input!B16</f>
        <v>Expenses</v>
      </c>
      <c r="C15" s="59"/>
      <c r="D15" s="30" t="s">
        <v>4</v>
      </c>
      <c r="E15" s="12"/>
    </row>
    <row r="16" spans="1:5" ht="52.5" customHeight="1" x14ac:dyDescent="0.15">
      <c r="A16" s="11"/>
      <c r="B16" s="54" t="str">
        <f>+Input!B17</f>
        <v>Variable Costs</v>
      </c>
      <c r="C16" s="59"/>
      <c r="D16" s="30" t="s">
        <v>147</v>
      </c>
      <c r="E16" s="12"/>
    </row>
    <row r="17" spans="1:5" ht="56" x14ac:dyDescent="0.15">
      <c r="A17" s="11"/>
      <c r="B17" s="54" t="str">
        <f>+Input!B18</f>
        <v>Fixed Costs</v>
      </c>
      <c r="C17" s="59"/>
      <c r="D17" s="30" t="s">
        <v>148</v>
      </c>
      <c r="E17" s="12"/>
    </row>
    <row r="18" spans="1:5" ht="84" x14ac:dyDescent="0.15">
      <c r="A18" s="11"/>
      <c r="B18" s="157" t="str">
        <f>+Input!B19</f>
        <v>Operating Surplus</v>
      </c>
      <c r="C18" s="169"/>
      <c r="D18" s="69" t="s">
        <v>149</v>
      </c>
      <c r="E18" s="12"/>
    </row>
    <row r="19" spans="1:5" ht="42" x14ac:dyDescent="0.15">
      <c r="A19" s="11"/>
      <c r="B19" s="64" t="str">
        <f>+Input!B23</f>
        <v>Current Breakeven Analysis</v>
      </c>
      <c r="C19" s="57"/>
      <c r="D19" s="30" t="s">
        <v>5</v>
      </c>
      <c r="E19" s="12"/>
    </row>
    <row r="20" spans="1:5" ht="42" x14ac:dyDescent="0.15">
      <c r="A20" s="11"/>
      <c r="B20" s="54" t="str">
        <f>+Input!B26</f>
        <v>Current Breakeven Revenue is</v>
      </c>
      <c r="C20" s="60"/>
      <c r="D20" s="30" t="s">
        <v>6</v>
      </c>
      <c r="E20" s="12"/>
    </row>
    <row r="21" spans="1:5" ht="42" x14ac:dyDescent="0.15">
      <c r="A21" s="11"/>
      <c r="B21" s="54" t="str">
        <f>+Input!B27</f>
        <v>Current Breakeven Number of Sales is</v>
      </c>
      <c r="C21" s="60"/>
      <c r="D21" s="30" t="s">
        <v>7</v>
      </c>
      <c r="E21" s="12"/>
    </row>
    <row r="22" spans="1:5" ht="56" x14ac:dyDescent="0.15">
      <c r="A22" s="11"/>
      <c r="B22" s="65" t="str">
        <f>+Input!B29</f>
        <v>Current Price Breakeven Chart</v>
      </c>
      <c r="C22" s="61"/>
      <c r="D22" s="30" t="s">
        <v>143</v>
      </c>
      <c r="E22" s="12"/>
    </row>
    <row r="23" spans="1:5" ht="56" x14ac:dyDescent="0.15">
      <c r="A23" s="11"/>
      <c r="B23" s="54" t="str">
        <f>+Input!B31</f>
        <v>To generate a surplus of</v>
      </c>
      <c r="C23" s="162"/>
      <c r="D23" s="30" t="s">
        <v>130</v>
      </c>
      <c r="E23" s="12"/>
    </row>
    <row r="24" spans="1:5" ht="42" x14ac:dyDescent="0.15">
      <c r="A24" s="11"/>
      <c r="B24" s="157" t="str">
        <f>+Input!B32</f>
        <v>You currently require Revenue of</v>
      </c>
      <c r="C24" s="56"/>
      <c r="D24" s="69" t="s">
        <v>8</v>
      </c>
      <c r="E24" s="12"/>
    </row>
    <row r="25" spans="1:5" ht="28" x14ac:dyDescent="0.15">
      <c r="A25" s="11"/>
      <c r="B25" s="64" t="str">
        <f>+Input!B36</f>
        <v>Pricing Analysis</v>
      </c>
      <c r="C25" s="62"/>
      <c r="D25" s="30" t="s">
        <v>13</v>
      </c>
      <c r="E25" s="12"/>
    </row>
    <row r="26" spans="1:5" ht="56" x14ac:dyDescent="0.15">
      <c r="A26" s="11"/>
      <c r="B26" s="64" t="str">
        <f>+Input!B38</f>
        <v>Increased Average Price</v>
      </c>
      <c r="C26" s="55"/>
      <c r="D26" s="30" t="s">
        <v>134</v>
      </c>
      <c r="E26" s="12"/>
    </row>
    <row r="27" spans="1:5" ht="56" x14ac:dyDescent="0.15">
      <c r="A27" s="11"/>
      <c r="B27" s="54" t="str">
        <f>+Input!B39</f>
        <v>An average price increase of</v>
      </c>
      <c r="C27" s="55"/>
      <c r="D27" s="30" t="s">
        <v>14</v>
      </c>
      <c r="E27" s="12"/>
    </row>
    <row r="28" spans="1:5" ht="56" x14ac:dyDescent="0.15">
      <c r="A28" s="11"/>
      <c r="B28" s="54" t="str">
        <f>+Input!B40</f>
        <v>annual Number of Sales decrease by</v>
      </c>
      <c r="C28" s="55"/>
      <c r="D28" s="30" t="s">
        <v>15</v>
      </c>
      <c r="E28" s="12"/>
    </row>
    <row r="29" spans="1:5" ht="28" x14ac:dyDescent="0.15">
      <c r="A29" s="11"/>
      <c r="B29" s="37" t="str">
        <f>+Input!B42</f>
        <v>This results in Revenue of</v>
      </c>
      <c r="C29" s="166"/>
      <c r="D29" s="30" t="s">
        <v>16</v>
      </c>
      <c r="E29" s="12"/>
    </row>
    <row r="30" spans="1:5" ht="56" x14ac:dyDescent="0.15">
      <c r="A30" s="11"/>
      <c r="B30" s="37" t="str">
        <f>+Input!B44</f>
        <v>With an Operating Surplus of</v>
      </c>
      <c r="C30" s="165"/>
      <c r="D30" s="30" t="s">
        <v>144</v>
      </c>
      <c r="E30" s="12"/>
    </row>
    <row r="31" spans="1:5" ht="56" x14ac:dyDescent="0.15">
      <c r="A31" s="11"/>
      <c r="B31" s="176" t="str">
        <f>+Input!B46</f>
        <v>Increased Price Breakeven Chart</v>
      </c>
      <c r="C31" s="167"/>
      <c r="D31" s="31" t="s">
        <v>143</v>
      </c>
      <c r="E31" s="12"/>
    </row>
    <row r="32" spans="1:5" ht="51" customHeight="1" x14ac:dyDescent="0.15">
      <c r="A32" s="11"/>
      <c r="B32" s="177" t="str">
        <f>+Input!B48</f>
        <v>Decreased Average Price</v>
      </c>
      <c r="C32" s="168"/>
      <c r="D32" s="30" t="s">
        <v>135</v>
      </c>
      <c r="E32" s="12"/>
    </row>
    <row r="33" spans="1:5" ht="56" x14ac:dyDescent="0.15">
      <c r="A33" s="11"/>
      <c r="B33" s="178" t="str">
        <f>+Input!B49</f>
        <v>An average price decrease of</v>
      </c>
      <c r="C33" s="168"/>
      <c r="D33" s="30" t="s">
        <v>20</v>
      </c>
      <c r="E33" s="12"/>
    </row>
    <row r="34" spans="1:5" ht="56" x14ac:dyDescent="0.15">
      <c r="A34" s="11"/>
      <c r="B34" s="178" t="str">
        <f>+Input!B50</f>
        <v>annual Number of Sales increase by</v>
      </c>
      <c r="C34" s="168"/>
      <c r="D34" s="30" t="s">
        <v>131</v>
      </c>
      <c r="E34" s="12"/>
    </row>
    <row r="35" spans="1:5" ht="28" x14ac:dyDescent="0.15">
      <c r="A35" s="11"/>
      <c r="B35" s="178" t="str">
        <f>+Input!B52</f>
        <v>This results in Revenue of</v>
      </c>
      <c r="C35" s="170"/>
      <c r="D35" s="171" t="s">
        <v>21</v>
      </c>
      <c r="E35" s="12"/>
    </row>
    <row r="36" spans="1:5" ht="56" x14ac:dyDescent="0.15">
      <c r="A36" s="11"/>
      <c r="B36" s="37" t="str">
        <f>+Input!B54</f>
        <v>With an Operating Surplus of</v>
      </c>
      <c r="C36" s="165"/>
      <c r="D36" s="30" t="s">
        <v>145</v>
      </c>
      <c r="E36" s="12"/>
    </row>
    <row r="37" spans="1:5" ht="56" x14ac:dyDescent="0.15">
      <c r="A37" s="11"/>
      <c r="B37" s="65" t="str">
        <f>+Input!B56</f>
        <v>Decreased Price Breakeven Chart</v>
      </c>
      <c r="C37" s="56"/>
      <c r="D37" s="30" t="s">
        <v>143</v>
      </c>
      <c r="E37" s="12"/>
    </row>
    <row r="38" spans="1:5" ht="28" x14ac:dyDescent="0.15">
      <c r="A38" s="11"/>
      <c r="B38" s="66" t="str">
        <f>+Input!B58</f>
        <v>Price  Analysis Chart</v>
      </c>
      <c r="C38" s="56"/>
      <c r="D38" s="69" t="s">
        <v>22</v>
      </c>
      <c r="E38" s="12"/>
    </row>
    <row r="39" spans="1:5" ht="63.75" customHeight="1" x14ac:dyDescent="0.15">
      <c r="A39" s="11"/>
      <c r="B39" s="64" t="str">
        <f>+Input!B62</f>
        <v>Extended Pricing Analysis</v>
      </c>
      <c r="C39" s="159"/>
      <c r="D39" s="30" t="s">
        <v>23</v>
      </c>
      <c r="E39" s="12"/>
    </row>
    <row r="40" spans="1:5" ht="56" x14ac:dyDescent="0.15">
      <c r="A40" s="11"/>
      <c r="B40" s="54" t="str">
        <f>+Input!B64</f>
        <v>Applying extended price analysis the optimum average sale price is</v>
      </c>
      <c r="C40" s="60"/>
      <c r="D40" s="30" t="s">
        <v>24</v>
      </c>
      <c r="E40" s="12"/>
    </row>
    <row r="41" spans="1:5" ht="28" x14ac:dyDescent="0.15">
      <c r="A41" s="11"/>
      <c r="B41" s="54" t="str">
        <f>+Input!B66</f>
        <v>This results in Revenue of</v>
      </c>
      <c r="C41" s="26"/>
      <c r="D41" s="70" t="s">
        <v>25</v>
      </c>
      <c r="E41" s="12"/>
    </row>
    <row r="42" spans="1:5" ht="70" x14ac:dyDescent="0.15">
      <c r="A42" s="11"/>
      <c r="B42" s="54" t="str">
        <f>+Input!B68</f>
        <v>With an Operating Surplus of</v>
      </c>
      <c r="C42" s="26"/>
      <c r="D42" s="70" t="s">
        <v>146</v>
      </c>
      <c r="E42" s="12"/>
    </row>
    <row r="43" spans="1:5" ht="56" x14ac:dyDescent="0.15">
      <c r="A43" s="11"/>
      <c r="B43" s="65" t="str">
        <f>+Input!B72</f>
        <v>Optimum Price Breakeven Chart</v>
      </c>
      <c r="C43" s="26"/>
      <c r="D43" s="70" t="s">
        <v>143</v>
      </c>
      <c r="E43" s="12"/>
    </row>
    <row r="44" spans="1:5" ht="42" x14ac:dyDescent="0.15">
      <c r="A44" s="11"/>
      <c r="B44" s="66" t="str">
        <f>+Input!B74</f>
        <v>Extended Price Analysis Chart</v>
      </c>
      <c r="C44" s="26"/>
      <c r="D44" s="172" t="s">
        <v>26</v>
      </c>
      <c r="E44" s="12"/>
    </row>
    <row r="45" spans="1:5" ht="42" x14ac:dyDescent="0.15">
      <c r="A45" s="11"/>
      <c r="B45" s="65" t="str">
        <f>+Input!B76</f>
        <v>Breakeven Tables</v>
      </c>
      <c r="C45" s="299"/>
      <c r="D45" s="70" t="s">
        <v>27</v>
      </c>
      <c r="E45" s="12"/>
    </row>
    <row r="46" spans="1:5" x14ac:dyDescent="0.15">
      <c r="A46" s="11"/>
      <c r="B46" s="393" t="str">
        <f>Welcome!B31</f>
        <v>Copyright © Bizpep 2010 - www.bizpeponline.com.</v>
      </c>
      <c r="C46" s="394"/>
      <c r="D46" s="395"/>
      <c r="E46" s="12"/>
    </row>
    <row r="47" spans="1:5" ht="18" x14ac:dyDescent="0.15">
      <c r="A47" s="11"/>
      <c r="B47" s="387"/>
      <c r="C47" s="376"/>
      <c r="D47" s="376"/>
      <c r="E47" s="12"/>
    </row>
    <row r="48" spans="1:5" ht="18" x14ac:dyDescent="0.15">
      <c r="A48" s="11"/>
      <c r="B48" s="387"/>
      <c r="C48" s="387"/>
      <c r="D48" s="387"/>
      <c r="E48" s="12"/>
    </row>
    <row r="49" spans="1:5" ht="18" x14ac:dyDescent="0.15">
      <c r="A49" s="11"/>
      <c r="B49" s="388"/>
      <c r="C49" s="376"/>
      <c r="D49" s="376"/>
      <c r="E49" s="12"/>
    </row>
    <row r="50" spans="1:5" ht="18" x14ac:dyDescent="0.15">
      <c r="A50" s="11"/>
      <c r="B50" s="389"/>
      <c r="C50" s="376"/>
      <c r="D50" s="376"/>
      <c r="E50" s="11"/>
    </row>
    <row r="51" spans="1:5" ht="18" x14ac:dyDescent="0.15">
      <c r="A51" s="11"/>
      <c r="B51" s="388"/>
      <c r="C51" s="376"/>
      <c r="D51" s="376"/>
      <c r="E51" s="11"/>
    </row>
    <row r="52" spans="1:5" ht="18" x14ac:dyDescent="0.15">
      <c r="A52" s="11"/>
      <c r="B52" s="383"/>
      <c r="C52" s="376"/>
      <c r="D52" s="376"/>
      <c r="E52" s="11"/>
    </row>
    <row r="53" spans="1:5" ht="18" x14ac:dyDescent="0.15">
      <c r="A53" s="11"/>
      <c r="B53" s="384"/>
      <c r="C53" s="376"/>
      <c r="D53" s="376"/>
      <c r="E53" s="11"/>
    </row>
    <row r="54" spans="1:5" ht="18" x14ac:dyDescent="0.15">
      <c r="A54" s="11"/>
      <c r="B54" s="383"/>
      <c r="C54" s="376"/>
      <c r="D54" s="376"/>
      <c r="E54" s="11"/>
    </row>
    <row r="55" spans="1:5" x14ac:dyDescent="0.15">
      <c r="A55" s="11"/>
      <c r="B55" s="385"/>
      <c r="C55" s="386"/>
      <c r="D55" s="386"/>
      <c r="E55" s="11"/>
    </row>
    <row r="56" spans="1:5" x14ac:dyDescent="0.15">
      <c r="A56" s="11"/>
      <c r="B56" s="13"/>
      <c r="C56" s="12"/>
      <c r="D56" s="74"/>
      <c r="E56" s="11"/>
    </row>
  </sheetData>
  <sheetProtection password="C68B" sheet="1" objects="1" scenarios="1"/>
  <mergeCells count="14">
    <mergeCell ref="B2:D2"/>
    <mergeCell ref="B46:D46"/>
    <mergeCell ref="B8:D8"/>
    <mergeCell ref="B3:D3"/>
    <mergeCell ref="B9:D9"/>
    <mergeCell ref="B52:D52"/>
    <mergeCell ref="B53:D53"/>
    <mergeCell ref="B54:D54"/>
    <mergeCell ref="B55:D55"/>
    <mergeCell ref="B47:D47"/>
    <mergeCell ref="B49:D49"/>
    <mergeCell ref="B50:D50"/>
    <mergeCell ref="B51:D51"/>
    <mergeCell ref="B48:D48"/>
  </mergeCells>
  <phoneticPr fontId="0" type="noConversion"/>
  <hyperlinks>
    <hyperlink ref="B8:D8" location="Input!B5" tooltip="Go to Input" display="Input" xr:uid="{00000000-0004-0000-0A00-000000000000}"/>
    <hyperlink ref="B10" location="Input!C9" tooltip="Go to Input" display="Current Performance" xr:uid="{00000000-0004-0000-0A00-000001000000}"/>
    <hyperlink ref="B19" location="Input!C25" tooltip="Go to Input" display="Input!C25" xr:uid="{00000000-0004-0000-0A00-000002000000}"/>
    <hyperlink ref="B11:B17" location="Input!C9" tooltip="Go to Input" display="Current Performance" xr:uid="{00000000-0004-0000-0A00-000003000000}"/>
    <hyperlink ref="B18" location="Input!C21" tooltip="Go to Input" display="Input!C21" xr:uid="{00000000-0004-0000-0A00-000004000000}"/>
    <hyperlink ref="B11" location="Input!C11" tooltip="Go to Input" display="Input!C11" xr:uid="{00000000-0004-0000-0A00-000005000000}"/>
    <hyperlink ref="B12" location="Input!C13" tooltip="Go to Input" display="Input!C13" xr:uid="{00000000-0004-0000-0A00-000006000000}"/>
    <hyperlink ref="B13" location="Input!C15" tooltip="Go to Input" display="Input!C15" xr:uid="{00000000-0004-0000-0A00-000007000000}"/>
    <hyperlink ref="B14" location="Input!C16" tooltip="Go to Input" display="Input!C16" xr:uid="{00000000-0004-0000-0A00-000008000000}"/>
    <hyperlink ref="B15" location="Input!C18" tooltip="Go to Input" display="Input!C18" xr:uid="{00000000-0004-0000-0A00-000009000000}"/>
    <hyperlink ref="B16" location="Input!C19" tooltip="Go to Input" display="Input!C19" xr:uid="{00000000-0004-0000-0A00-00000A000000}"/>
    <hyperlink ref="B17" location="Input!C20" tooltip="Go to Input" display="Input!C20" xr:uid="{00000000-0004-0000-0A00-00000B000000}"/>
    <hyperlink ref="B20:B22" location="Input!C25" tooltip="Go to Input" display="Input!C25" xr:uid="{00000000-0004-0000-0A00-00000C000000}"/>
    <hyperlink ref="B20" location="Input!C28" tooltip="Go to Input" display="Input!C28" xr:uid="{00000000-0004-0000-0A00-00000D000000}"/>
    <hyperlink ref="B21" location="Input!C29" tooltip="Go to Input" display="Input!C29" xr:uid="{00000000-0004-0000-0A00-00000E000000}"/>
    <hyperlink ref="B22" location="Input!C31" tooltip="Go to Input" display="Input!C31" xr:uid="{00000000-0004-0000-0A00-00000F000000}"/>
    <hyperlink ref="B23:B25" location="Input!C31" tooltip="Go to Input" display="Input!C31" xr:uid="{00000000-0004-0000-0A00-000010000000}"/>
    <hyperlink ref="B23" location="Input!C33" tooltip="Go to Input" display="Input!C33" xr:uid="{00000000-0004-0000-0A00-000011000000}"/>
    <hyperlink ref="B24" location="Input!C34" tooltip="Go to Input" display="Input!C34" xr:uid="{00000000-0004-0000-0A00-000012000000}"/>
    <hyperlink ref="B26:B30" location="Input!C31" tooltip="Go to Input" display="Input!C31" xr:uid="{00000000-0004-0000-0A00-000013000000}"/>
    <hyperlink ref="B36:B40" location="Input!C31" tooltip="Go to Input" display="Input!C31" xr:uid="{00000000-0004-0000-0A00-000014000000}"/>
    <hyperlink ref="B25" location="Input!C38" tooltip="Go to Input" display="Input!C38" xr:uid="{00000000-0004-0000-0A00-000015000000}"/>
    <hyperlink ref="B26" location="Input!C40" tooltip="Go to Input" display="Input!C40" xr:uid="{00000000-0004-0000-0A00-000016000000}"/>
    <hyperlink ref="B27" location="Input!C41" tooltip="Go to Input" display="Input!C41" xr:uid="{00000000-0004-0000-0A00-000017000000}"/>
    <hyperlink ref="B28" location="Input!C42" tooltip="Go to Input" display="Input!C42" xr:uid="{00000000-0004-0000-0A00-000018000000}"/>
    <hyperlink ref="B29" location="Input!C44" tooltip="Go to Input" display="Input!C44" xr:uid="{00000000-0004-0000-0A00-000019000000}"/>
    <hyperlink ref="B30" location="Input!C46" tooltip="Go to Input" display="Input!C46" xr:uid="{00000000-0004-0000-0A00-00001A000000}"/>
    <hyperlink ref="B31" location="Input!C48" tooltip="Go to Input" display="Input!C48" xr:uid="{00000000-0004-0000-0A00-00001B000000}"/>
    <hyperlink ref="B32" location="Input!C50" tooltip="Go to Input" display="Input!C50" xr:uid="{00000000-0004-0000-0A00-00001C000000}"/>
    <hyperlink ref="B33" location="Input!C51" tooltip="Go to Input" display="Input!C51" xr:uid="{00000000-0004-0000-0A00-00001D000000}"/>
    <hyperlink ref="B34" location="Input!C52" tooltip="Go to Input" display="Input!C52" xr:uid="{00000000-0004-0000-0A00-00001E000000}"/>
    <hyperlink ref="B36" location="Input!C56" tooltip="Go to Input" display="Input!C56" xr:uid="{00000000-0004-0000-0A00-00001F000000}"/>
    <hyperlink ref="B37" location="Input!C58" tooltip="Go to Input" display="Input!C58" xr:uid="{00000000-0004-0000-0A00-000020000000}"/>
    <hyperlink ref="B38" location="Input!C60" tooltip="Go to Input" display="Input!C60" xr:uid="{00000000-0004-0000-0A00-000021000000}"/>
    <hyperlink ref="B39" location="Input!C64" tooltip="Go to Input" display="Input!C64" xr:uid="{00000000-0004-0000-0A00-000022000000}"/>
    <hyperlink ref="B40" location="Input!E66" tooltip="Go to Input" display="Input!E66" xr:uid="{00000000-0004-0000-0A00-000023000000}"/>
    <hyperlink ref="B41" location="Input!C68" display="Input!C68" xr:uid="{00000000-0004-0000-0A00-000024000000}"/>
    <hyperlink ref="B42" location="Input!C70" display="Input!C70" xr:uid="{00000000-0004-0000-0A00-000025000000}"/>
    <hyperlink ref="B44" location="Input!C76" tooltip="Go to Input" display="Input!C76" xr:uid="{00000000-0004-0000-0A00-000026000000}"/>
    <hyperlink ref="B45" location="Input!C80" tooltip="Go to Input" display="Input!C80" xr:uid="{00000000-0004-0000-0A00-000027000000}"/>
    <hyperlink ref="B35" location="Input!C54" tooltip="Go to Input" display="Input!C54" xr:uid="{00000000-0004-0000-0A00-000028000000}"/>
    <hyperlink ref="B43" location="Input!C74" tooltip="Go to Input" display="Input!C74" xr:uid="{00000000-0004-0000-0A00-000029000000}"/>
    <hyperlink ref="D7" r:id="rId1" xr:uid="{00000000-0004-0000-0A00-00002A000000}"/>
  </hyperlinks>
  <printOptions horizontalCentered="1" verticalCentered="1"/>
  <pageMargins left="0.74803149606299213" right="0.59055118110236227" top="0.98425196850393704" bottom="0.98425196850393704" header="0.51181102362204722" footer="0.51181102362204722"/>
  <pageSetup paperSize="9" scale="88" fitToHeight="0" orientation="portrait" horizontalDpi="360" verticalDpi="0" copies="0" r:id="rId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autoPageBreaks="0" fitToPage="1"/>
  </sheetPr>
  <dimension ref="A1:D132"/>
  <sheetViews>
    <sheetView showGridLines="0" defaultGridColor="0" colorId="9" zoomScaleNormal="100" workbookViewId="0"/>
  </sheetViews>
  <sheetFormatPr baseColWidth="10" defaultColWidth="9.1640625" defaultRowHeight="13" x14ac:dyDescent="0.15"/>
  <cols>
    <col min="1" max="1" width="9.1640625" style="3"/>
    <col min="2" max="2" width="89.33203125" style="10" customWidth="1"/>
    <col min="3" max="16384" width="9.1640625" style="4"/>
  </cols>
  <sheetData>
    <row r="1" spans="1:4" ht="3.75" customHeight="1" x14ac:dyDescent="0.15">
      <c r="B1" s="5"/>
      <c r="C1" s="3"/>
    </row>
    <row r="2" spans="1:4" ht="14" x14ac:dyDescent="0.15">
      <c r="A2" s="252"/>
      <c r="B2" s="253" t="s">
        <v>118</v>
      </c>
      <c r="C2" s="3"/>
    </row>
    <row r="3" spans="1:4" ht="19" x14ac:dyDescent="0.15">
      <c r="B3" s="232" t="s">
        <v>196</v>
      </c>
      <c r="C3" s="3"/>
    </row>
    <row r="4" spans="1:4" x14ac:dyDescent="0.15">
      <c r="B4" s="235" t="s">
        <v>154</v>
      </c>
      <c r="C4" s="254"/>
      <c r="D4" s="254"/>
    </row>
    <row r="5" spans="1:4" ht="16" x14ac:dyDescent="0.15">
      <c r="B5" s="236" t="s">
        <v>217</v>
      </c>
      <c r="C5" s="255"/>
    </row>
    <row r="6" spans="1:4" x14ac:dyDescent="0.15">
      <c r="B6" s="237" t="s">
        <v>218</v>
      </c>
      <c r="C6" s="256"/>
      <c r="D6" s="257"/>
    </row>
    <row r="7" spans="1:4" x14ac:dyDescent="0.15">
      <c r="B7" s="237" t="s">
        <v>219</v>
      </c>
      <c r="C7" s="256"/>
      <c r="D7" s="257"/>
    </row>
    <row r="8" spans="1:4" ht="14" x14ac:dyDescent="0.15">
      <c r="A8" s="258"/>
      <c r="B8" s="259" t="s">
        <v>155</v>
      </c>
      <c r="C8" s="260"/>
      <c r="D8" s="260"/>
    </row>
    <row r="9" spans="1:4" ht="14" x14ac:dyDescent="0.15">
      <c r="A9" s="258"/>
      <c r="B9" s="238" t="s">
        <v>156</v>
      </c>
      <c r="C9" s="261"/>
      <c r="D9" s="262"/>
    </row>
    <row r="10" spans="1:4" x14ac:dyDescent="0.15">
      <c r="A10" s="258"/>
      <c r="B10" s="240" t="s">
        <v>221</v>
      </c>
      <c r="C10" s="263"/>
      <c r="D10" s="262"/>
    </row>
    <row r="11" spans="1:4" ht="14" x14ac:dyDescent="0.15">
      <c r="A11" s="258"/>
      <c r="B11" s="264" t="s">
        <v>227</v>
      </c>
      <c r="C11" s="262"/>
      <c r="D11" s="262"/>
    </row>
    <row r="12" spans="1:4" ht="14" x14ac:dyDescent="0.15">
      <c r="A12" s="258"/>
      <c r="B12" s="238" t="s">
        <v>157</v>
      </c>
      <c r="C12" s="265"/>
      <c r="D12" s="265"/>
    </row>
    <row r="13" spans="1:4" ht="14" x14ac:dyDescent="0.15">
      <c r="A13" s="258"/>
      <c r="B13" s="239" t="s">
        <v>158</v>
      </c>
      <c r="C13" s="261"/>
      <c r="D13" s="262"/>
    </row>
    <row r="14" spans="1:4" x14ac:dyDescent="0.15">
      <c r="A14" s="258"/>
      <c r="B14" s="266"/>
      <c r="C14" s="260"/>
      <c r="D14" s="260"/>
    </row>
    <row r="15" spans="1:4" ht="14" x14ac:dyDescent="0.15">
      <c r="A15" s="258"/>
      <c r="B15" s="238" t="s">
        <v>159</v>
      </c>
      <c r="C15" s="260"/>
      <c r="D15" s="260"/>
    </row>
    <row r="16" spans="1:4" ht="14" x14ac:dyDescent="0.15">
      <c r="A16" s="258"/>
      <c r="B16" s="238" t="s">
        <v>195</v>
      </c>
      <c r="C16" s="260"/>
      <c r="D16" s="260"/>
    </row>
    <row r="17" spans="1:4" x14ac:dyDescent="0.15">
      <c r="A17" s="258"/>
      <c r="B17" s="240" t="s">
        <v>160</v>
      </c>
      <c r="C17" s="260"/>
      <c r="D17" s="260"/>
    </row>
    <row r="18" spans="1:4" ht="14" x14ac:dyDescent="0.15">
      <c r="A18" s="258"/>
      <c r="B18" s="241" t="s">
        <v>161</v>
      </c>
      <c r="C18" s="260"/>
      <c r="D18" s="260"/>
    </row>
    <row r="19" spans="1:4" ht="14" x14ac:dyDescent="0.15">
      <c r="A19" s="258"/>
      <c r="B19" s="242" t="s">
        <v>220</v>
      </c>
      <c r="C19" s="260"/>
      <c r="D19" s="260"/>
    </row>
    <row r="20" spans="1:4" ht="14" x14ac:dyDescent="0.15">
      <c r="A20" s="258"/>
      <c r="B20" s="264" t="s">
        <v>162</v>
      </c>
      <c r="C20" s="260"/>
      <c r="D20" s="260"/>
    </row>
    <row r="21" spans="1:4" ht="30" customHeight="1" x14ac:dyDescent="0.15">
      <c r="A21" s="258"/>
      <c r="B21" s="242"/>
      <c r="C21" s="260"/>
      <c r="D21" s="260"/>
    </row>
    <row r="22" spans="1:4" ht="14" x14ac:dyDescent="0.15">
      <c r="A22" s="258"/>
      <c r="B22" s="264" t="s">
        <v>163</v>
      </c>
      <c r="C22" s="260"/>
      <c r="D22" s="260"/>
    </row>
    <row r="23" spans="1:4" x14ac:dyDescent="0.15">
      <c r="A23" s="258"/>
      <c r="B23" s="243" t="s">
        <v>164</v>
      </c>
      <c r="C23" s="260"/>
      <c r="D23" s="260"/>
    </row>
    <row r="24" spans="1:4" hidden="1" x14ac:dyDescent="0.15">
      <c r="A24" s="258"/>
      <c r="B24" s="267"/>
      <c r="C24" s="260"/>
      <c r="D24" s="260"/>
    </row>
    <row r="25" spans="1:4" ht="14" thickBot="1" x14ac:dyDescent="0.2">
      <c r="A25" s="258"/>
      <c r="B25" s="267"/>
      <c r="C25" s="260"/>
      <c r="D25" s="260"/>
    </row>
    <row r="26" spans="1:4" ht="17" x14ac:dyDescent="0.15">
      <c r="A26" s="258"/>
      <c r="B26" s="268" t="s">
        <v>197</v>
      </c>
      <c r="C26" s="260"/>
      <c r="D26" s="260"/>
    </row>
    <row r="27" spans="1:4" ht="14" x14ac:dyDescent="0.15">
      <c r="A27" s="258"/>
      <c r="B27" s="246" t="s">
        <v>151</v>
      </c>
      <c r="C27" s="260"/>
      <c r="D27" s="260"/>
    </row>
    <row r="28" spans="1:4" ht="14" thickBot="1" x14ac:dyDescent="0.2">
      <c r="A28" s="258"/>
      <c r="B28" s="269" t="s">
        <v>198</v>
      </c>
      <c r="C28" s="260"/>
      <c r="D28" s="260"/>
    </row>
    <row r="29" spans="1:4" x14ac:dyDescent="0.15">
      <c r="A29" s="258"/>
      <c r="B29" s="241"/>
      <c r="C29" s="260"/>
      <c r="D29" s="260"/>
    </row>
    <row r="30" spans="1:4" ht="14" x14ac:dyDescent="0.15">
      <c r="A30" s="258"/>
      <c r="B30" s="270" t="s">
        <v>165</v>
      </c>
      <c r="C30" s="260"/>
      <c r="D30" s="260"/>
    </row>
    <row r="31" spans="1:4" x14ac:dyDescent="0.15">
      <c r="A31" s="258"/>
      <c r="B31" s="270"/>
      <c r="C31" s="260"/>
      <c r="D31" s="260"/>
    </row>
    <row r="32" spans="1:4" ht="42" x14ac:dyDescent="0.15">
      <c r="A32" s="258"/>
      <c r="B32" s="271" t="s">
        <v>200</v>
      </c>
      <c r="C32" s="260"/>
      <c r="D32" s="260"/>
    </row>
    <row r="33" spans="1:4" x14ac:dyDescent="0.15">
      <c r="A33" s="258"/>
      <c r="B33" s="241"/>
      <c r="C33" s="260"/>
      <c r="D33" s="260"/>
    </row>
    <row r="34" spans="1:4" ht="68.25" customHeight="1" x14ac:dyDescent="0.15">
      <c r="A34" s="258"/>
      <c r="B34" s="271" t="s">
        <v>199</v>
      </c>
      <c r="C34" s="260"/>
      <c r="D34" s="260"/>
    </row>
    <row r="35" spans="1:4" x14ac:dyDescent="0.15">
      <c r="A35" s="258"/>
      <c r="B35" s="272"/>
      <c r="C35" s="260"/>
      <c r="D35" s="260"/>
    </row>
    <row r="36" spans="1:4" ht="14" x14ac:dyDescent="0.15">
      <c r="A36" s="258"/>
      <c r="B36" s="270" t="s">
        <v>166</v>
      </c>
      <c r="C36" s="260"/>
      <c r="D36" s="260"/>
    </row>
    <row r="37" spans="1:4" x14ac:dyDescent="0.15">
      <c r="A37" s="258"/>
      <c r="B37" s="241"/>
      <c r="C37" s="260"/>
      <c r="D37" s="260"/>
    </row>
    <row r="38" spans="1:4" ht="38.25" customHeight="1" x14ac:dyDescent="0.15">
      <c r="A38" s="258"/>
      <c r="B38" s="241" t="s">
        <v>167</v>
      </c>
      <c r="C38" s="260"/>
      <c r="D38" s="260"/>
    </row>
    <row r="39" spans="1:4" ht="14" x14ac:dyDescent="0.15">
      <c r="A39" s="258"/>
      <c r="B39" s="241" t="s">
        <v>168</v>
      </c>
      <c r="C39" s="260"/>
      <c r="D39" s="260"/>
    </row>
    <row r="40" spans="1:4" x14ac:dyDescent="0.15">
      <c r="A40" s="258"/>
      <c r="B40" s="241"/>
      <c r="C40" s="260"/>
      <c r="D40" s="260"/>
    </row>
    <row r="41" spans="1:4" ht="14" x14ac:dyDescent="0.15">
      <c r="A41" s="258"/>
      <c r="B41" s="17" t="s">
        <v>169</v>
      </c>
      <c r="C41" s="260"/>
      <c r="D41" s="260"/>
    </row>
    <row r="42" spans="1:4" x14ac:dyDescent="0.15">
      <c r="A42" s="258"/>
      <c r="B42" s="16"/>
      <c r="C42" s="260"/>
      <c r="D42" s="260"/>
    </row>
    <row r="43" spans="1:4" ht="42" x14ac:dyDescent="0.15">
      <c r="A43" s="258"/>
      <c r="B43" s="273" t="s">
        <v>203</v>
      </c>
      <c r="C43" s="260"/>
      <c r="D43" s="260"/>
    </row>
    <row r="44" spans="1:4" ht="28" x14ac:dyDescent="0.15">
      <c r="A44" s="258"/>
      <c r="B44" s="16" t="s">
        <v>170</v>
      </c>
      <c r="C44" s="260"/>
      <c r="D44" s="260"/>
    </row>
    <row r="45" spans="1:4" ht="14" x14ac:dyDescent="0.15">
      <c r="A45" s="258"/>
      <c r="B45" s="17" t="s">
        <v>171</v>
      </c>
      <c r="C45" s="3"/>
    </row>
    <row r="46" spans="1:4" x14ac:dyDescent="0.15">
      <c r="A46" s="258"/>
      <c r="B46" s="16"/>
      <c r="C46" s="3"/>
    </row>
    <row r="47" spans="1:4" ht="28" x14ac:dyDescent="0.15">
      <c r="A47" s="258"/>
      <c r="B47" s="16" t="s">
        <v>172</v>
      </c>
      <c r="C47" s="3"/>
    </row>
    <row r="48" spans="1:4" ht="27" customHeight="1" x14ac:dyDescent="0.15">
      <c r="B48" s="16" t="s">
        <v>173</v>
      </c>
      <c r="C48" s="3"/>
    </row>
    <row r="49" spans="1:3" ht="28" x14ac:dyDescent="0.15">
      <c r="B49" s="16" t="s">
        <v>174</v>
      </c>
      <c r="C49" s="3"/>
    </row>
    <row r="50" spans="1:3" ht="28" x14ac:dyDescent="0.15">
      <c r="B50" s="16" t="s">
        <v>175</v>
      </c>
      <c r="C50" s="3"/>
    </row>
    <row r="51" spans="1:3" x14ac:dyDescent="0.15">
      <c r="B51" s="16"/>
      <c r="C51" s="3"/>
    </row>
    <row r="52" spans="1:3" ht="28" x14ac:dyDescent="0.15">
      <c r="B52" s="16" t="s">
        <v>176</v>
      </c>
      <c r="C52" s="3"/>
    </row>
    <row r="53" spans="1:3" x14ac:dyDescent="0.15">
      <c r="B53" s="16"/>
      <c r="C53" s="3"/>
    </row>
    <row r="54" spans="1:3" ht="14" x14ac:dyDescent="0.15">
      <c r="A54" s="27"/>
      <c r="B54" s="17" t="s">
        <v>177</v>
      </c>
      <c r="C54" s="3"/>
    </row>
    <row r="55" spans="1:3" x14ac:dyDescent="0.15">
      <c r="A55" s="27"/>
      <c r="B55" s="17"/>
      <c r="C55" s="3"/>
    </row>
    <row r="56" spans="1:3" ht="14" x14ac:dyDescent="0.15">
      <c r="A56" s="27"/>
      <c r="B56" s="18" t="s">
        <v>178</v>
      </c>
      <c r="C56" s="3"/>
    </row>
    <row r="57" spans="1:3" ht="14" x14ac:dyDescent="0.15">
      <c r="A57" s="27"/>
      <c r="B57" s="274" t="str">
        <f>B16</f>
        <v>US$69.00</v>
      </c>
      <c r="C57" s="3"/>
    </row>
    <row r="58" spans="1:3" x14ac:dyDescent="0.15">
      <c r="A58" s="27"/>
      <c r="B58" s="275" t="str">
        <f>B17</f>
        <v>Single User Non-Commercial License - Multi-user licenses attract a 30% discount.</v>
      </c>
      <c r="C58" s="3"/>
    </row>
    <row r="59" spans="1:3" x14ac:dyDescent="0.15">
      <c r="A59" s="27"/>
      <c r="B59" s="18"/>
      <c r="C59" s="3"/>
    </row>
    <row r="60" spans="1:3" ht="14" x14ac:dyDescent="0.15">
      <c r="A60" s="27"/>
      <c r="B60" s="18" t="s">
        <v>126</v>
      </c>
      <c r="C60" s="3"/>
    </row>
    <row r="61" spans="1:3" ht="14" x14ac:dyDescent="0.15">
      <c r="A61" s="27"/>
      <c r="B61" s="242" t="str">
        <f>B19</f>
        <v>http://www.bizpeponline.com/PricingBreakevenReg.html</v>
      </c>
      <c r="C61" s="3"/>
    </row>
    <row r="62" spans="1:3" x14ac:dyDescent="0.15">
      <c r="A62" s="27"/>
      <c r="B62" s="16"/>
      <c r="C62" s="3"/>
    </row>
    <row r="63" spans="1:3" ht="28" x14ac:dyDescent="0.15">
      <c r="A63" s="27"/>
      <c r="B63" s="16" t="s">
        <v>179</v>
      </c>
      <c r="C63" s="3"/>
    </row>
    <row r="64" spans="1:3" ht="14" x14ac:dyDescent="0.15">
      <c r="A64" s="27"/>
      <c r="B64" s="16" t="s">
        <v>204</v>
      </c>
      <c r="C64" s="3"/>
    </row>
    <row r="65" spans="1:3" ht="42" x14ac:dyDescent="0.15">
      <c r="A65" s="27"/>
      <c r="B65" s="16" t="s">
        <v>205</v>
      </c>
      <c r="C65" s="3"/>
    </row>
    <row r="66" spans="1:3" ht="38.25" customHeight="1" x14ac:dyDescent="0.15">
      <c r="A66" s="27"/>
      <c r="B66" s="300" t="s">
        <v>210</v>
      </c>
      <c r="C66" s="3"/>
    </row>
    <row r="67" spans="1:3" hidden="1" x14ac:dyDescent="0.15">
      <c r="A67" s="27"/>
      <c r="B67" s="16"/>
      <c r="C67" s="3"/>
    </row>
    <row r="68" spans="1:3" hidden="1" x14ac:dyDescent="0.15">
      <c r="A68" s="27"/>
      <c r="B68" s="16"/>
      <c r="C68" s="3"/>
    </row>
    <row r="69" spans="1:3" hidden="1" x14ac:dyDescent="0.15">
      <c r="A69" s="27"/>
      <c r="B69" s="16"/>
      <c r="C69" s="3"/>
    </row>
    <row r="70" spans="1:3" x14ac:dyDescent="0.15">
      <c r="A70" s="27"/>
      <c r="B70" s="16"/>
      <c r="C70" s="3"/>
    </row>
    <row r="71" spans="1:3" ht="14" x14ac:dyDescent="0.15">
      <c r="A71" s="27"/>
      <c r="B71" s="17" t="s">
        <v>181</v>
      </c>
      <c r="C71" s="3"/>
    </row>
    <row r="72" spans="1:3" x14ac:dyDescent="0.15">
      <c r="A72" s="27"/>
      <c r="B72" s="16"/>
      <c r="C72" s="3"/>
    </row>
    <row r="73" spans="1:3" ht="14" x14ac:dyDescent="0.15">
      <c r="A73" s="27"/>
      <c r="B73" s="276" t="s">
        <v>182</v>
      </c>
      <c r="C73" s="3"/>
    </row>
    <row r="74" spans="1:3" ht="38.25" customHeight="1" x14ac:dyDescent="0.15">
      <c r="A74" s="27"/>
      <c r="B74" s="16" t="s">
        <v>183</v>
      </c>
      <c r="C74" s="3"/>
    </row>
    <row r="75" spans="1:3" ht="26.25" customHeight="1" x14ac:dyDescent="0.15">
      <c r="A75" s="27"/>
      <c r="B75" s="16" t="s">
        <v>184</v>
      </c>
      <c r="C75" s="3"/>
    </row>
    <row r="76" spans="1:3" ht="28" x14ac:dyDescent="0.15">
      <c r="A76" s="27"/>
      <c r="B76" s="16" t="s">
        <v>185</v>
      </c>
      <c r="C76" s="3"/>
    </row>
    <row r="77" spans="1:3" ht="14" x14ac:dyDescent="0.15">
      <c r="A77" s="27"/>
      <c r="B77" s="277" t="s">
        <v>186</v>
      </c>
      <c r="C77" s="3"/>
    </row>
    <row r="78" spans="1:3" x14ac:dyDescent="0.15">
      <c r="A78" s="27"/>
      <c r="B78" s="16"/>
      <c r="C78" s="3"/>
    </row>
    <row r="79" spans="1:3" ht="14" x14ac:dyDescent="0.15">
      <c r="A79" s="27"/>
      <c r="B79" s="276" t="s">
        <v>187</v>
      </c>
      <c r="C79" s="3"/>
    </row>
    <row r="80" spans="1:3" ht="25.5" customHeight="1" x14ac:dyDescent="0.15">
      <c r="A80" s="27"/>
      <c r="B80" s="16" t="s">
        <v>188</v>
      </c>
      <c r="C80" s="3"/>
    </row>
    <row r="81" spans="1:3" ht="42" x14ac:dyDescent="0.15">
      <c r="A81" s="27"/>
      <c r="B81" s="16" t="s">
        <v>222</v>
      </c>
      <c r="C81" s="3"/>
    </row>
    <row r="82" spans="1:3" ht="12.75" customHeight="1" x14ac:dyDescent="0.15">
      <c r="A82" s="27"/>
      <c r="B82" s="16" t="s">
        <v>180</v>
      </c>
      <c r="C82" s="3"/>
    </row>
    <row r="83" spans="1:3" x14ac:dyDescent="0.15">
      <c r="A83" s="27"/>
      <c r="B83" s="16"/>
      <c r="C83" s="3"/>
    </row>
    <row r="84" spans="1:3" ht="14" x14ac:dyDescent="0.15">
      <c r="A84" s="27"/>
      <c r="B84" s="276" t="s">
        <v>189</v>
      </c>
      <c r="C84" s="3"/>
    </row>
    <row r="85" spans="1:3" ht="14" x14ac:dyDescent="0.15">
      <c r="A85" s="27"/>
      <c r="B85" s="16" t="s">
        <v>190</v>
      </c>
      <c r="C85" s="3"/>
    </row>
    <row r="86" spans="1:3" ht="28" x14ac:dyDescent="0.15">
      <c r="A86" s="27"/>
      <c r="B86" s="16" t="s">
        <v>223</v>
      </c>
      <c r="C86" s="3"/>
    </row>
    <row r="87" spans="1:3" ht="98" x14ac:dyDescent="0.15">
      <c r="A87" s="27"/>
      <c r="B87" s="301" t="s">
        <v>224</v>
      </c>
      <c r="C87" s="258"/>
    </row>
    <row r="88" spans="1:3" x14ac:dyDescent="0.15">
      <c r="A88" s="27"/>
      <c r="B88" s="301"/>
      <c r="C88" s="258"/>
    </row>
    <row r="89" spans="1:3" ht="14" x14ac:dyDescent="0.15">
      <c r="A89" s="27"/>
      <c r="B89" s="276" t="s">
        <v>212</v>
      </c>
      <c r="C89" s="258"/>
    </row>
    <row r="90" spans="1:3" ht="28" x14ac:dyDescent="0.15">
      <c r="A90" s="27"/>
      <c r="B90" s="16" t="s">
        <v>213</v>
      </c>
      <c r="C90" s="3"/>
    </row>
    <row r="91" spans="1:3" ht="14" x14ac:dyDescent="0.15">
      <c r="A91" s="27"/>
      <c r="B91" s="20" t="s">
        <v>191</v>
      </c>
      <c r="C91" s="3"/>
    </row>
    <row r="92" spans="1:3" x14ac:dyDescent="0.15">
      <c r="A92" s="27"/>
      <c r="B92" s="16"/>
      <c r="C92" s="3"/>
    </row>
    <row r="93" spans="1:3" ht="14" x14ac:dyDescent="0.15">
      <c r="A93" s="27"/>
      <c r="B93" s="17" t="s">
        <v>214</v>
      </c>
      <c r="C93" s="3"/>
    </row>
    <row r="94" spans="1:3" x14ac:dyDescent="0.15">
      <c r="A94" s="27"/>
      <c r="B94" s="16"/>
      <c r="C94" s="3"/>
    </row>
    <row r="95" spans="1:3" ht="28" x14ac:dyDescent="0.15">
      <c r="A95" s="27"/>
      <c r="B95" s="16" t="s">
        <v>215</v>
      </c>
      <c r="C95" s="3"/>
    </row>
    <row r="96" spans="1:3" ht="14" x14ac:dyDescent="0.15">
      <c r="A96" s="27"/>
      <c r="B96" s="20" t="s">
        <v>191</v>
      </c>
      <c r="C96" s="3"/>
    </row>
    <row r="97" spans="1:3" x14ac:dyDescent="0.15">
      <c r="A97" s="27"/>
      <c r="B97" s="16"/>
      <c r="C97" s="3"/>
    </row>
    <row r="98" spans="1:3" ht="14" x14ac:dyDescent="0.15">
      <c r="A98" s="27"/>
      <c r="B98" s="17" t="s">
        <v>206</v>
      </c>
      <c r="C98" s="3"/>
    </row>
    <row r="99" spans="1:3" x14ac:dyDescent="0.15">
      <c r="A99" s="27"/>
      <c r="B99" s="16"/>
      <c r="C99" s="3"/>
    </row>
    <row r="100" spans="1:3" ht="28" x14ac:dyDescent="0.15">
      <c r="A100" s="27"/>
      <c r="B100" s="16" t="s">
        <v>120</v>
      </c>
      <c r="C100" s="3"/>
    </row>
    <row r="101" spans="1:3" ht="28" x14ac:dyDescent="0.15">
      <c r="A101" s="27"/>
      <c r="B101" s="16" t="s">
        <v>127</v>
      </c>
      <c r="C101" s="3"/>
    </row>
    <row r="102" spans="1:3" x14ac:dyDescent="0.15">
      <c r="A102" s="27"/>
      <c r="B102" s="16"/>
      <c r="C102" s="3"/>
    </row>
    <row r="103" spans="1:3" ht="14" x14ac:dyDescent="0.15">
      <c r="A103" s="27"/>
      <c r="B103" s="17" t="s">
        <v>207</v>
      </c>
      <c r="C103" s="3"/>
    </row>
    <row r="104" spans="1:3" x14ac:dyDescent="0.15">
      <c r="A104" s="27"/>
      <c r="B104" s="16"/>
      <c r="C104" s="3"/>
    </row>
    <row r="105" spans="1:3" ht="28" x14ac:dyDescent="0.15">
      <c r="A105" s="27"/>
      <c r="B105" s="16" t="s">
        <v>121</v>
      </c>
      <c r="C105" s="3"/>
    </row>
    <row r="106" spans="1:3" ht="28" x14ac:dyDescent="0.15">
      <c r="A106" s="27"/>
      <c r="B106" s="16" t="s">
        <v>122</v>
      </c>
      <c r="C106" s="3"/>
    </row>
    <row r="107" spans="1:3" ht="28" x14ac:dyDescent="0.15">
      <c r="A107" s="27"/>
      <c r="B107" s="16" t="s">
        <v>129</v>
      </c>
      <c r="C107" s="3"/>
    </row>
    <row r="108" spans="1:3" ht="28" x14ac:dyDescent="0.15">
      <c r="A108" s="27"/>
      <c r="B108" s="16" t="s">
        <v>123</v>
      </c>
      <c r="C108" s="3"/>
    </row>
    <row r="109" spans="1:3" ht="28" x14ac:dyDescent="0.15">
      <c r="A109" s="27"/>
      <c r="B109" s="16" t="s">
        <v>125</v>
      </c>
      <c r="C109" s="3"/>
    </row>
    <row r="110" spans="1:3" x14ac:dyDescent="0.15">
      <c r="A110" s="27"/>
      <c r="B110" s="16"/>
      <c r="C110" s="3"/>
    </row>
    <row r="111" spans="1:3" ht="14" x14ac:dyDescent="0.15">
      <c r="A111" s="27"/>
      <c r="B111" s="17" t="s">
        <v>208</v>
      </c>
      <c r="C111" s="3"/>
    </row>
    <row r="112" spans="1:3" x14ac:dyDescent="0.15">
      <c r="A112" s="27"/>
      <c r="B112" s="16"/>
      <c r="C112" s="3"/>
    </row>
    <row r="113" spans="1:3" ht="28" x14ac:dyDescent="0.15">
      <c r="A113" s="27"/>
      <c r="B113" s="16" t="s">
        <v>216</v>
      </c>
      <c r="C113" s="3"/>
    </row>
    <row r="114" spans="1:3" ht="28" x14ac:dyDescent="0.15">
      <c r="A114" s="27"/>
      <c r="B114" s="16" t="s">
        <v>124</v>
      </c>
      <c r="C114" s="3"/>
    </row>
    <row r="115" spans="1:3" x14ac:dyDescent="0.15">
      <c r="A115" s="27"/>
      <c r="B115" s="16"/>
      <c r="C115" s="3"/>
    </row>
    <row r="116" spans="1:3" ht="14" x14ac:dyDescent="0.15">
      <c r="A116" s="27"/>
      <c r="B116" s="16" t="s">
        <v>192</v>
      </c>
      <c r="C116" s="3"/>
    </row>
    <row r="117" spans="1:3" x14ac:dyDescent="0.15">
      <c r="A117" s="27"/>
      <c r="B117" s="16"/>
      <c r="C117" s="3"/>
    </row>
    <row r="118" spans="1:3" ht="14" x14ac:dyDescent="0.15">
      <c r="A118" s="27"/>
      <c r="B118" s="17" t="s">
        <v>209</v>
      </c>
      <c r="C118" s="3"/>
    </row>
    <row r="119" spans="1:3" x14ac:dyDescent="0.15">
      <c r="A119" s="27"/>
      <c r="B119" s="16"/>
      <c r="C119" s="3"/>
    </row>
    <row r="120" spans="1:3" ht="14" x14ac:dyDescent="0.15">
      <c r="A120" s="27"/>
      <c r="B120" s="16" t="s">
        <v>193</v>
      </c>
      <c r="C120" s="3"/>
    </row>
    <row r="121" spans="1:3" ht="14" x14ac:dyDescent="0.15">
      <c r="A121" s="27"/>
      <c r="B121" s="20" t="s">
        <v>191</v>
      </c>
      <c r="C121" s="3"/>
    </row>
    <row r="122" spans="1:3" ht="14" x14ac:dyDescent="0.15">
      <c r="A122" s="27"/>
      <c r="B122" s="16" t="s">
        <v>194</v>
      </c>
      <c r="C122" s="3"/>
    </row>
    <row r="123" spans="1:3" ht="14" x14ac:dyDescent="0.15">
      <c r="A123" s="27"/>
      <c r="B123" s="20" t="s">
        <v>158</v>
      </c>
      <c r="C123" s="3"/>
    </row>
    <row r="124" spans="1:3" x14ac:dyDescent="0.15">
      <c r="A124" s="27"/>
      <c r="B124" s="16"/>
      <c r="C124" s="3"/>
    </row>
    <row r="125" spans="1:3" ht="14" x14ac:dyDescent="0.15">
      <c r="A125" s="27"/>
      <c r="B125" s="278" t="str">
        <f>Welcome!B31</f>
        <v>Copyright © Bizpep 2010 - www.bizpeponline.com.</v>
      </c>
      <c r="C125" s="3"/>
    </row>
    <row r="126" spans="1:3" ht="18" x14ac:dyDescent="0.15">
      <c r="B126" s="6"/>
      <c r="C126" s="3"/>
    </row>
    <row r="127" spans="1:3" ht="18" x14ac:dyDescent="0.15">
      <c r="B127" s="7"/>
      <c r="C127" s="3"/>
    </row>
    <row r="128" spans="1:3" ht="18" x14ac:dyDescent="0.15">
      <c r="B128" s="6"/>
      <c r="C128" s="3"/>
    </row>
    <row r="129" spans="2:3" ht="18" x14ac:dyDescent="0.15">
      <c r="B129" s="8"/>
      <c r="C129" s="3"/>
    </row>
    <row r="130" spans="2:3" ht="18" x14ac:dyDescent="0.15">
      <c r="B130" s="28"/>
      <c r="C130" s="3"/>
    </row>
    <row r="131" spans="2:3" ht="18" x14ac:dyDescent="0.15">
      <c r="B131" s="8"/>
      <c r="C131" s="3"/>
    </row>
    <row r="132" spans="2:3" x14ac:dyDescent="0.15">
      <c r="B132" s="9"/>
      <c r="C132" s="3"/>
    </row>
  </sheetData>
  <sheetProtection algorithmName="SHA-512" hashValue="XLbSMzFccmk3BsFSzjOXrCgkiHPTga4APZ6BgK2juER7E9x+o/onhFaKdgI7D78ntP698WDF1FTWH5FzzCQh2A==" saltValue="5Mm+G0eHxof2xNQPGeXgUw==" spinCount="100000" sheet="1" objects="1" scenarios="1"/>
  <phoneticPr fontId="0" type="noConversion"/>
  <hyperlinks>
    <hyperlink ref="B61" r:id="rId1" display="http://www.bizpeponline.com/PricingBreakevenReg.html" xr:uid="{00000000-0004-0000-0B00-000000000000}"/>
    <hyperlink ref="B13" r:id="rId2" xr:uid="{00000000-0004-0000-0B00-000001000000}"/>
    <hyperlink ref="B19" r:id="rId3" xr:uid="{00000000-0004-0000-0B00-000002000000}"/>
    <hyperlink ref="B123" r:id="rId4" xr:uid="{00000000-0004-0000-0B00-000003000000}"/>
    <hyperlink ref="B121" r:id="rId5" xr:uid="{00000000-0004-0000-0B00-000004000000}"/>
    <hyperlink ref="B27" r:id="rId6" xr:uid="{00000000-0004-0000-0B00-000005000000}"/>
    <hyperlink ref="B96" r:id="rId7" xr:uid="{00000000-0004-0000-0B00-000006000000}"/>
    <hyperlink ref="B91" r:id="rId8" xr:uid="{00000000-0004-0000-0B00-000007000000}"/>
  </hyperlinks>
  <printOptions horizontalCentered="1"/>
  <pageMargins left="0.74803149606299213" right="0.74803149606299213" top="0.98425196850393704" bottom="0.98425196850393704" header="0.51181102362204722" footer="0.51181102362204722"/>
  <pageSetup scale="83" fitToHeight="0" orientation="portrait" horizontalDpi="360" verticalDpi="4294967293" r:id="rId9"/>
  <headerFooter alignWithMargins="0"/>
  <drawing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K181"/>
  <sheetViews>
    <sheetView showGridLines="0" workbookViewId="0"/>
  </sheetViews>
  <sheetFormatPr baseColWidth="10" defaultColWidth="9.1640625" defaultRowHeight="13" x14ac:dyDescent="0.15"/>
  <cols>
    <col min="1" max="1" width="4.33203125" style="75" customWidth="1"/>
    <col min="2" max="2" width="32.1640625" style="75" customWidth="1"/>
    <col min="3" max="5" width="11.6640625" style="75" customWidth="1"/>
    <col min="6" max="16384" width="9.1640625" style="75"/>
  </cols>
  <sheetData>
    <row r="1" spans="1:11" x14ac:dyDescent="0.15">
      <c r="A1" s="76"/>
      <c r="B1" s="79"/>
      <c r="C1" s="80"/>
      <c r="D1" s="76"/>
      <c r="E1" s="76"/>
      <c r="F1" s="76"/>
      <c r="G1" s="76"/>
      <c r="H1" s="76"/>
      <c r="I1" s="76"/>
      <c r="J1" s="76"/>
      <c r="K1" s="76"/>
    </row>
    <row r="2" spans="1:11" x14ac:dyDescent="0.15">
      <c r="A2" s="76"/>
      <c r="B2" s="81" t="s">
        <v>52</v>
      </c>
      <c r="C2" s="82"/>
      <c r="D2" s="82"/>
      <c r="E2" s="82"/>
      <c r="F2" s="82"/>
      <c r="G2" s="82"/>
      <c r="H2" s="82"/>
      <c r="I2" s="76"/>
      <c r="J2" s="76"/>
      <c r="K2" s="76"/>
    </row>
    <row r="3" spans="1:11" x14ac:dyDescent="0.15">
      <c r="A3" s="76"/>
      <c r="B3" s="81"/>
      <c r="C3" s="82"/>
      <c r="D3" s="82"/>
      <c r="E3" s="116" t="s">
        <v>115</v>
      </c>
      <c r="F3" s="82"/>
      <c r="G3" s="82"/>
      <c r="H3" s="82"/>
      <c r="I3" s="76"/>
      <c r="J3" s="76"/>
      <c r="K3" s="76"/>
    </row>
    <row r="4" spans="1:11" x14ac:dyDescent="0.15">
      <c r="A4" s="76"/>
      <c r="B4" s="78" t="s">
        <v>71</v>
      </c>
      <c r="C4" s="90">
        <v>0</v>
      </c>
      <c r="D4" s="90">
        <f>+E4*0.5</f>
        <v>9259.2592592592591</v>
      </c>
      <c r="E4" s="101">
        <f>IF(Input!D$13=Input!B$91,Input!D$14,Input!C$14)</f>
        <v>18518.518518518518</v>
      </c>
      <c r="F4" s="90">
        <f>+E4*1.5</f>
        <v>27777.777777777777</v>
      </c>
      <c r="G4" s="90">
        <f>+E4*2</f>
        <v>37037.037037037036</v>
      </c>
      <c r="H4" s="76"/>
      <c r="I4" s="76"/>
      <c r="J4" s="76"/>
      <c r="K4" s="76"/>
    </row>
    <row r="5" spans="1:11" x14ac:dyDescent="0.15">
      <c r="A5" s="76"/>
      <c r="B5" s="217" t="str">
        <f>+Input!B11</f>
        <v>Business Revenue</v>
      </c>
      <c r="C5" s="99">
        <f>+C4*C6</f>
        <v>0</v>
      </c>
      <c r="D5" s="99">
        <f>+D4*D6</f>
        <v>250000</v>
      </c>
      <c r="E5" s="99">
        <f>IF(Input!$D$13=Input!$B$90,Input!$D$14*E4,Input!$C$14*E4)</f>
        <v>500000</v>
      </c>
      <c r="F5" s="99">
        <f>+F4*F6</f>
        <v>750000</v>
      </c>
      <c r="G5" s="99">
        <f>+G4*G6</f>
        <v>1000000</v>
      </c>
      <c r="H5" s="76"/>
      <c r="I5" s="76"/>
      <c r="J5" s="76"/>
      <c r="K5" s="76"/>
    </row>
    <row r="6" spans="1:11" x14ac:dyDescent="0.15">
      <c r="A6" s="76"/>
      <c r="B6" s="77" t="s">
        <v>64</v>
      </c>
      <c r="C6" s="99">
        <f>+$E6</f>
        <v>27</v>
      </c>
      <c r="D6" s="99">
        <f>+$E6</f>
        <v>27</v>
      </c>
      <c r="E6" s="99">
        <f>+E5/E4</f>
        <v>27</v>
      </c>
      <c r="F6" s="99">
        <f>+$E6</f>
        <v>27</v>
      </c>
      <c r="G6" s="99">
        <f>+$E6</f>
        <v>27</v>
      </c>
      <c r="H6" s="76"/>
      <c r="I6" s="76"/>
      <c r="J6" s="76"/>
      <c r="K6" s="76"/>
    </row>
    <row r="7" spans="1:11" x14ac:dyDescent="0.15">
      <c r="A7" s="76"/>
      <c r="B7" s="217" t="str">
        <f>+Input!B17</f>
        <v>Variable Costs</v>
      </c>
      <c r="C7" s="99">
        <f>+C8*C5</f>
        <v>0</v>
      </c>
      <c r="D7" s="99">
        <f>+D8*D5</f>
        <v>172500</v>
      </c>
      <c r="E7" s="99">
        <f>IF(Input!$D$16=Input!$B$93,Input!$D$17*E5/100,Input!$C$17*E5/100)</f>
        <v>345000</v>
      </c>
      <c r="F7" s="99">
        <f>+F8*F5</f>
        <v>517499.99999999994</v>
      </c>
      <c r="G7" s="99">
        <f>+G8*G5</f>
        <v>690000</v>
      </c>
      <c r="H7" s="76"/>
      <c r="I7" s="76"/>
      <c r="J7" s="76"/>
      <c r="K7" s="76"/>
    </row>
    <row r="8" spans="1:11" x14ac:dyDescent="0.15">
      <c r="A8" s="76"/>
      <c r="B8" s="77" t="s">
        <v>139</v>
      </c>
      <c r="C8" s="100">
        <f>+$E8</f>
        <v>0.69</v>
      </c>
      <c r="D8" s="100">
        <f>+$E8</f>
        <v>0.69</v>
      </c>
      <c r="E8" s="100">
        <f>+E7/E5</f>
        <v>0.69</v>
      </c>
      <c r="F8" s="100">
        <f>+$E8</f>
        <v>0.69</v>
      </c>
      <c r="G8" s="100">
        <f>+$E8</f>
        <v>0.69</v>
      </c>
      <c r="H8" s="76"/>
      <c r="I8" s="76"/>
      <c r="J8" s="76"/>
      <c r="K8" s="76"/>
    </row>
    <row r="9" spans="1:11" x14ac:dyDescent="0.15">
      <c r="A9" s="76"/>
      <c r="B9" s="77" t="s">
        <v>138</v>
      </c>
      <c r="C9" s="99" t="e">
        <f>+C7/C4</f>
        <v>#DIV/0!</v>
      </c>
      <c r="D9" s="99">
        <f>+D7/D4</f>
        <v>18.63</v>
      </c>
      <c r="E9" s="99">
        <f>+E7/E4</f>
        <v>18.63</v>
      </c>
      <c r="F9" s="99">
        <f>+F7/F4</f>
        <v>18.63</v>
      </c>
      <c r="G9" s="99">
        <f>+G7/G4</f>
        <v>18.63</v>
      </c>
      <c r="H9" s="76"/>
      <c r="I9" s="76"/>
      <c r="J9" s="76"/>
      <c r="K9" s="76"/>
    </row>
    <row r="10" spans="1:11" x14ac:dyDescent="0.15">
      <c r="A10" s="76"/>
      <c r="B10" s="217" t="str">
        <f>+Input!B18</f>
        <v>Fixed Costs</v>
      </c>
      <c r="C10" s="99">
        <f>+$E10</f>
        <v>80000</v>
      </c>
      <c r="D10" s="99">
        <f>+$E10</f>
        <v>80000</v>
      </c>
      <c r="E10" s="99">
        <f>IF(Input!$D$16=Input!$B$93,Input!$C$18,Input!$D$18)</f>
        <v>80000</v>
      </c>
      <c r="F10" s="99">
        <f>+$E10</f>
        <v>80000</v>
      </c>
      <c r="G10" s="99">
        <f>+$E10</f>
        <v>80000</v>
      </c>
      <c r="H10" s="76"/>
      <c r="I10" s="76"/>
      <c r="J10" s="76"/>
      <c r="K10" s="76"/>
    </row>
    <row r="11" spans="1:11" x14ac:dyDescent="0.15">
      <c r="A11" s="76"/>
      <c r="B11" s="83" t="s">
        <v>65</v>
      </c>
      <c r="C11" s="99">
        <f>+C10+C7</f>
        <v>80000</v>
      </c>
      <c r="D11" s="99">
        <f>+D10+D7</f>
        <v>252500</v>
      </c>
      <c r="E11" s="99">
        <f>+E10+E7</f>
        <v>425000</v>
      </c>
      <c r="F11" s="99">
        <f>+F10+F7</f>
        <v>597500</v>
      </c>
      <c r="G11" s="99">
        <f>+G10+G7</f>
        <v>770000</v>
      </c>
      <c r="H11" s="76"/>
      <c r="I11" s="76"/>
      <c r="J11" s="76"/>
      <c r="K11" s="76"/>
    </row>
    <row r="12" spans="1:11" x14ac:dyDescent="0.15">
      <c r="A12" s="76"/>
      <c r="B12" s="217" t="str">
        <f>+Input!B19</f>
        <v>Operating Surplus</v>
      </c>
      <c r="C12" s="91">
        <f>+C5-C7-C10</f>
        <v>-80000</v>
      </c>
      <c r="D12" s="91">
        <f>+D5-D7-D10</f>
        <v>-2500</v>
      </c>
      <c r="E12" s="99">
        <f>+E5-E7-E10</f>
        <v>75000</v>
      </c>
      <c r="F12" s="91">
        <f>+F5-F7-F10</f>
        <v>152500.00000000006</v>
      </c>
      <c r="G12" s="91">
        <f>+G5-G7-G10</f>
        <v>230000</v>
      </c>
      <c r="H12" s="76"/>
      <c r="I12" s="76"/>
      <c r="J12" s="76"/>
      <c r="K12" s="76"/>
    </row>
    <row r="13" spans="1:11" x14ac:dyDescent="0.15">
      <c r="A13" s="76"/>
      <c r="B13" s="129" t="s">
        <v>140</v>
      </c>
      <c r="C13" s="92" t="str">
        <f>+IF(C5=0,"N/A",C12/C5)</f>
        <v>N/A</v>
      </c>
      <c r="D13" s="92">
        <f>+IF(D5=0,"N/A",D12/D5)</f>
        <v>-0.01</v>
      </c>
      <c r="E13" s="102">
        <f>+IF(E5=0,"N/A",E12/E5)</f>
        <v>0.15</v>
      </c>
      <c r="F13" s="92">
        <f>+IF(F5=0,"N/A",F12/F5)</f>
        <v>0.20333333333333342</v>
      </c>
      <c r="G13" s="92">
        <f>+IF(G5=0,"N/A",G12/G5)</f>
        <v>0.23</v>
      </c>
      <c r="H13" s="76"/>
      <c r="I13" s="76"/>
      <c r="J13" s="76"/>
      <c r="K13" s="76"/>
    </row>
    <row r="14" spans="1:11" x14ac:dyDescent="0.15">
      <c r="A14" s="76"/>
      <c r="B14" s="103" t="s">
        <v>82</v>
      </c>
      <c r="C14" s="105">
        <f>+C10/(1-C8)</f>
        <v>258064.51612903221</v>
      </c>
      <c r="D14" s="105">
        <f>+D10/(1-D8)</f>
        <v>258064.51612903221</v>
      </c>
      <c r="E14" s="105">
        <f>+E10/(1-E8)</f>
        <v>258064.51612903221</v>
      </c>
      <c r="F14" s="105">
        <f>+F10/(1-F8)</f>
        <v>258064.51612903221</v>
      </c>
      <c r="G14" s="105">
        <f>+G10/(1-G8)</f>
        <v>258064.51612903221</v>
      </c>
      <c r="H14" s="76"/>
      <c r="I14" s="76"/>
      <c r="J14" s="76"/>
      <c r="K14" s="76"/>
    </row>
    <row r="15" spans="1:11" x14ac:dyDescent="0.15">
      <c r="A15" s="76"/>
      <c r="B15" s="104" t="s">
        <v>66</v>
      </c>
      <c r="C15" s="106">
        <f>+C14/C6</f>
        <v>9557.9450418160086</v>
      </c>
      <c r="D15" s="106">
        <f>+D14/D6</f>
        <v>9557.9450418160086</v>
      </c>
      <c r="E15" s="106">
        <f>+E14/E6</f>
        <v>9557.9450418160086</v>
      </c>
      <c r="F15" s="106">
        <f>+F14/F6</f>
        <v>9557.9450418160086</v>
      </c>
      <c r="G15" s="106">
        <f>+G14/G6</f>
        <v>9557.9450418160086</v>
      </c>
      <c r="H15" s="76"/>
      <c r="I15" s="76"/>
      <c r="J15" s="76"/>
      <c r="K15" s="76"/>
    </row>
    <row r="16" spans="1:11" x14ac:dyDescent="0.15">
      <c r="A16" s="76"/>
      <c r="B16" s="76"/>
      <c r="C16" s="76"/>
      <c r="D16" s="76"/>
      <c r="E16" s="76"/>
      <c r="F16" s="76"/>
      <c r="G16" s="76"/>
      <c r="H16" s="76"/>
      <c r="I16" s="76"/>
      <c r="J16" s="76"/>
      <c r="K16" s="76"/>
    </row>
    <row r="17" spans="1:11" x14ac:dyDescent="0.15">
      <c r="A17" s="76"/>
      <c r="B17" s="118" t="s">
        <v>53</v>
      </c>
      <c r="C17" s="76"/>
      <c r="D17" s="76"/>
      <c r="E17" s="76"/>
      <c r="F17" s="76"/>
      <c r="G17" s="76"/>
      <c r="H17" s="76"/>
      <c r="I17" s="76"/>
      <c r="J17" s="76"/>
      <c r="K17" s="76"/>
    </row>
    <row r="18" spans="1:11" x14ac:dyDescent="0.15">
      <c r="A18" s="76"/>
      <c r="B18" s="81"/>
      <c r="C18" s="82"/>
      <c r="D18" s="82"/>
      <c r="E18" s="116" t="s">
        <v>115</v>
      </c>
      <c r="F18" s="82"/>
      <c r="G18" s="82"/>
      <c r="H18" s="76"/>
      <c r="I18" s="76"/>
      <c r="J18" s="76"/>
      <c r="K18" s="76"/>
    </row>
    <row r="19" spans="1:11" x14ac:dyDescent="0.15">
      <c r="A19" s="76"/>
      <c r="B19" s="78" t="str">
        <f>+B4</f>
        <v>Number of Sales</v>
      </c>
      <c r="C19" s="90">
        <v>0</v>
      </c>
      <c r="D19" s="90">
        <f>+E19*0.5</f>
        <v>11574.074074074073</v>
      </c>
      <c r="E19" s="101">
        <f>+Input!G50</f>
        <v>23148.148148148146</v>
      </c>
      <c r="F19" s="90">
        <f>+E19*1.5</f>
        <v>34722.222222222219</v>
      </c>
      <c r="G19" s="90">
        <f>+E19*2</f>
        <v>46296.296296296292</v>
      </c>
      <c r="H19" s="76"/>
      <c r="I19" s="76"/>
      <c r="J19" s="76"/>
      <c r="K19" s="76"/>
    </row>
    <row r="20" spans="1:11" x14ac:dyDescent="0.15">
      <c r="A20" s="76"/>
      <c r="B20" s="83" t="str">
        <f t="shared" ref="B20:B30" si="0">+B5</f>
        <v>Business Revenue</v>
      </c>
      <c r="C20" s="99">
        <f>+C19*C21</f>
        <v>0</v>
      </c>
      <c r="D20" s="99">
        <f>+D19*D21</f>
        <v>265624.99999999994</v>
      </c>
      <c r="E20" s="99">
        <f>+E19*E21</f>
        <v>531249.99999999988</v>
      </c>
      <c r="F20" s="99">
        <f>+F19*F21</f>
        <v>796874.99999999988</v>
      </c>
      <c r="G20" s="99">
        <f>+G19*G21</f>
        <v>1062499.9999999998</v>
      </c>
      <c r="H20" s="76"/>
      <c r="I20" s="76"/>
      <c r="J20" s="76"/>
      <c r="K20" s="76"/>
    </row>
    <row r="21" spans="1:11" x14ac:dyDescent="0.15">
      <c r="A21" s="76"/>
      <c r="B21" s="77" t="str">
        <f t="shared" si="0"/>
        <v>Unit Sales Price</v>
      </c>
      <c r="C21" s="99">
        <f>+$E21</f>
        <v>22.95</v>
      </c>
      <c r="D21" s="99">
        <f>+$E21</f>
        <v>22.95</v>
      </c>
      <c r="E21" s="99">
        <f>+Input!G49</f>
        <v>22.95</v>
      </c>
      <c r="F21" s="99">
        <f>+$E21</f>
        <v>22.95</v>
      </c>
      <c r="G21" s="99">
        <f>+$E21</f>
        <v>22.95</v>
      </c>
      <c r="H21" s="76"/>
      <c r="I21" s="76"/>
      <c r="J21" s="76"/>
      <c r="K21" s="76"/>
    </row>
    <row r="22" spans="1:11" x14ac:dyDescent="0.15">
      <c r="A22" s="76"/>
      <c r="B22" s="83" t="str">
        <f t="shared" si="0"/>
        <v>Variable Costs</v>
      </c>
      <c r="C22" s="99">
        <f>+C23*C20</f>
        <v>0</v>
      </c>
      <c r="D22" s="99">
        <f>+D23*D20</f>
        <v>215624.99999999997</v>
      </c>
      <c r="E22" s="99">
        <f>+E24*E19</f>
        <v>431249.99999999994</v>
      </c>
      <c r="F22" s="99">
        <f>+F23*F20</f>
        <v>646875</v>
      </c>
      <c r="G22" s="99">
        <f>+G23*G20</f>
        <v>862499.99999999988</v>
      </c>
      <c r="H22" s="76"/>
      <c r="I22" s="76"/>
      <c r="J22" s="76"/>
      <c r="K22" s="76"/>
    </row>
    <row r="23" spans="1:11" x14ac:dyDescent="0.15">
      <c r="A23" s="76"/>
      <c r="B23" s="77" t="str">
        <f t="shared" si="0"/>
        <v>Variable Cost %</v>
      </c>
      <c r="C23" s="100">
        <f t="shared" ref="C23:D25" si="1">+$E23</f>
        <v>0.81176470588235305</v>
      </c>
      <c r="D23" s="100">
        <f t="shared" si="1"/>
        <v>0.81176470588235305</v>
      </c>
      <c r="E23" s="100">
        <f>+E22/E20</f>
        <v>0.81176470588235305</v>
      </c>
      <c r="F23" s="100">
        <f t="shared" ref="F23:G25" si="2">+$E23</f>
        <v>0.81176470588235305</v>
      </c>
      <c r="G23" s="100">
        <f t="shared" si="2"/>
        <v>0.81176470588235305</v>
      </c>
      <c r="H23" s="76"/>
      <c r="I23" s="76"/>
      <c r="J23" s="76"/>
      <c r="K23" s="76"/>
    </row>
    <row r="24" spans="1:11" x14ac:dyDescent="0.15">
      <c r="A24" s="76"/>
      <c r="B24" s="77" t="str">
        <f t="shared" si="0"/>
        <v>Variable Costs per Unit</v>
      </c>
      <c r="C24" s="99">
        <f t="shared" si="1"/>
        <v>18.63</v>
      </c>
      <c r="D24" s="99">
        <f t="shared" si="1"/>
        <v>18.63</v>
      </c>
      <c r="E24" s="99">
        <f>+E9</f>
        <v>18.63</v>
      </c>
      <c r="F24" s="99">
        <f t="shared" si="2"/>
        <v>18.63</v>
      </c>
      <c r="G24" s="99">
        <f t="shared" si="2"/>
        <v>18.63</v>
      </c>
      <c r="H24" s="76"/>
      <c r="I24" s="76"/>
      <c r="J24" s="76"/>
      <c r="K24" s="76"/>
    </row>
    <row r="25" spans="1:11" x14ac:dyDescent="0.15">
      <c r="A25" s="76"/>
      <c r="B25" s="83" t="str">
        <f t="shared" si="0"/>
        <v>Fixed Costs</v>
      </c>
      <c r="C25" s="99">
        <f t="shared" si="1"/>
        <v>80000</v>
      </c>
      <c r="D25" s="99">
        <f t="shared" si="1"/>
        <v>80000</v>
      </c>
      <c r="E25" s="99">
        <f>IF(Input!$D$16=Input!$B$93,Input!$C$18,Input!$D$18)</f>
        <v>80000</v>
      </c>
      <c r="F25" s="99">
        <f t="shared" si="2"/>
        <v>80000</v>
      </c>
      <c r="G25" s="99">
        <f t="shared" si="2"/>
        <v>80000</v>
      </c>
      <c r="H25" s="76"/>
      <c r="I25" s="76"/>
      <c r="J25" s="76"/>
      <c r="K25" s="76"/>
    </row>
    <row r="26" spans="1:11" x14ac:dyDescent="0.15">
      <c r="A26" s="76"/>
      <c r="B26" s="83" t="str">
        <f t="shared" si="0"/>
        <v>Total Costs</v>
      </c>
      <c r="C26" s="99">
        <f>+C25+C22</f>
        <v>80000</v>
      </c>
      <c r="D26" s="99">
        <f>+D25+D22</f>
        <v>295625</v>
      </c>
      <c r="E26" s="99">
        <f>+E25+E22</f>
        <v>511249.99999999994</v>
      </c>
      <c r="F26" s="99">
        <f>+F25+F22</f>
        <v>726875</v>
      </c>
      <c r="G26" s="99">
        <f>+G25+G22</f>
        <v>942499.99999999988</v>
      </c>
      <c r="H26" s="76"/>
      <c r="I26" s="76"/>
      <c r="J26" s="76"/>
      <c r="K26" s="76"/>
    </row>
    <row r="27" spans="1:11" x14ac:dyDescent="0.15">
      <c r="A27" s="76"/>
      <c r="B27" s="83" t="str">
        <f t="shared" si="0"/>
        <v>Operating Surplus</v>
      </c>
      <c r="C27" s="91">
        <f>+C20-C22-C25</f>
        <v>-80000</v>
      </c>
      <c r="D27" s="91">
        <f>+D20-D22-D25</f>
        <v>-30000.000000000029</v>
      </c>
      <c r="E27" s="99">
        <f>+E20-E22-E25</f>
        <v>19999.999999999942</v>
      </c>
      <c r="F27" s="91">
        <f>+F20-F22-F25</f>
        <v>69999.999999999884</v>
      </c>
      <c r="G27" s="91">
        <f>+G20-G22-G25</f>
        <v>119999.99999999988</v>
      </c>
      <c r="H27" s="76"/>
      <c r="I27" s="76"/>
      <c r="J27" s="76"/>
      <c r="K27" s="76"/>
    </row>
    <row r="28" spans="1:11" x14ac:dyDescent="0.15">
      <c r="A28" s="76"/>
      <c r="B28" s="129" t="str">
        <f t="shared" si="0"/>
        <v xml:space="preserve"> Surplus %</v>
      </c>
      <c r="C28" s="92" t="str">
        <f>+IF(C20=0,"N/A",C27/C20)</f>
        <v>N/A</v>
      </c>
      <c r="D28" s="92">
        <f>+IF(D20=0,"N/A",D27/D20)</f>
        <v>-0.11294117647058836</v>
      </c>
      <c r="E28" s="102">
        <f>+IF(E20=0,"N/A",E27/E20)</f>
        <v>3.7647058823529311E-2</v>
      </c>
      <c r="F28" s="92">
        <f>+IF(F20=0,"N/A",F27/F20)</f>
        <v>8.7843137254901824E-2</v>
      </c>
      <c r="G28" s="92">
        <f>+IF(G20=0,"N/A",G27/G20)</f>
        <v>0.11294117647058816</v>
      </c>
      <c r="H28" s="76"/>
      <c r="I28" s="76"/>
      <c r="J28" s="76"/>
      <c r="K28" s="76"/>
    </row>
    <row r="29" spans="1:11" x14ac:dyDescent="0.15">
      <c r="A29" s="76"/>
      <c r="B29" s="83" t="str">
        <f t="shared" si="0"/>
        <v>Breakeven Point Revenue</v>
      </c>
      <c r="C29" s="105">
        <f>+C25/(1-C23)</f>
        <v>425000.00000000023</v>
      </c>
      <c r="D29" s="105">
        <f>+D25/(1-D23)</f>
        <v>425000.00000000023</v>
      </c>
      <c r="E29" s="105">
        <f>+E25/(1-E23)</f>
        <v>425000.00000000023</v>
      </c>
      <c r="F29" s="105">
        <f>+F25/(1-F23)</f>
        <v>425000.00000000023</v>
      </c>
      <c r="G29" s="105">
        <f>+G25/(1-G23)</f>
        <v>425000.00000000023</v>
      </c>
      <c r="H29" s="76"/>
      <c r="I29" s="76"/>
      <c r="J29" s="76"/>
      <c r="K29" s="76"/>
    </row>
    <row r="30" spans="1:11" x14ac:dyDescent="0.15">
      <c r="A30" s="76"/>
      <c r="B30" s="84" t="str">
        <f t="shared" si="0"/>
        <v>Breakeven Point Number of Sales</v>
      </c>
      <c r="C30" s="106">
        <f>+C29/C21</f>
        <v>18518.518518518529</v>
      </c>
      <c r="D30" s="106">
        <f>+D29/D21</f>
        <v>18518.518518518529</v>
      </c>
      <c r="E30" s="106">
        <f>+E29/E21</f>
        <v>18518.518518518529</v>
      </c>
      <c r="F30" s="106">
        <f>+F29/F21</f>
        <v>18518.518518518529</v>
      </c>
      <c r="G30" s="106">
        <f>+G29/G21</f>
        <v>18518.518518518529</v>
      </c>
      <c r="H30" s="76"/>
      <c r="I30" s="76"/>
      <c r="J30" s="76"/>
      <c r="K30" s="76"/>
    </row>
    <row r="31" spans="1:11" x14ac:dyDescent="0.15">
      <c r="A31" s="76"/>
      <c r="B31" s="76"/>
      <c r="C31" s="76"/>
      <c r="D31" s="76"/>
      <c r="E31" s="76"/>
      <c r="F31" s="76"/>
      <c r="G31" s="76"/>
      <c r="H31" s="76"/>
      <c r="I31" s="76"/>
      <c r="J31" s="76"/>
      <c r="K31" s="76"/>
    </row>
    <row r="32" spans="1:11" x14ac:dyDescent="0.15">
      <c r="A32" s="76"/>
      <c r="B32" s="117" t="s">
        <v>67</v>
      </c>
      <c r="C32" s="76"/>
      <c r="D32" s="76"/>
      <c r="E32" s="76"/>
      <c r="F32" s="76"/>
      <c r="G32" s="76"/>
      <c r="H32" s="76"/>
      <c r="I32" s="76"/>
      <c r="J32" s="76"/>
      <c r="K32" s="76"/>
    </row>
    <row r="33" spans="1:11" x14ac:dyDescent="0.15">
      <c r="A33" s="76"/>
      <c r="B33" s="81"/>
      <c r="C33" s="82"/>
      <c r="D33" s="82"/>
      <c r="E33" s="116" t="s">
        <v>115</v>
      </c>
      <c r="F33" s="82"/>
      <c r="G33" s="82"/>
      <c r="H33" s="76"/>
      <c r="I33" s="76"/>
      <c r="J33" s="76"/>
      <c r="K33" s="76"/>
    </row>
    <row r="34" spans="1:11" x14ac:dyDescent="0.15">
      <c r="A34" s="76"/>
      <c r="B34" s="78" t="str">
        <f>+B4</f>
        <v>Number of Sales</v>
      </c>
      <c r="C34" s="90">
        <v>0</v>
      </c>
      <c r="D34" s="90">
        <f>+E34*0.5</f>
        <v>7407.4074074074078</v>
      </c>
      <c r="E34" s="101">
        <f>+Input!G40</f>
        <v>14814.814814814816</v>
      </c>
      <c r="F34" s="90">
        <f>+E34*1.5</f>
        <v>22222.222222222223</v>
      </c>
      <c r="G34" s="90">
        <f>+E34*2</f>
        <v>29629.629629629631</v>
      </c>
      <c r="H34" s="76"/>
      <c r="I34" s="76"/>
      <c r="J34" s="76"/>
      <c r="K34" s="76"/>
    </row>
    <row r="35" spans="1:11" x14ac:dyDescent="0.15">
      <c r="A35" s="76"/>
      <c r="B35" s="83" t="str">
        <f t="shared" ref="B35:B45" si="3">+B5</f>
        <v>Business Revenue</v>
      </c>
      <c r="C35" s="99">
        <f>+C34*C36</f>
        <v>0</v>
      </c>
      <c r="D35" s="99">
        <f>+D34*D36</f>
        <v>230000</v>
      </c>
      <c r="E35" s="99">
        <f>+E34*E36</f>
        <v>460000</v>
      </c>
      <c r="F35" s="99">
        <f>+F34*F36</f>
        <v>690000</v>
      </c>
      <c r="G35" s="99">
        <f>+G34*G36</f>
        <v>920000</v>
      </c>
      <c r="H35" s="76"/>
      <c r="I35" s="76"/>
      <c r="J35" s="76"/>
      <c r="K35" s="76"/>
    </row>
    <row r="36" spans="1:11" x14ac:dyDescent="0.15">
      <c r="A36" s="76"/>
      <c r="B36" s="77" t="str">
        <f t="shared" si="3"/>
        <v>Unit Sales Price</v>
      </c>
      <c r="C36" s="99">
        <f>+$E36</f>
        <v>31.049999999999997</v>
      </c>
      <c r="D36" s="99">
        <f>+$E36</f>
        <v>31.049999999999997</v>
      </c>
      <c r="E36" s="99">
        <f>+Input!G39</f>
        <v>31.049999999999997</v>
      </c>
      <c r="F36" s="99">
        <f>+$E36</f>
        <v>31.049999999999997</v>
      </c>
      <c r="G36" s="99">
        <f>+$E36</f>
        <v>31.049999999999997</v>
      </c>
      <c r="H36" s="76"/>
      <c r="I36" s="76"/>
      <c r="J36" s="76"/>
      <c r="K36" s="76"/>
    </row>
    <row r="37" spans="1:11" x14ac:dyDescent="0.15">
      <c r="A37" s="76"/>
      <c r="B37" s="83" t="str">
        <f t="shared" si="3"/>
        <v>Variable Costs</v>
      </c>
      <c r="C37" s="99">
        <f>+C38*C35</f>
        <v>0</v>
      </c>
      <c r="D37" s="99">
        <f>+D38*D35</f>
        <v>138000</v>
      </c>
      <c r="E37" s="99">
        <f>+E39*E34</f>
        <v>276000</v>
      </c>
      <c r="F37" s="99">
        <f>+F38*F35</f>
        <v>414000</v>
      </c>
      <c r="G37" s="99">
        <f>+G38*G35</f>
        <v>552000</v>
      </c>
      <c r="H37" s="76"/>
      <c r="I37" s="76"/>
      <c r="J37" s="76"/>
      <c r="K37" s="76"/>
    </row>
    <row r="38" spans="1:11" x14ac:dyDescent="0.15">
      <c r="A38" s="76"/>
      <c r="B38" s="77" t="str">
        <f t="shared" si="3"/>
        <v>Variable Cost %</v>
      </c>
      <c r="C38" s="100">
        <f t="shared" ref="C38:D40" si="4">+$E38</f>
        <v>0.6</v>
      </c>
      <c r="D38" s="100">
        <f t="shared" si="4"/>
        <v>0.6</v>
      </c>
      <c r="E38" s="100">
        <f>+E37/E35</f>
        <v>0.6</v>
      </c>
      <c r="F38" s="100">
        <f t="shared" ref="F38:G40" si="5">+$E38</f>
        <v>0.6</v>
      </c>
      <c r="G38" s="100">
        <f t="shared" si="5"/>
        <v>0.6</v>
      </c>
      <c r="H38" s="76"/>
      <c r="I38" s="76"/>
      <c r="J38" s="76"/>
      <c r="K38" s="76"/>
    </row>
    <row r="39" spans="1:11" x14ac:dyDescent="0.15">
      <c r="A39" s="76"/>
      <c r="B39" s="77" t="str">
        <f t="shared" si="3"/>
        <v>Variable Costs per Unit</v>
      </c>
      <c r="C39" s="99">
        <f t="shared" si="4"/>
        <v>18.63</v>
      </c>
      <c r="D39" s="99">
        <f t="shared" si="4"/>
        <v>18.63</v>
      </c>
      <c r="E39" s="99">
        <f>+E24</f>
        <v>18.63</v>
      </c>
      <c r="F39" s="99">
        <f t="shared" si="5"/>
        <v>18.63</v>
      </c>
      <c r="G39" s="99">
        <f t="shared" si="5"/>
        <v>18.63</v>
      </c>
      <c r="H39" s="76"/>
      <c r="I39" s="76"/>
      <c r="J39" s="76"/>
      <c r="K39" s="76"/>
    </row>
    <row r="40" spans="1:11" x14ac:dyDescent="0.15">
      <c r="A40" s="76"/>
      <c r="B40" s="83" t="str">
        <f t="shared" si="3"/>
        <v>Fixed Costs</v>
      </c>
      <c r="C40" s="99">
        <f t="shared" si="4"/>
        <v>80000</v>
      </c>
      <c r="D40" s="99">
        <f t="shared" si="4"/>
        <v>80000</v>
      </c>
      <c r="E40" s="99">
        <f>IF(Input!$D$16=Input!$B$93,Input!$C$18,Input!$D$18)</f>
        <v>80000</v>
      </c>
      <c r="F40" s="99">
        <f t="shared" si="5"/>
        <v>80000</v>
      </c>
      <c r="G40" s="99">
        <f t="shared" si="5"/>
        <v>80000</v>
      </c>
      <c r="H40" s="76"/>
      <c r="I40" s="76"/>
      <c r="J40" s="76"/>
      <c r="K40" s="76"/>
    </row>
    <row r="41" spans="1:11" x14ac:dyDescent="0.15">
      <c r="A41" s="76"/>
      <c r="B41" s="83" t="str">
        <f t="shared" si="3"/>
        <v>Total Costs</v>
      </c>
      <c r="C41" s="99">
        <f>+C40+C37</f>
        <v>80000</v>
      </c>
      <c r="D41" s="99">
        <f>+D40+D37</f>
        <v>218000</v>
      </c>
      <c r="E41" s="99">
        <f>+E40+E37</f>
        <v>356000</v>
      </c>
      <c r="F41" s="99">
        <f>+F40+F37</f>
        <v>494000</v>
      </c>
      <c r="G41" s="99">
        <f>+G40+G37</f>
        <v>632000</v>
      </c>
      <c r="H41" s="76"/>
      <c r="I41" s="76"/>
      <c r="J41" s="76"/>
      <c r="K41" s="76"/>
    </row>
    <row r="42" spans="1:11" x14ac:dyDescent="0.15">
      <c r="A42" s="76"/>
      <c r="B42" s="83" t="str">
        <f t="shared" si="3"/>
        <v>Operating Surplus</v>
      </c>
      <c r="C42" s="91">
        <f>+C35-C37-C40</f>
        <v>-80000</v>
      </c>
      <c r="D42" s="91">
        <f>+D35-D37-D40</f>
        <v>12000</v>
      </c>
      <c r="E42" s="99">
        <f>+E35-E37-E40</f>
        <v>104000</v>
      </c>
      <c r="F42" s="91">
        <f>+F35-F37-F40</f>
        <v>196000</v>
      </c>
      <c r="G42" s="91">
        <f>+G35-G37-G40</f>
        <v>288000</v>
      </c>
      <c r="H42" s="76"/>
      <c r="I42" s="76"/>
      <c r="J42" s="76"/>
      <c r="K42" s="76"/>
    </row>
    <row r="43" spans="1:11" x14ac:dyDescent="0.15">
      <c r="A43" s="76"/>
      <c r="B43" s="129" t="str">
        <f t="shared" si="3"/>
        <v xml:space="preserve"> Surplus %</v>
      </c>
      <c r="C43" s="92" t="str">
        <f>+IF(C35=0,"N/A",C42/C35)</f>
        <v>N/A</v>
      </c>
      <c r="D43" s="92">
        <f>+IF(D35=0,"N/A",D42/D35)</f>
        <v>5.2173913043478258E-2</v>
      </c>
      <c r="E43" s="102">
        <f>+IF(E35=0,"N/A",E42/E35)</f>
        <v>0.22608695652173913</v>
      </c>
      <c r="F43" s="92">
        <f>+IF(F35=0,"N/A",F42/F35)</f>
        <v>0.28405797101449276</v>
      </c>
      <c r="G43" s="92">
        <f>+IF(G35=0,"N/A",G42/G35)</f>
        <v>0.31304347826086959</v>
      </c>
      <c r="H43" s="76"/>
      <c r="I43" s="76"/>
      <c r="J43" s="76"/>
      <c r="K43" s="76"/>
    </row>
    <row r="44" spans="1:11" x14ac:dyDescent="0.15">
      <c r="A44" s="76"/>
      <c r="B44" s="83" t="str">
        <f t="shared" si="3"/>
        <v>Breakeven Point Revenue</v>
      </c>
      <c r="C44" s="105">
        <f>+C40/(1-C38)</f>
        <v>200000</v>
      </c>
      <c r="D44" s="105">
        <f>+D40/(1-D38)</f>
        <v>200000</v>
      </c>
      <c r="E44" s="105">
        <f>+E40/(1-E38)</f>
        <v>200000</v>
      </c>
      <c r="F44" s="105">
        <f>+F40/(1-F38)</f>
        <v>200000</v>
      </c>
      <c r="G44" s="105">
        <f>+G40/(1-G38)</f>
        <v>200000</v>
      </c>
      <c r="H44" s="76"/>
      <c r="I44" s="76"/>
      <c r="J44" s="76"/>
      <c r="K44" s="76"/>
    </row>
    <row r="45" spans="1:11" x14ac:dyDescent="0.15">
      <c r="A45" s="76"/>
      <c r="B45" s="84" t="str">
        <f t="shared" si="3"/>
        <v>Breakeven Point Number of Sales</v>
      </c>
      <c r="C45" s="106">
        <f>+C44/C36</f>
        <v>6441.2238325281805</v>
      </c>
      <c r="D45" s="106">
        <f>+D44/D36</f>
        <v>6441.2238325281805</v>
      </c>
      <c r="E45" s="106">
        <f>+E44/E36</f>
        <v>6441.2238325281805</v>
      </c>
      <c r="F45" s="106">
        <f>+F44/F36</f>
        <v>6441.2238325281805</v>
      </c>
      <c r="G45" s="106">
        <f>+G44/G36</f>
        <v>6441.2238325281805</v>
      </c>
      <c r="H45" s="76"/>
      <c r="I45" s="76"/>
      <c r="J45" s="76"/>
      <c r="K45" s="76"/>
    </row>
    <row r="46" spans="1:11" x14ac:dyDescent="0.15">
      <c r="A46" s="76"/>
      <c r="B46" s="76"/>
      <c r="C46" s="76"/>
      <c r="D46" s="76"/>
      <c r="E46" s="76"/>
      <c r="F46" s="76"/>
      <c r="G46" s="76"/>
      <c r="H46" s="76"/>
      <c r="I46" s="76"/>
      <c r="J46" s="76"/>
      <c r="K46" s="76"/>
    </row>
    <row r="47" spans="1:11" x14ac:dyDescent="0.15">
      <c r="A47" s="76"/>
      <c r="B47" s="117" t="s">
        <v>56</v>
      </c>
      <c r="C47" s="130">
        <f>+ABS((E51-E6)/E6)</f>
        <v>0.21999999999999992</v>
      </c>
      <c r="D47" s="76"/>
      <c r="E47" s="76"/>
      <c r="F47" s="76"/>
      <c r="G47" s="76"/>
      <c r="H47" s="76"/>
      <c r="I47" s="76"/>
      <c r="J47" s="76"/>
      <c r="K47" s="76"/>
    </row>
    <row r="48" spans="1:11" x14ac:dyDescent="0.15">
      <c r="A48" s="76"/>
      <c r="B48" s="81"/>
      <c r="C48" s="82"/>
      <c r="D48" s="82"/>
      <c r="E48" s="116" t="s">
        <v>115</v>
      </c>
      <c r="F48" s="82"/>
      <c r="G48" s="82"/>
      <c r="H48" s="76"/>
      <c r="I48" s="76"/>
      <c r="J48" s="76"/>
      <c r="K48" s="76"/>
    </row>
    <row r="49" spans="1:11" x14ac:dyDescent="0.15">
      <c r="A49" s="76"/>
      <c r="B49" s="78" t="str">
        <f>+B19</f>
        <v>Number of Sales</v>
      </c>
      <c r="C49" s="90">
        <v>0</v>
      </c>
      <c r="D49" s="90">
        <f>+E49*0.5</f>
        <v>6543.2098765432083</v>
      </c>
      <c r="E49" s="101">
        <f>+H174</f>
        <v>13086.419753086417</v>
      </c>
      <c r="F49" s="90">
        <f>+E49*1.5</f>
        <v>19629.629629629624</v>
      </c>
      <c r="G49" s="90">
        <f>+E49*2</f>
        <v>26172.839506172833</v>
      </c>
      <c r="H49" s="76"/>
      <c r="I49" s="76"/>
      <c r="J49" s="76"/>
      <c r="K49" s="76"/>
    </row>
    <row r="50" spans="1:11" x14ac:dyDescent="0.15">
      <c r="A50" s="76"/>
      <c r="B50" s="83" t="str">
        <f t="shared" ref="B50:B60" si="6">+B20</f>
        <v>Business Revenue</v>
      </c>
      <c r="C50" s="99">
        <f>+C49*C51</f>
        <v>0</v>
      </c>
      <c r="D50" s="99">
        <f>+D49*D51</f>
        <v>215533.33333333326</v>
      </c>
      <c r="E50" s="99">
        <f>+E49*E51</f>
        <v>431066.66666666651</v>
      </c>
      <c r="F50" s="99">
        <f>+F49*F51</f>
        <v>646599.99999999977</v>
      </c>
      <c r="G50" s="99">
        <f>+G49*G51</f>
        <v>862133.33333333302</v>
      </c>
      <c r="H50" s="76"/>
      <c r="I50" s="76"/>
      <c r="J50" s="76"/>
      <c r="K50" s="76"/>
    </row>
    <row r="51" spans="1:11" x14ac:dyDescent="0.15">
      <c r="A51" s="76"/>
      <c r="B51" s="77" t="str">
        <f t="shared" si="6"/>
        <v>Unit Sales Price</v>
      </c>
      <c r="C51" s="99">
        <f>+$E51</f>
        <v>32.94</v>
      </c>
      <c r="D51" s="99">
        <f>+$E51</f>
        <v>32.94</v>
      </c>
      <c r="E51" s="99">
        <f>+G174</f>
        <v>32.94</v>
      </c>
      <c r="F51" s="99">
        <f>+$E51</f>
        <v>32.94</v>
      </c>
      <c r="G51" s="99">
        <f>+$E51</f>
        <v>32.94</v>
      </c>
      <c r="H51" s="76"/>
      <c r="I51" s="76"/>
      <c r="J51" s="76"/>
      <c r="K51" s="76"/>
    </row>
    <row r="52" spans="1:11" x14ac:dyDescent="0.15">
      <c r="A52" s="76"/>
      <c r="B52" s="83" t="str">
        <f>+B22</f>
        <v>Variable Costs</v>
      </c>
      <c r="C52" s="99">
        <f>+C53*C50</f>
        <v>0</v>
      </c>
      <c r="D52" s="99">
        <f>+D53*D50</f>
        <v>121899.99999999997</v>
      </c>
      <c r="E52" s="99">
        <f>+E54*E49</f>
        <v>243799.99999999994</v>
      </c>
      <c r="F52" s="99">
        <f>+F53*F50</f>
        <v>365699.99999999994</v>
      </c>
      <c r="G52" s="99">
        <f>+G53*G50</f>
        <v>487599.99999999988</v>
      </c>
      <c r="H52" s="76"/>
      <c r="I52" s="76"/>
      <c r="J52" s="76"/>
      <c r="K52" s="76"/>
    </row>
    <row r="53" spans="1:11" x14ac:dyDescent="0.15">
      <c r="A53" s="76"/>
      <c r="B53" s="77" t="str">
        <f t="shared" si="6"/>
        <v>Variable Cost %</v>
      </c>
      <c r="C53" s="100">
        <f t="shared" ref="C53:D55" si="7">+$E53</f>
        <v>0.56557377049180335</v>
      </c>
      <c r="D53" s="100">
        <f t="shared" si="7"/>
        <v>0.56557377049180335</v>
      </c>
      <c r="E53" s="100">
        <f>+E52/E50</f>
        <v>0.56557377049180335</v>
      </c>
      <c r="F53" s="100">
        <f t="shared" ref="F53:G55" si="8">+$E53</f>
        <v>0.56557377049180335</v>
      </c>
      <c r="G53" s="100">
        <f t="shared" si="8"/>
        <v>0.56557377049180335</v>
      </c>
      <c r="H53" s="76"/>
      <c r="I53" s="76"/>
      <c r="J53" s="76"/>
      <c r="K53" s="76"/>
    </row>
    <row r="54" spans="1:11" x14ac:dyDescent="0.15">
      <c r="A54" s="76"/>
      <c r="B54" s="77" t="str">
        <f t="shared" si="6"/>
        <v>Variable Costs per Unit</v>
      </c>
      <c r="C54" s="99">
        <f t="shared" si="7"/>
        <v>18.63</v>
      </c>
      <c r="D54" s="99">
        <f t="shared" si="7"/>
        <v>18.63</v>
      </c>
      <c r="E54" s="99">
        <f>+E39</f>
        <v>18.63</v>
      </c>
      <c r="F54" s="99">
        <f t="shared" si="8"/>
        <v>18.63</v>
      </c>
      <c r="G54" s="99">
        <f t="shared" si="8"/>
        <v>18.63</v>
      </c>
      <c r="H54" s="76"/>
      <c r="I54" s="76"/>
      <c r="J54" s="76"/>
      <c r="K54" s="76"/>
    </row>
    <row r="55" spans="1:11" x14ac:dyDescent="0.15">
      <c r="A55" s="76"/>
      <c r="B55" s="83" t="str">
        <f t="shared" si="6"/>
        <v>Fixed Costs</v>
      </c>
      <c r="C55" s="99">
        <f t="shared" si="7"/>
        <v>80000</v>
      </c>
      <c r="D55" s="99">
        <f t="shared" si="7"/>
        <v>80000</v>
      </c>
      <c r="E55" s="99">
        <f>IF(Input!$D$16=Input!$B$93,Input!$C$18,Input!$D$18)</f>
        <v>80000</v>
      </c>
      <c r="F55" s="99">
        <f t="shared" si="8"/>
        <v>80000</v>
      </c>
      <c r="G55" s="99">
        <f t="shared" si="8"/>
        <v>80000</v>
      </c>
      <c r="H55" s="76"/>
      <c r="I55" s="76"/>
      <c r="J55" s="76"/>
      <c r="K55" s="76"/>
    </row>
    <row r="56" spans="1:11" x14ac:dyDescent="0.15">
      <c r="A56" s="76"/>
      <c r="B56" s="83" t="str">
        <f t="shared" si="6"/>
        <v>Total Costs</v>
      </c>
      <c r="C56" s="99">
        <f>+C55+C52</f>
        <v>80000</v>
      </c>
      <c r="D56" s="99">
        <f>+D55+D52</f>
        <v>201899.99999999997</v>
      </c>
      <c r="E56" s="99">
        <f>+E55+E52</f>
        <v>323799.99999999994</v>
      </c>
      <c r="F56" s="99">
        <f>+F55+F52</f>
        <v>445699.99999999994</v>
      </c>
      <c r="G56" s="99">
        <f>+G55+G52</f>
        <v>567599.99999999988</v>
      </c>
      <c r="H56" s="76"/>
      <c r="I56" s="76"/>
      <c r="J56" s="76"/>
      <c r="K56" s="76"/>
    </row>
    <row r="57" spans="1:11" x14ac:dyDescent="0.15">
      <c r="A57" s="76"/>
      <c r="B57" s="83" t="str">
        <f t="shared" si="6"/>
        <v>Operating Surplus</v>
      </c>
      <c r="C57" s="91">
        <f>+C50-C52-C55</f>
        <v>-80000</v>
      </c>
      <c r="D57" s="91">
        <f>+D50-D52-D55</f>
        <v>13633.333333333285</v>
      </c>
      <c r="E57" s="99">
        <f>+E50-E52-E55</f>
        <v>107266.66666666657</v>
      </c>
      <c r="F57" s="91">
        <f>+F50-F52-F55</f>
        <v>200899.99999999983</v>
      </c>
      <c r="G57" s="91">
        <f>+G50-G52-G55</f>
        <v>294533.33333333314</v>
      </c>
      <c r="H57" s="76"/>
      <c r="I57" s="76"/>
      <c r="J57" s="76"/>
      <c r="K57" s="76"/>
    </row>
    <row r="58" spans="1:11" x14ac:dyDescent="0.15">
      <c r="A58" s="76"/>
      <c r="B58" s="129" t="str">
        <f t="shared" si="6"/>
        <v xml:space="preserve"> Surplus %</v>
      </c>
      <c r="C58" s="92" t="str">
        <f>+IF(C50=0,"N/A",C57/C50)</f>
        <v>N/A</v>
      </c>
      <c r="D58" s="92">
        <f>+IF(D50=0,"N/A",D57/D50)</f>
        <v>6.3253943705536456E-2</v>
      </c>
      <c r="E58" s="102">
        <f>+IF(E50=0,"N/A",E57/E50)</f>
        <v>0.24884008660686655</v>
      </c>
      <c r="F58" s="92">
        <f>+IF(F50=0,"N/A",F57/F50)</f>
        <v>0.31070213424064319</v>
      </c>
      <c r="G58" s="92">
        <f>+IF(G50=0,"N/A",G57/G50)</f>
        <v>0.34163315805753158</v>
      </c>
      <c r="H58" s="76"/>
      <c r="I58" s="76"/>
      <c r="J58" s="76"/>
      <c r="K58" s="76"/>
    </row>
    <row r="59" spans="1:11" x14ac:dyDescent="0.15">
      <c r="A59" s="76"/>
      <c r="B59" s="83" t="str">
        <f t="shared" si="6"/>
        <v>Breakeven Point Revenue</v>
      </c>
      <c r="C59" s="105">
        <f>+C55/(1-C53)</f>
        <v>184150.94339622644</v>
      </c>
      <c r="D59" s="105">
        <f>+D55/(1-D53)</f>
        <v>184150.94339622644</v>
      </c>
      <c r="E59" s="105">
        <f>+E55/(1-E53)</f>
        <v>184150.94339622644</v>
      </c>
      <c r="F59" s="105">
        <f>+F55/(1-F53)</f>
        <v>184150.94339622644</v>
      </c>
      <c r="G59" s="105">
        <f>+G55/(1-G53)</f>
        <v>184150.94339622644</v>
      </c>
      <c r="H59" s="76"/>
      <c r="I59" s="76"/>
      <c r="J59" s="76"/>
      <c r="K59" s="76"/>
    </row>
    <row r="60" spans="1:11" x14ac:dyDescent="0.15">
      <c r="A60" s="76"/>
      <c r="B60" s="84" t="str">
        <f t="shared" si="6"/>
        <v>Breakeven Point Number of Sales</v>
      </c>
      <c r="C60" s="106">
        <f>+C59/C51</f>
        <v>5590.4961565338936</v>
      </c>
      <c r="D60" s="106">
        <f>+D59/D51</f>
        <v>5590.4961565338936</v>
      </c>
      <c r="E60" s="106">
        <f>+E59/E51</f>
        <v>5590.4961565338936</v>
      </c>
      <c r="F60" s="106">
        <f>+F59/F51</f>
        <v>5590.4961565338936</v>
      </c>
      <c r="G60" s="106">
        <f>+G59/G51</f>
        <v>5590.4961565338936</v>
      </c>
      <c r="H60" s="76"/>
      <c r="I60" s="76"/>
      <c r="J60" s="76"/>
      <c r="K60" s="76"/>
    </row>
    <row r="61" spans="1:11" x14ac:dyDescent="0.15">
      <c r="A61" s="76"/>
      <c r="B61" s="76"/>
      <c r="C61" s="76"/>
      <c r="D61" s="76"/>
      <c r="E61" s="76"/>
      <c r="F61" s="76"/>
      <c r="G61" s="76"/>
      <c r="H61" s="76"/>
      <c r="I61" s="76"/>
      <c r="J61" s="76"/>
      <c r="K61" s="76"/>
    </row>
    <row r="62" spans="1:11" x14ac:dyDescent="0.15">
      <c r="A62" s="76"/>
      <c r="B62" s="76"/>
      <c r="C62" s="76"/>
      <c r="D62" s="76"/>
      <c r="E62" s="76"/>
      <c r="F62" s="76"/>
      <c r="G62" s="76"/>
      <c r="H62" s="76"/>
      <c r="I62" s="76"/>
      <c r="J62" s="76"/>
      <c r="K62" s="76"/>
    </row>
    <row r="63" spans="1:11" x14ac:dyDescent="0.15">
      <c r="A63" s="76"/>
      <c r="B63" s="76"/>
      <c r="C63" s="194" t="s">
        <v>85</v>
      </c>
      <c r="D63" s="195" t="s">
        <v>86</v>
      </c>
      <c r="E63" s="194" t="s">
        <v>87</v>
      </c>
      <c r="F63" s="76"/>
      <c r="G63" s="76"/>
      <c r="H63" s="76"/>
      <c r="I63" s="76"/>
      <c r="J63" s="76"/>
      <c r="K63" s="76"/>
    </row>
    <row r="64" spans="1:11" x14ac:dyDescent="0.15">
      <c r="A64" s="76"/>
      <c r="B64" s="196" t="str">
        <f>+B36</f>
        <v>Unit Sales Price</v>
      </c>
      <c r="C64" s="197">
        <f>+E21</f>
        <v>22.95</v>
      </c>
      <c r="D64" s="197">
        <f>+E6</f>
        <v>27</v>
      </c>
      <c r="E64" s="197">
        <f>+E36</f>
        <v>31.049999999999997</v>
      </c>
      <c r="F64" s="76"/>
      <c r="G64" s="76"/>
      <c r="H64" s="76"/>
      <c r="I64" s="76"/>
      <c r="J64" s="76"/>
      <c r="K64" s="76"/>
    </row>
    <row r="65" spans="1:11" x14ac:dyDescent="0.15">
      <c r="A65" s="76"/>
      <c r="B65" s="103" t="str">
        <f>+B34</f>
        <v>Number of Sales</v>
      </c>
      <c r="C65" s="105">
        <f>+E19</f>
        <v>23148.148148148146</v>
      </c>
      <c r="D65" s="105">
        <f>+E4</f>
        <v>18518.518518518518</v>
      </c>
      <c r="E65" s="105">
        <f>+E34</f>
        <v>14814.814814814816</v>
      </c>
      <c r="F65" s="76"/>
      <c r="G65" s="76"/>
      <c r="H65" s="76"/>
      <c r="I65" s="76"/>
      <c r="J65" s="76"/>
      <c r="K65" s="76"/>
    </row>
    <row r="66" spans="1:11" x14ac:dyDescent="0.15">
      <c r="A66" s="76"/>
      <c r="B66" s="103" t="str">
        <f>+B35</f>
        <v>Business Revenue</v>
      </c>
      <c r="C66" s="105">
        <f>+E20</f>
        <v>531249.99999999988</v>
      </c>
      <c r="D66" s="105">
        <f>+E5</f>
        <v>500000</v>
      </c>
      <c r="E66" s="105">
        <f>+E35</f>
        <v>460000</v>
      </c>
      <c r="F66" s="76"/>
      <c r="G66" s="76"/>
      <c r="H66" s="76"/>
      <c r="I66" s="76"/>
      <c r="J66" s="76"/>
      <c r="K66" s="76"/>
    </row>
    <row r="67" spans="1:11" x14ac:dyDescent="0.15">
      <c r="A67" s="76"/>
      <c r="B67" s="104" t="str">
        <f>+B42</f>
        <v>Operating Surplus</v>
      </c>
      <c r="C67" s="106">
        <f>+E27</f>
        <v>19999.999999999942</v>
      </c>
      <c r="D67" s="106">
        <f>+E12</f>
        <v>75000</v>
      </c>
      <c r="E67" s="106">
        <f>+E42</f>
        <v>104000</v>
      </c>
      <c r="F67" s="76"/>
      <c r="G67" s="76"/>
      <c r="H67" s="76"/>
      <c r="I67" s="76"/>
      <c r="J67" s="76"/>
      <c r="K67" s="76"/>
    </row>
    <row r="68" spans="1:11" x14ac:dyDescent="0.15">
      <c r="A68" s="76"/>
      <c r="B68" s="76"/>
      <c r="C68" s="76"/>
      <c r="D68" s="76"/>
      <c r="E68" s="76"/>
      <c r="F68" s="76"/>
      <c r="G68" s="76"/>
      <c r="H68" s="76"/>
      <c r="I68" s="76"/>
      <c r="J68" s="76"/>
      <c r="K68" s="76"/>
    </row>
    <row r="69" spans="1:11" x14ac:dyDescent="0.15">
      <c r="A69" s="76"/>
      <c r="B69" s="76"/>
      <c r="C69" s="76"/>
      <c r="D69" s="76"/>
      <c r="E69" s="76"/>
      <c r="F69" s="76"/>
      <c r="G69" s="76"/>
      <c r="H69" s="76"/>
      <c r="I69" s="76"/>
      <c r="J69" s="76"/>
      <c r="K69" s="76"/>
    </row>
    <row r="70" spans="1:11" x14ac:dyDescent="0.15">
      <c r="A70" s="76"/>
      <c r="B70" s="117" t="s">
        <v>54</v>
      </c>
      <c r="C70" s="198">
        <f>+((E19-E$4)/E$4)/((E21-E$6)/E$6)</f>
        <v>-1.6666666666666656</v>
      </c>
      <c r="D70" s="117"/>
      <c r="E70" s="117"/>
      <c r="F70" s="117"/>
      <c r="G70" s="117"/>
      <c r="H70" s="117"/>
      <c r="I70" s="76"/>
      <c r="J70" s="76"/>
      <c r="K70" s="76"/>
    </row>
    <row r="71" spans="1:11" x14ac:dyDescent="0.15">
      <c r="A71" s="76"/>
      <c r="B71" s="117" t="s">
        <v>55</v>
      </c>
      <c r="C71" s="198">
        <f>+((E34-E$4)/E$4)/((E36-E$6)/E$6)</f>
        <v>-1.3333333333333339</v>
      </c>
      <c r="D71" s="117"/>
      <c r="E71" s="117"/>
      <c r="F71" s="117"/>
      <c r="G71" s="117"/>
      <c r="H71" s="117"/>
      <c r="I71" s="76"/>
      <c r="J71" s="76"/>
      <c r="K71" s="76"/>
    </row>
    <row r="72" spans="1:11" ht="28" x14ac:dyDescent="0.15">
      <c r="A72" s="76"/>
      <c r="B72" s="199" t="s">
        <v>84</v>
      </c>
      <c r="C72" s="199" t="s">
        <v>84</v>
      </c>
      <c r="D72" s="200" t="str">
        <f>+B65</f>
        <v>Number of Sales</v>
      </c>
      <c r="E72" s="199" t="s">
        <v>70</v>
      </c>
      <c r="F72" s="199" t="s">
        <v>72</v>
      </c>
      <c r="G72" s="200" t="s">
        <v>56</v>
      </c>
      <c r="H72" s="200" t="s">
        <v>46</v>
      </c>
      <c r="I72" s="199" t="s">
        <v>70</v>
      </c>
      <c r="J72" s="199" t="s">
        <v>72</v>
      </c>
      <c r="K72" s="76"/>
    </row>
    <row r="73" spans="1:11" x14ac:dyDescent="0.15">
      <c r="A73" s="76"/>
      <c r="B73" s="130">
        <v>-0.5</v>
      </c>
      <c r="C73" s="76">
        <f>+$C$123*(1+B73)</f>
        <v>13.5</v>
      </c>
      <c r="D73" s="76">
        <f>(1+B73*C$70)*D$123</f>
        <v>33950.617283950611</v>
      </c>
      <c r="E73" s="76">
        <f>+D73*C73</f>
        <v>458333.33333333326</v>
      </c>
      <c r="F73" s="76">
        <f>+E73-(E$9*D73)-E$10</f>
        <v>-254166.66666666663</v>
      </c>
      <c r="G73" s="76" t="str">
        <f>IF($F73=$F$174,C73,"")</f>
        <v/>
      </c>
      <c r="H73" s="76" t="str">
        <f>IF($F73=$F$174,D73,"")</f>
        <v/>
      </c>
      <c r="I73" s="76" t="str">
        <f>IF($F73=$F$174,E73,"")</f>
        <v/>
      </c>
      <c r="J73" s="76" t="str">
        <f>IF($C73=$C$123,E73,"")</f>
        <v/>
      </c>
      <c r="K73" s="76"/>
    </row>
    <row r="74" spans="1:11" x14ac:dyDescent="0.15">
      <c r="A74" s="76"/>
      <c r="B74" s="130">
        <v>-0.49</v>
      </c>
      <c r="C74" s="76">
        <f t="shared" ref="C74:C137" si="9">+$C$123*(1+B74)</f>
        <v>13.77</v>
      </c>
      <c r="D74" s="76">
        <f t="shared" ref="D74:D122" si="10">(1+B74*C$70)*D$123</f>
        <v>33641.975308641959</v>
      </c>
      <c r="E74" s="76">
        <f t="shared" ref="E74:E137" si="11">+D74*C74</f>
        <v>463249.99999999977</v>
      </c>
      <c r="F74" s="76">
        <f t="shared" ref="F74:F137" si="12">+E74-(E$9*D74)-E$10</f>
        <v>-243499.99999999988</v>
      </c>
      <c r="G74" s="76" t="str">
        <f t="shared" ref="G74:G137" si="13">IF($F74=$F$174,C74,"")</f>
        <v/>
      </c>
      <c r="H74" s="76" t="str">
        <f t="shared" ref="H74:H137" si="14">IF($F74=$F$174,D74,"")</f>
        <v/>
      </c>
      <c r="I74" s="76" t="str">
        <f t="shared" ref="I74:I137" si="15">IF($F74=$F$174,E74,"")</f>
        <v/>
      </c>
      <c r="J74" s="76" t="str">
        <f t="shared" ref="J74:J137" si="16">IF($C74=$C$123,E74,"")</f>
        <v/>
      </c>
      <c r="K74" s="76"/>
    </row>
    <row r="75" spans="1:11" x14ac:dyDescent="0.15">
      <c r="A75" s="76"/>
      <c r="B75" s="130">
        <v>-0.48</v>
      </c>
      <c r="C75" s="76">
        <f t="shared" si="9"/>
        <v>14.040000000000001</v>
      </c>
      <c r="D75" s="76">
        <f t="shared" si="10"/>
        <v>33333.333333333321</v>
      </c>
      <c r="E75" s="76">
        <f t="shared" si="11"/>
        <v>467999.99999999988</v>
      </c>
      <c r="F75" s="76">
        <f t="shared" si="12"/>
        <v>-232999.99999999988</v>
      </c>
      <c r="G75" s="76" t="str">
        <f t="shared" si="13"/>
        <v/>
      </c>
      <c r="H75" s="76" t="str">
        <f t="shared" si="14"/>
        <v/>
      </c>
      <c r="I75" s="76" t="str">
        <f t="shared" si="15"/>
        <v/>
      </c>
      <c r="J75" s="76" t="str">
        <f t="shared" si="16"/>
        <v/>
      </c>
      <c r="K75" s="76"/>
    </row>
    <row r="76" spans="1:11" x14ac:dyDescent="0.15">
      <c r="A76" s="76"/>
      <c r="B76" s="130">
        <v>-0.47</v>
      </c>
      <c r="C76" s="76">
        <f t="shared" si="9"/>
        <v>14.31</v>
      </c>
      <c r="D76" s="76">
        <f t="shared" si="10"/>
        <v>33024.691358024684</v>
      </c>
      <c r="E76" s="76">
        <f t="shared" si="11"/>
        <v>472583.33333333326</v>
      </c>
      <c r="F76" s="76">
        <f t="shared" si="12"/>
        <v>-222666.66666666651</v>
      </c>
      <c r="G76" s="76" t="str">
        <f t="shared" si="13"/>
        <v/>
      </c>
      <c r="H76" s="76" t="str">
        <f t="shared" si="14"/>
        <v/>
      </c>
      <c r="I76" s="76" t="str">
        <f t="shared" si="15"/>
        <v/>
      </c>
      <c r="J76" s="76" t="str">
        <f t="shared" si="16"/>
        <v/>
      </c>
      <c r="K76" s="76"/>
    </row>
    <row r="77" spans="1:11" x14ac:dyDescent="0.15">
      <c r="A77" s="76"/>
      <c r="B77" s="130">
        <v>-0.46</v>
      </c>
      <c r="C77" s="76">
        <f t="shared" si="9"/>
        <v>14.580000000000002</v>
      </c>
      <c r="D77" s="76">
        <f t="shared" si="10"/>
        <v>32716.049382716039</v>
      </c>
      <c r="E77" s="76">
        <f t="shared" si="11"/>
        <v>476999.99999999988</v>
      </c>
      <c r="F77" s="76">
        <f t="shared" si="12"/>
        <v>-212499.99999999988</v>
      </c>
      <c r="G77" s="76" t="str">
        <f t="shared" si="13"/>
        <v/>
      </c>
      <c r="H77" s="76" t="str">
        <f t="shared" si="14"/>
        <v/>
      </c>
      <c r="I77" s="76" t="str">
        <f t="shared" si="15"/>
        <v/>
      </c>
      <c r="J77" s="76" t="str">
        <f t="shared" si="16"/>
        <v/>
      </c>
      <c r="K77" s="76"/>
    </row>
    <row r="78" spans="1:11" x14ac:dyDescent="0.15">
      <c r="A78" s="76"/>
      <c r="B78" s="130">
        <v>-0.45</v>
      </c>
      <c r="C78" s="76">
        <f t="shared" si="9"/>
        <v>14.850000000000001</v>
      </c>
      <c r="D78" s="76">
        <f t="shared" si="10"/>
        <v>32407.407407407398</v>
      </c>
      <c r="E78" s="76">
        <f t="shared" si="11"/>
        <v>481249.99999999988</v>
      </c>
      <c r="F78" s="76">
        <f t="shared" si="12"/>
        <v>-202499.99999999988</v>
      </c>
      <c r="G78" s="76" t="str">
        <f t="shared" si="13"/>
        <v/>
      </c>
      <c r="H78" s="76" t="str">
        <f t="shared" si="14"/>
        <v/>
      </c>
      <c r="I78" s="76" t="str">
        <f t="shared" si="15"/>
        <v/>
      </c>
      <c r="J78" s="76" t="str">
        <f t="shared" si="16"/>
        <v/>
      </c>
      <c r="K78" s="76"/>
    </row>
    <row r="79" spans="1:11" x14ac:dyDescent="0.15">
      <c r="A79" s="76"/>
      <c r="B79" s="130">
        <v>-0.44</v>
      </c>
      <c r="C79" s="76">
        <f t="shared" si="9"/>
        <v>15.120000000000001</v>
      </c>
      <c r="D79" s="76">
        <f t="shared" si="10"/>
        <v>32098.765432098757</v>
      </c>
      <c r="E79" s="76">
        <f t="shared" si="11"/>
        <v>485333.33333333326</v>
      </c>
      <c r="F79" s="76">
        <f t="shared" si="12"/>
        <v>-192666.66666666651</v>
      </c>
      <c r="G79" s="76" t="str">
        <f t="shared" si="13"/>
        <v/>
      </c>
      <c r="H79" s="76" t="str">
        <f t="shared" si="14"/>
        <v/>
      </c>
      <c r="I79" s="76" t="str">
        <f t="shared" si="15"/>
        <v/>
      </c>
      <c r="J79" s="76" t="str">
        <f t="shared" si="16"/>
        <v/>
      </c>
      <c r="K79" s="76"/>
    </row>
    <row r="80" spans="1:11" x14ac:dyDescent="0.15">
      <c r="A80" s="76"/>
      <c r="B80" s="130">
        <v>-0.43</v>
      </c>
      <c r="C80" s="76">
        <f t="shared" si="9"/>
        <v>15.390000000000002</v>
      </c>
      <c r="D80" s="76">
        <f t="shared" si="10"/>
        <v>31790.123456790116</v>
      </c>
      <c r="E80" s="76">
        <f t="shared" si="11"/>
        <v>489249.99999999994</v>
      </c>
      <c r="F80" s="76">
        <f t="shared" si="12"/>
        <v>-182999.99999999983</v>
      </c>
      <c r="G80" s="76" t="str">
        <f t="shared" si="13"/>
        <v/>
      </c>
      <c r="H80" s="76" t="str">
        <f t="shared" si="14"/>
        <v/>
      </c>
      <c r="I80" s="76" t="str">
        <f t="shared" si="15"/>
        <v/>
      </c>
      <c r="J80" s="76" t="str">
        <f t="shared" si="16"/>
        <v/>
      </c>
      <c r="K80" s="76"/>
    </row>
    <row r="81" spans="1:11" x14ac:dyDescent="0.15">
      <c r="A81" s="76"/>
      <c r="B81" s="130">
        <v>-0.42</v>
      </c>
      <c r="C81" s="76">
        <f t="shared" si="9"/>
        <v>15.660000000000002</v>
      </c>
      <c r="D81" s="76">
        <f t="shared" si="10"/>
        <v>31481.481481481471</v>
      </c>
      <c r="E81" s="76">
        <f t="shared" si="11"/>
        <v>492999.99999999988</v>
      </c>
      <c r="F81" s="76">
        <f t="shared" si="12"/>
        <v>-173499.99999999988</v>
      </c>
      <c r="G81" s="76" t="str">
        <f t="shared" si="13"/>
        <v/>
      </c>
      <c r="H81" s="76" t="str">
        <f t="shared" si="14"/>
        <v/>
      </c>
      <c r="I81" s="76" t="str">
        <f t="shared" si="15"/>
        <v/>
      </c>
      <c r="J81" s="76" t="str">
        <f t="shared" si="16"/>
        <v/>
      </c>
      <c r="K81" s="76"/>
    </row>
    <row r="82" spans="1:11" x14ac:dyDescent="0.15">
      <c r="A82" s="76"/>
      <c r="B82" s="130">
        <v>-0.41</v>
      </c>
      <c r="C82" s="76">
        <f t="shared" si="9"/>
        <v>15.930000000000001</v>
      </c>
      <c r="D82" s="76">
        <f t="shared" si="10"/>
        <v>31172.83950617283</v>
      </c>
      <c r="E82" s="76">
        <f t="shared" si="11"/>
        <v>496583.3333333332</v>
      </c>
      <c r="F82" s="76">
        <f t="shared" si="12"/>
        <v>-164166.66666666657</v>
      </c>
      <c r="G82" s="76" t="str">
        <f t="shared" si="13"/>
        <v/>
      </c>
      <c r="H82" s="76" t="str">
        <f t="shared" si="14"/>
        <v/>
      </c>
      <c r="I82" s="76" t="str">
        <f t="shared" si="15"/>
        <v/>
      </c>
      <c r="J82" s="76" t="str">
        <f t="shared" si="16"/>
        <v/>
      </c>
      <c r="K82" s="76"/>
    </row>
    <row r="83" spans="1:11" x14ac:dyDescent="0.15">
      <c r="A83" s="76"/>
      <c r="B83" s="130">
        <v>-0.4</v>
      </c>
      <c r="C83" s="76">
        <f t="shared" si="9"/>
        <v>16.2</v>
      </c>
      <c r="D83" s="76">
        <f t="shared" si="10"/>
        <v>30864.197530864189</v>
      </c>
      <c r="E83" s="76">
        <f t="shared" si="11"/>
        <v>499999.99999999983</v>
      </c>
      <c r="F83" s="76">
        <f t="shared" si="12"/>
        <v>-154999.99999999994</v>
      </c>
      <c r="G83" s="76" t="str">
        <f t="shared" si="13"/>
        <v/>
      </c>
      <c r="H83" s="76" t="str">
        <f t="shared" si="14"/>
        <v/>
      </c>
      <c r="I83" s="76" t="str">
        <f t="shared" si="15"/>
        <v/>
      </c>
      <c r="J83" s="76" t="str">
        <f t="shared" si="16"/>
        <v/>
      </c>
      <c r="K83" s="76"/>
    </row>
    <row r="84" spans="1:11" x14ac:dyDescent="0.15">
      <c r="A84" s="76"/>
      <c r="B84" s="130">
        <v>-0.39</v>
      </c>
      <c r="C84" s="76">
        <f t="shared" si="9"/>
        <v>16.47</v>
      </c>
      <c r="D84" s="76">
        <f t="shared" si="10"/>
        <v>30555.555555555544</v>
      </c>
      <c r="E84" s="76">
        <f t="shared" si="11"/>
        <v>503249.99999999977</v>
      </c>
      <c r="F84" s="76">
        <f t="shared" si="12"/>
        <v>-146000</v>
      </c>
      <c r="G84" s="76" t="str">
        <f t="shared" si="13"/>
        <v/>
      </c>
      <c r="H84" s="76" t="str">
        <f t="shared" si="14"/>
        <v/>
      </c>
      <c r="I84" s="76" t="str">
        <f t="shared" si="15"/>
        <v/>
      </c>
      <c r="J84" s="76" t="str">
        <f t="shared" si="16"/>
        <v/>
      </c>
      <c r="K84" s="76"/>
    </row>
    <row r="85" spans="1:11" x14ac:dyDescent="0.15">
      <c r="A85" s="76"/>
      <c r="B85" s="130">
        <v>-0.38</v>
      </c>
      <c r="C85" s="76">
        <f t="shared" si="9"/>
        <v>16.739999999999998</v>
      </c>
      <c r="D85" s="76">
        <f t="shared" si="10"/>
        <v>30246.913580246903</v>
      </c>
      <c r="E85" s="76">
        <f t="shared" si="11"/>
        <v>506333.33333333308</v>
      </c>
      <c r="F85" s="76">
        <f t="shared" si="12"/>
        <v>-137166.66666666669</v>
      </c>
      <c r="G85" s="76" t="str">
        <f t="shared" si="13"/>
        <v/>
      </c>
      <c r="H85" s="76" t="str">
        <f t="shared" si="14"/>
        <v/>
      </c>
      <c r="I85" s="76" t="str">
        <f t="shared" si="15"/>
        <v/>
      </c>
      <c r="J85" s="76" t="str">
        <f t="shared" si="16"/>
        <v/>
      </c>
      <c r="K85" s="76"/>
    </row>
    <row r="86" spans="1:11" x14ac:dyDescent="0.15">
      <c r="A86" s="76"/>
      <c r="B86" s="130">
        <v>-0.37</v>
      </c>
      <c r="C86" s="76">
        <f t="shared" si="9"/>
        <v>17.010000000000002</v>
      </c>
      <c r="D86" s="76">
        <f t="shared" si="10"/>
        <v>29938.271604938265</v>
      </c>
      <c r="E86" s="76">
        <f t="shared" si="11"/>
        <v>509249.99999999994</v>
      </c>
      <c r="F86" s="76">
        <f t="shared" si="12"/>
        <v>-128499.99999999994</v>
      </c>
      <c r="G86" s="76" t="str">
        <f t="shared" si="13"/>
        <v/>
      </c>
      <c r="H86" s="76" t="str">
        <f t="shared" si="14"/>
        <v/>
      </c>
      <c r="I86" s="76" t="str">
        <f t="shared" si="15"/>
        <v/>
      </c>
      <c r="J86" s="76" t="str">
        <f t="shared" si="16"/>
        <v/>
      </c>
      <c r="K86" s="76"/>
    </row>
    <row r="87" spans="1:11" x14ac:dyDescent="0.15">
      <c r="A87" s="76"/>
      <c r="B87" s="130">
        <v>-0.36</v>
      </c>
      <c r="C87" s="76">
        <f t="shared" si="9"/>
        <v>17.28</v>
      </c>
      <c r="D87" s="76">
        <f t="shared" si="10"/>
        <v>29629.629629629624</v>
      </c>
      <c r="E87" s="76">
        <f t="shared" si="11"/>
        <v>511999.99999999994</v>
      </c>
      <c r="F87" s="76">
        <f t="shared" si="12"/>
        <v>-119999.99999999994</v>
      </c>
      <c r="G87" s="76" t="str">
        <f t="shared" si="13"/>
        <v/>
      </c>
      <c r="H87" s="76" t="str">
        <f t="shared" si="14"/>
        <v/>
      </c>
      <c r="I87" s="76" t="str">
        <f t="shared" si="15"/>
        <v/>
      </c>
      <c r="J87" s="76" t="str">
        <f t="shared" si="16"/>
        <v/>
      </c>
      <c r="K87" s="76"/>
    </row>
    <row r="88" spans="1:11" x14ac:dyDescent="0.15">
      <c r="A88" s="76"/>
      <c r="B88" s="130">
        <v>-0.35</v>
      </c>
      <c r="C88" s="76">
        <f t="shared" si="9"/>
        <v>17.55</v>
      </c>
      <c r="D88" s="76">
        <f t="shared" si="10"/>
        <v>29320.987654320983</v>
      </c>
      <c r="E88" s="76">
        <f t="shared" si="11"/>
        <v>514583.33333333326</v>
      </c>
      <c r="F88" s="76">
        <f t="shared" si="12"/>
        <v>-111666.66666666663</v>
      </c>
      <c r="G88" s="76" t="str">
        <f t="shared" si="13"/>
        <v/>
      </c>
      <c r="H88" s="76" t="str">
        <f t="shared" si="14"/>
        <v/>
      </c>
      <c r="I88" s="76" t="str">
        <f t="shared" si="15"/>
        <v/>
      </c>
      <c r="J88" s="76" t="str">
        <f t="shared" si="16"/>
        <v/>
      </c>
      <c r="K88" s="76"/>
    </row>
    <row r="89" spans="1:11" x14ac:dyDescent="0.15">
      <c r="A89" s="76"/>
      <c r="B89" s="130">
        <v>-0.34</v>
      </c>
      <c r="C89" s="76">
        <f t="shared" si="9"/>
        <v>17.819999999999997</v>
      </c>
      <c r="D89" s="76">
        <f t="shared" si="10"/>
        <v>29012.345679012342</v>
      </c>
      <c r="E89" s="76">
        <f t="shared" si="11"/>
        <v>516999.99999999983</v>
      </c>
      <c r="F89" s="76">
        <f t="shared" si="12"/>
        <v>-103500.00000000006</v>
      </c>
      <c r="G89" s="76" t="str">
        <f t="shared" si="13"/>
        <v/>
      </c>
      <c r="H89" s="76" t="str">
        <f t="shared" si="14"/>
        <v/>
      </c>
      <c r="I89" s="76" t="str">
        <f t="shared" si="15"/>
        <v/>
      </c>
      <c r="J89" s="76" t="str">
        <f t="shared" si="16"/>
        <v/>
      </c>
      <c r="K89" s="76"/>
    </row>
    <row r="90" spans="1:11" x14ac:dyDescent="0.15">
      <c r="A90" s="76"/>
      <c r="B90" s="130">
        <v>-0.33</v>
      </c>
      <c r="C90" s="76">
        <f t="shared" si="9"/>
        <v>18.089999999999996</v>
      </c>
      <c r="D90" s="76">
        <f t="shared" si="10"/>
        <v>28703.703703703701</v>
      </c>
      <c r="E90" s="76">
        <f t="shared" si="11"/>
        <v>519249.99999999983</v>
      </c>
      <c r="F90" s="76">
        <f t="shared" si="12"/>
        <v>-95500.000000000058</v>
      </c>
      <c r="G90" s="76" t="str">
        <f t="shared" si="13"/>
        <v/>
      </c>
      <c r="H90" s="76" t="str">
        <f t="shared" si="14"/>
        <v/>
      </c>
      <c r="I90" s="76" t="str">
        <f t="shared" si="15"/>
        <v/>
      </c>
      <c r="J90" s="76" t="str">
        <f t="shared" si="16"/>
        <v/>
      </c>
      <c r="K90" s="76"/>
    </row>
    <row r="91" spans="1:11" x14ac:dyDescent="0.15">
      <c r="A91" s="76"/>
      <c r="B91" s="130">
        <v>-0.32</v>
      </c>
      <c r="C91" s="76">
        <f t="shared" si="9"/>
        <v>18.36</v>
      </c>
      <c r="D91" s="76">
        <f t="shared" si="10"/>
        <v>28395.061728395056</v>
      </c>
      <c r="E91" s="76">
        <f t="shared" si="11"/>
        <v>521333.3333333332</v>
      </c>
      <c r="F91" s="76">
        <f t="shared" si="12"/>
        <v>-87666.666666666686</v>
      </c>
      <c r="G91" s="76" t="str">
        <f t="shared" si="13"/>
        <v/>
      </c>
      <c r="H91" s="76" t="str">
        <f t="shared" si="14"/>
        <v/>
      </c>
      <c r="I91" s="76" t="str">
        <f t="shared" si="15"/>
        <v/>
      </c>
      <c r="J91" s="76" t="str">
        <f t="shared" si="16"/>
        <v/>
      </c>
      <c r="K91" s="76"/>
    </row>
    <row r="92" spans="1:11" x14ac:dyDescent="0.15">
      <c r="A92" s="76"/>
      <c r="B92" s="130">
        <v>-0.31</v>
      </c>
      <c r="C92" s="76">
        <f t="shared" si="9"/>
        <v>18.63</v>
      </c>
      <c r="D92" s="76">
        <f t="shared" si="10"/>
        <v>28086.419753086415</v>
      </c>
      <c r="E92" s="76">
        <f t="shared" si="11"/>
        <v>523249.99999999988</v>
      </c>
      <c r="F92" s="76">
        <f t="shared" si="12"/>
        <v>-80000</v>
      </c>
      <c r="G92" s="76" t="str">
        <f t="shared" si="13"/>
        <v/>
      </c>
      <c r="H92" s="76" t="str">
        <f t="shared" si="14"/>
        <v/>
      </c>
      <c r="I92" s="76" t="str">
        <f t="shared" si="15"/>
        <v/>
      </c>
      <c r="J92" s="76" t="str">
        <f t="shared" si="16"/>
        <v/>
      </c>
      <c r="K92" s="76"/>
    </row>
    <row r="93" spans="1:11" x14ac:dyDescent="0.15">
      <c r="A93" s="76"/>
      <c r="B93" s="130">
        <v>-0.3</v>
      </c>
      <c r="C93" s="76">
        <f t="shared" si="9"/>
        <v>18.899999999999999</v>
      </c>
      <c r="D93" s="76">
        <f t="shared" si="10"/>
        <v>27777.77777777777</v>
      </c>
      <c r="E93" s="76">
        <f t="shared" si="11"/>
        <v>524999.99999999977</v>
      </c>
      <c r="F93" s="76">
        <f t="shared" si="12"/>
        <v>-72500.000000000058</v>
      </c>
      <c r="G93" s="76" t="str">
        <f t="shared" si="13"/>
        <v/>
      </c>
      <c r="H93" s="76" t="str">
        <f t="shared" si="14"/>
        <v/>
      </c>
      <c r="I93" s="76" t="str">
        <f t="shared" si="15"/>
        <v/>
      </c>
      <c r="J93" s="76" t="str">
        <f t="shared" si="16"/>
        <v/>
      </c>
      <c r="K93" s="76"/>
    </row>
    <row r="94" spans="1:11" x14ac:dyDescent="0.15">
      <c r="A94" s="76"/>
      <c r="B94" s="130">
        <v>-0.28999999999999998</v>
      </c>
      <c r="C94" s="76">
        <f t="shared" si="9"/>
        <v>19.169999999999998</v>
      </c>
      <c r="D94" s="76">
        <f t="shared" si="10"/>
        <v>27469.135802469129</v>
      </c>
      <c r="E94" s="76">
        <f t="shared" si="11"/>
        <v>526583.33333333314</v>
      </c>
      <c r="F94" s="76">
        <f t="shared" si="12"/>
        <v>-65166.666666666686</v>
      </c>
      <c r="G94" s="76" t="str">
        <f t="shared" si="13"/>
        <v/>
      </c>
      <c r="H94" s="76" t="str">
        <f t="shared" si="14"/>
        <v/>
      </c>
      <c r="I94" s="76" t="str">
        <f t="shared" si="15"/>
        <v/>
      </c>
      <c r="J94" s="76" t="str">
        <f t="shared" si="16"/>
        <v/>
      </c>
      <c r="K94" s="76"/>
    </row>
    <row r="95" spans="1:11" x14ac:dyDescent="0.15">
      <c r="A95" s="76"/>
      <c r="B95" s="130">
        <v>-0.28000000000000003</v>
      </c>
      <c r="C95" s="76">
        <f t="shared" si="9"/>
        <v>19.439999999999998</v>
      </c>
      <c r="D95" s="76">
        <f t="shared" si="10"/>
        <v>27160.493827160488</v>
      </c>
      <c r="E95" s="76">
        <f t="shared" si="11"/>
        <v>527999.99999999977</v>
      </c>
      <c r="F95" s="76">
        <f t="shared" si="12"/>
        <v>-58000.000000000116</v>
      </c>
      <c r="G95" s="76" t="str">
        <f t="shared" si="13"/>
        <v/>
      </c>
      <c r="H95" s="76" t="str">
        <f t="shared" si="14"/>
        <v/>
      </c>
      <c r="I95" s="76" t="str">
        <f t="shared" si="15"/>
        <v/>
      </c>
      <c r="J95" s="76" t="str">
        <f t="shared" si="16"/>
        <v/>
      </c>
      <c r="K95" s="76"/>
    </row>
    <row r="96" spans="1:11" x14ac:dyDescent="0.15">
      <c r="A96" s="76"/>
      <c r="B96" s="130">
        <v>-0.27</v>
      </c>
      <c r="C96" s="76">
        <f t="shared" si="9"/>
        <v>19.71</v>
      </c>
      <c r="D96" s="76">
        <f t="shared" si="10"/>
        <v>26851.851851851847</v>
      </c>
      <c r="E96" s="76">
        <f t="shared" si="11"/>
        <v>529249.99999999988</v>
      </c>
      <c r="F96" s="76">
        <f t="shared" si="12"/>
        <v>-51000</v>
      </c>
      <c r="G96" s="76" t="str">
        <f t="shared" si="13"/>
        <v/>
      </c>
      <c r="H96" s="76" t="str">
        <f t="shared" si="14"/>
        <v/>
      </c>
      <c r="I96" s="76" t="str">
        <f t="shared" si="15"/>
        <v/>
      </c>
      <c r="J96" s="76" t="str">
        <f t="shared" si="16"/>
        <v/>
      </c>
      <c r="K96" s="76"/>
    </row>
    <row r="97" spans="1:11" x14ac:dyDescent="0.15">
      <c r="A97" s="76"/>
      <c r="B97" s="130">
        <v>-0.26</v>
      </c>
      <c r="C97" s="76">
        <f t="shared" si="9"/>
        <v>19.98</v>
      </c>
      <c r="D97" s="76">
        <f t="shared" si="10"/>
        <v>26543.209876543206</v>
      </c>
      <c r="E97" s="76">
        <f t="shared" si="11"/>
        <v>530333.33333333326</v>
      </c>
      <c r="F97" s="76">
        <f t="shared" si="12"/>
        <v>-44166.666666666628</v>
      </c>
      <c r="G97" s="76" t="str">
        <f t="shared" si="13"/>
        <v/>
      </c>
      <c r="H97" s="76" t="str">
        <f t="shared" si="14"/>
        <v/>
      </c>
      <c r="I97" s="76" t="str">
        <f t="shared" si="15"/>
        <v/>
      </c>
      <c r="J97" s="76" t="str">
        <f t="shared" si="16"/>
        <v/>
      </c>
      <c r="K97" s="76"/>
    </row>
    <row r="98" spans="1:11" x14ac:dyDescent="0.15">
      <c r="A98" s="76"/>
      <c r="B98" s="130">
        <v>-0.25</v>
      </c>
      <c r="C98" s="76">
        <f t="shared" si="9"/>
        <v>20.25</v>
      </c>
      <c r="D98" s="76">
        <f t="shared" si="10"/>
        <v>26234.567901234564</v>
      </c>
      <c r="E98" s="76">
        <f t="shared" si="11"/>
        <v>531249.99999999988</v>
      </c>
      <c r="F98" s="76">
        <f t="shared" si="12"/>
        <v>-37500</v>
      </c>
      <c r="G98" s="76" t="str">
        <f t="shared" si="13"/>
        <v/>
      </c>
      <c r="H98" s="76" t="str">
        <f t="shared" si="14"/>
        <v/>
      </c>
      <c r="I98" s="76" t="str">
        <f t="shared" si="15"/>
        <v/>
      </c>
      <c r="J98" s="76" t="str">
        <f t="shared" si="16"/>
        <v/>
      </c>
      <c r="K98" s="76"/>
    </row>
    <row r="99" spans="1:11" x14ac:dyDescent="0.15">
      <c r="A99" s="76"/>
      <c r="B99" s="130">
        <v>-0.24</v>
      </c>
      <c r="C99" s="76">
        <f t="shared" si="9"/>
        <v>20.52</v>
      </c>
      <c r="D99" s="76">
        <f t="shared" si="10"/>
        <v>25925.92592592592</v>
      </c>
      <c r="E99" s="76">
        <f t="shared" si="11"/>
        <v>531999.99999999988</v>
      </c>
      <c r="F99" s="76">
        <f t="shared" si="12"/>
        <v>-31000</v>
      </c>
      <c r="G99" s="76" t="str">
        <f t="shared" si="13"/>
        <v/>
      </c>
      <c r="H99" s="76" t="str">
        <f t="shared" si="14"/>
        <v/>
      </c>
      <c r="I99" s="76" t="str">
        <f t="shared" si="15"/>
        <v/>
      </c>
      <c r="J99" s="76" t="str">
        <f t="shared" si="16"/>
        <v/>
      </c>
      <c r="K99" s="76"/>
    </row>
    <row r="100" spans="1:11" x14ac:dyDescent="0.15">
      <c r="A100" s="76"/>
      <c r="B100" s="130">
        <v>-0.23</v>
      </c>
      <c r="C100" s="76">
        <f t="shared" si="9"/>
        <v>20.79</v>
      </c>
      <c r="D100" s="76">
        <f t="shared" si="10"/>
        <v>25617.283950617279</v>
      </c>
      <c r="E100" s="76">
        <f t="shared" si="11"/>
        <v>532583.33333333326</v>
      </c>
      <c r="F100" s="76">
        <f t="shared" si="12"/>
        <v>-24666.666666666628</v>
      </c>
      <c r="G100" s="76" t="str">
        <f t="shared" si="13"/>
        <v/>
      </c>
      <c r="H100" s="76" t="str">
        <f t="shared" si="14"/>
        <v/>
      </c>
      <c r="I100" s="76" t="str">
        <f t="shared" si="15"/>
        <v/>
      </c>
      <c r="J100" s="76" t="str">
        <f t="shared" si="16"/>
        <v/>
      </c>
      <c r="K100" s="76"/>
    </row>
    <row r="101" spans="1:11" x14ac:dyDescent="0.15">
      <c r="A101" s="76"/>
      <c r="B101" s="130">
        <v>-0.22</v>
      </c>
      <c r="C101" s="76">
        <f t="shared" si="9"/>
        <v>21.060000000000002</v>
      </c>
      <c r="D101" s="76">
        <f t="shared" si="10"/>
        <v>25308.641975308637</v>
      </c>
      <c r="E101" s="76">
        <f t="shared" si="11"/>
        <v>533000</v>
      </c>
      <c r="F101" s="76">
        <f t="shared" si="12"/>
        <v>-18499.999999999884</v>
      </c>
      <c r="G101" s="76" t="str">
        <f t="shared" si="13"/>
        <v/>
      </c>
      <c r="H101" s="76" t="str">
        <f t="shared" si="14"/>
        <v/>
      </c>
      <c r="I101" s="76" t="str">
        <f t="shared" si="15"/>
        <v/>
      </c>
      <c r="J101" s="76" t="str">
        <f t="shared" si="16"/>
        <v/>
      </c>
      <c r="K101" s="76"/>
    </row>
    <row r="102" spans="1:11" x14ac:dyDescent="0.15">
      <c r="A102" s="76"/>
      <c r="B102" s="130">
        <v>-0.21</v>
      </c>
      <c r="C102" s="76">
        <f t="shared" si="9"/>
        <v>21.330000000000002</v>
      </c>
      <c r="D102" s="76">
        <f t="shared" si="10"/>
        <v>24999.999999999993</v>
      </c>
      <c r="E102" s="76">
        <f t="shared" si="11"/>
        <v>533249.99999999988</v>
      </c>
      <c r="F102" s="76">
        <f t="shared" si="12"/>
        <v>-12499.999999999942</v>
      </c>
      <c r="G102" s="76" t="str">
        <f t="shared" si="13"/>
        <v/>
      </c>
      <c r="H102" s="76" t="str">
        <f t="shared" si="14"/>
        <v/>
      </c>
      <c r="I102" s="76" t="str">
        <f t="shared" si="15"/>
        <v/>
      </c>
      <c r="J102" s="76" t="str">
        <f t="shared" si="16"/>
        <v/>
      </c>
      <c r="K102" s="76"/>
    </row>
    <row r="103" spans="1:11" x14ac:dyDescent="0.15">
      <c r="A103" s="76"/>
      <c r="B103" s="130">
        <v>-0.2</v>
      </c>
      <c r="C103" s="76">
        <f t="shared" si="9"/>
        <v>21.6</v>
      </c>
      <c r="D103" s="76">
        <f t="shared" si="10"/>
        <v>24691.358024691352</v>
      </c>
      <c r="E103" s="76">
        <f t="shared" si="11"/>
        <v>533333.33333333326</v>
      </c>
      <c r="F103" s="76">
        <f t="shared" si="12"/>
        <v>-6666.6666666666279</v>
      </c>
      <c r="G103" s="76" t="str">
        <f t="shared" si="13"/>
        <v/>
      </c>
      <c r="H103" s="76" t="str">
        <f t="shared" si="14"/>
        <v/>
      </c>
      <c r="I103" s="76" t="str">
        <f t="shared" si="15"/>
        <v/>
      </c>
      <c r="J103" s="76" t="str">
        <f t="shared" si="16"/>
        <v/>
      </c>
      <c r="K103" s="76"/>
    </row>
    <row r="104" spans="1:11" x14ac:dyDescent="0.15">
      <c r="A104" s="76"/>
      <c r="B104" s="130">
        <v>-0.19</v>
      </c>
      <c r="C104" s="76">
        <f t="shared" si="9"/>
        <v>21.87</v>
      </c>
      <c r="D104" s="76">
        <f t="shared" si="10"/>
        <v>24382.71604938271</v>
      </c>
      <c r="E104" s="76">
        <f t="shared" si="11"/>
        <v>533249.99999999988</v>
      </c>
      <c r="F104" s="76">
        <f t="shared" si="12"/>
        <v>-1000</v>
      </c>
      <c r="G104" s="76" t="str">
        <f t="shared" si="13"/>
        <v/>
      </c>
      <c r="H104" s="76" t="str">
        <f t="shared" si="14"/>
        <v/>
      </c>
      <c r="I104" s="76" t="str">
        <f t="shared" si="15"/>
        <v/>
      </c>
      <c r="J104" s="76" t="str">
        <f t="shared" si="16"/>
        <v/>
      </c>
      <c r="K104" s="76"/>
    </row>
    <row r="105" spans="1:11" x14ac:dyDescent="0.15">
      <c r="A105" s="76"/>
      <c r="B105" s="130">
        <v>-0.18</v>
      </c>
      <c r="C105" s="76">
        <f t="shared" si="9"/>
        <v>22.14</v>
      </c>
      <c r="D105" s="76">
        <f t="shared" si="10"/>
        <v>24074.074074074069</v>
      </c>
      <c r="E105" s="76">
        <f t="shared" si="11"/>
        <v>532999.99999999988</v>
      </c>
      <c r="F105" s="76">
        <f t="shared" si="12"/>
        <v>4500</v>
      </c>
      <c r="G105" s="76" t="str">
        <f t="shared" si="13"/>
        <v/>
      </c>
      <c r="H105" s="76" t="str">
        <f t="shared" si="14"/>
        <v/>
      </c>
      <c r="I105" s="76" t="str">
        <f t="shared" si="15"/>
        <v/>
      </c>
      <c r="J105" s="76" t="str">
        <f t="shared" si="16"/>
        <v/>
      </c>
      <c r="K105" s="76"/>
    </row>
    <row r="106" spans="1:11" x14ac:dyDescent="0.15">
      <c r="A106" s="76"/>
      <c r="B106" s="130">
        <v>-0.17</v>
      </c>
      <c r="C106" s="76">
        <f t="shared" si="9"/>
        <v>22.41</v>
      </c>
      <c r="D106" s="76">
        <f t="shared" si="10"/>
        <v>23765.432098765428</v>
      </c>
      <c r="E106" s="76">
        <f t="shared" si="11"/>
        <v>532583.33333333326</v>
      </c>
      <c r="F106" s="76">
        <f t="shared" si="12"/>
        <v>9833.3333333333721</v>
      </c>
      <c r="G106" s="76" t="str">
        <f t="shared" si="13"/>
        <v/>
      </c>
      <c r="H106" s="76" t="str">
        <f t="shared" si="14"/>
        <v/>
      </c>
      <c r="I106" s="76" t="str">
        <f t="shared" si="15"/>
        <v/>
      </c>
      <c r="J106" s="76" t="str">
        <f t="shared" si="16"/>
        <v/>
      </c>
      <c r="K106" s="76"/>
    </row>
    <row r="107" spans="1:11" x14ac:dyDescent="0.15">
      <c r="A107" s="76"/>
      <c r="B107" s="130">
        <v>-0.16</v>
      </c>
      <c r="C107" s="76">
        <f t="shared" si="9"/>
        <v>22.68</v>
      </c>
      <c r="D107" s="76">
        <f t="shared" si="10"/>
        <v>23456.790123456787</v>
      </c>
      <c r="E107" s="76">
        <f t="shared" si="11"/>
        <v>531999.99999999988</v>
      </c>
      <c r="F107" s="76">
        <f t="shared" si="12"/>
        <v>14999.999999999942</v>
      </c>
      <c r="G107" s="76" t="str">
        <f t="shared" si="13"/>
        <v/>
      </c>
      <c r="H107" s="76" t="str">
        <f t="shared" si="14"/>
        <v/>
      </c>
      <c r="I107" s="76" t="str">
        <f t="shared" si="15"/>
        <v/>
      </c>
      <c r="J107" s="76" t="str">
        <f t="shared" si="16"/>
        <v/>
      </c>
      <c r="K107" s="76"/>
    </row>
    <row r="108" spans="1:11" x14ac:dyDescent="0.15">
      <c r="A108" s="76"/>
      <c r="B108" s="130">
        <v>-0.15</v>
      </c>
      <c r="C108" s="76">
        <f t="shared" si="9"/>
        <v>22.95</v>
      </c>
      <c r="D108" s="76">
        <f t="shared" si="10"/>
        <v>23148.148148148142</v>
      </c>
      <c r="E108" s="76">
        <f t="shared" si="11"/>
        <v>531249.99999999988</v>
      </c>
      <c r="F108" s="76">
        <f t="shared" si="12"/>
        <v>20000</v>
      </c>
      <c r="G108" s="76" t="str">
        <f t="shared" si="13"/>
        <v/>
      </c>
      <c r="H108" s="76" t="str">
        <f t="shared" si="14"/>
        <v/>
      </c>
      <c r="I108" s="76" t="str">
        <f t="shared" si="15"/>
        <v/>
      </c>
      <c r="J108" s="76" t="str">
        <f t="shared" si="16"/>
        <v/>
      </c>
      <c r="K108" s="76"/>
    </row>
    <row r="109" spans="1:11" x14ac:dyDescent="0.15">
      <c r="A109" s="76"/>
      <c r="B109" s="130">
        <v>-0.14000000000000001</v>
      </c>
      <c r="C109" s="76">
        <f t="shared" si="9"/>
        <v>23.22</v>
      </c>
      <c r="D109" s="76">
        <f t="shared" si="10"/>
        <v>22839.506172839501</v>
      </c>
      <c r="E109" s="76">
        <f t="shared" si="11"/>
        <v>530333.33333333314</v>
      </c>
      <c r="F109" s="76">
        <f t="shared" si="12"/>
        <v>24833.333333333256</v>
      </c>
      <c r="G109" s="76" t="str">
        <f t="shared" si="13"/>
        <v/>
      </c>
      <c r="H109" s="76" t="str">
        <f t="shared" si="14"/>
        <v/>
      </c>
      <c r="I109" s="76" t="str">
        <f t="shared" si="15"/>
        <v/>
      </c>
      <c r="J109" s="76" t="str">
        <f t="shared" si="16"/>
        <v/>
      </c>
      <c r="K109" s="76"/>
    </row>
    <row r="110" spans="1:11" x14ac:dyDescent="0.15">
      <c r="A110" s="76"/>
      <c r="B110" s="130">
        <v>-0.13</v>
      </c>
      <c r="C110" s="76">
        <f t="shared" si="9"/>
        <v>23.49</v>
      </c>
      <c r="D110" s="76">
        <f t="shared" si="10"/>
        <v>22530.864197530864</v>
      </c>
      <c r="E110" s="76">
        <f t="shared" si="11"/>
        <v>529250</v>
      </c>
      <c r="F110" s="76">
        <f t="shared" si="12"/>
        <v>29500.000000000058</v>
      </c>
      <c r="G110" s="76" t="str">
        <f t="shared" si="13"/>
        <v/>
      </c>
      <c r="H110" s="76" t="str">
        <f t="shared" si="14"/>
        <v/>
      </c>
      <c r="I110" s="76" t="str">
        <f t="shared" si="15"/>
        <v/>
      </c>
      <c r="J110" s="76" t="str">
        <f t="shared" si="16"/>
        <v/>
      </c>
      <c r="K110" s="76"/>
    </row>
    <row r="111" spans="1:11" x14ac:dyDescent="0.15">
      <c r="A111" s="76"/>
      <c r="B111" s="130">
        <v>-0.12</v>
      </c>
      <c r="C111" s="76">
        <f t="shared" si="9"/>
        <v>23.76</v>
      </c>
      <c r="D111" s="76">
        <f t="shared" si="10"/>
        <v>22222.222222222223</v>
      </c>
      <c r="E111" s="76">
        <f t="shared" si="11"/>
        <v>528000</v>
      </c>
      <c r="F111" s="76">
        <f t="shared" si="12"/>
        <v>34000</v>
      </c>
      <c r="G111" s="76" t="str">
        <f t="shared" si="13"/>
        <v/>
      </c>
      <c r="H111" s="76" t="str">
        <f t="shared" si="14"/>
        <v/>
      </c>
      <c r="I111" s="76" t="str">
        <f t="shared" si="15"/>
        <v/>
      </c>
      <c r="J111" s="76" t="str">
        <f t="shared" si="16"/>
        <v/>
      </c>
      <c r="K111" s="76"/>
    </row>
    <row r="112" spans="1:11" x14ac:dyDescent="0.15">
      <c r="A112" s="76"/>
      <c r="B112" s="130">
        <v>-0.11</v>
      </c>
      <c r="C112" s="76">
        <f t="shared" si="9"/>
        <v>24.03</v>
      </c>
      <c r="D112" s="76">
        <f t="shared" si="10"/>
        <v>21913.580246913578</v>
      </c>
      <c r="E112" s="76">
        <f t="shared" si="11"/>
        <v>526583.33333333326</v>
      </c>
      <c r="F112" s="76">
        <f t="shared" si="12"/>
        <v>38333.333333333314</v>
      </c>
      <c r="G112" s="76" t="str">
        <f t="shared" si="13"/>
        <v/>
      </c>
      <c r="H112" s="76" t="str">
        <f t="shared" si="14"/>
        <v/>
      </c>
      <c r="I112" s="76" t="str">
        <f t="shared" si="15"/>
        <v/>
      </c>
      <c r="J112" s="76" t="str">
        <f t="shared" si="16"/>
        <v/>
      </c>
      <c r="K112" s="76"/>
    </row>
    <row r="113" spans="1:11" x14ac:dyDescent="0.15">
      <c r="A113" s="76"/>
      <c r="B113" s="130">
        <v>-0.1</v>
      </c>
      <c r="C113" s="76">
        <f t="shared" si="9"/>
        <v>24.3</v>
      </c>
      <c r="D113" s="76">
        <f t="shared" si="10"/>
        <v>21604.938271604937</v>
      </c>
      <c r="E113" s="76">
        <f t="shared" si="11"/>
        <v>525000</v>
      </c>
      <c r="F113" s="76">
        <f t="shared" si="12"/>
        <v>42500.000000000058</v>
      </c>
      <c r="G113" s="76" t="str">
        <f t="shared" si="13"/>
        <v/>
      </c>
      <c r="H113" s="76" t="str">
        <f t="shared" si="14"/>
        <v/>
      </c>
      <c r="I113" s="76" t="str">
        <f t="shared" si="15"/>
        <v/>
      </c>
      <c r="J113" s="76" t="str">
        <f t="shared" si="16"/>
        <v/>
      </c>
      <c r="K113" s="76"/>
    </row>
    <row r="114" spans="1:11" x14ac:dyDescent="0.15">
      <c r="A114" s="76"/>
      <c r="B114" s="130">
        <v>-0.09</v>
      </c>
      <c r="C114" s="76">
        <f t="shared" si="9"/>
        <v>24.57</v>
      </c>
      <c r="D114" s="76">
        <f t="shared" si="10"/>
        <v>21296.296296296296</v>
      </c>
      <c r="E114" s="76">
        <f t="shared" si="11"/>
        <v>523250</v>
      </c>
      <c r="F114" s="76">
        <f t="shared" si="12"/>
        <v>46500.000000000058</v>
      </c>
      <c r="G114" s="76" t="str">
        <f t="shared" si="13"/>
        <v/>
      </c>
      <c r="H114" s="76" t="str">
        <f t="shared" si="14"/>
        <v/>
      </c>
      <c r="I114" s="76" t="str">
        <f t="shared" si="15"/>
        <v/>
      </c>
      <c r="J114" s="76" t="str">
        <f t="shared" si="16"/>
        <v/>
      </c>
      <c r="K114" s="76"/>
    </row>
    <row r="115" spans="1:11" x14ac:dyDescent="0.15">
      <c r="A115" s="76"/>
      <c r="B115" s="130">
        <v>-0.08</v>
      </c>
      <c r="C115" s="76">
        <f t="shared" si="9"/>
        <v>24.84</v>
      </c>
      <c r="D115" s="76">
        <f t="shared" si="10"/>
        <v>20987.654320987655</v>
      </c>
      <c r="E115" s="76">
        <f t="shared" si="11"/>
        <v>521333.33333333331</v>
      </c>
      <c r="F115" s="76">
        <f t="shared" si="12"/>
        <v>50333.333333333314</v>
      </c>
      <c r="G115" s="76" t="str">
        <f t="shared" si="13"/>
        <v/>
      </c>
      <c r="H115" s="76" t="str">
        <f t="shared" si="14"/>
        <v/>
      </c>
      <c r="I115" s="76" t="str">
        <f t="shared" si="15"/>
        <v/>
      </c>
      <c r="J115" s="76" t="str">
        <f t="shared" si="16"/>
        <v/>
      </c>
      <c r="K115" s="76"/>
    </row>
    <row r="116" spans="1:11" x14ac:dyDescent="0.15">
      <c r="A116" s="76"/>
      <c r="B116" s="130">
        <v>-7.0000000000000007E-2</v>
      </c>
      <c r="C116" s="76">
        <f t="shared" si="9"/>
        <v>25.11</v>
      </c>
      <c r="D116" s="76">
        <f t="shared" si="10"/>
        <v>20679.012345679013</v>
      </c>
      <c r="E116" s="76">
        <f t="shared" si="11"/>
        <v>519250</v>
      </c>
      <c r="F116" s="76">
        <f t="shared" si="12"/>
        <v>54000</v>
      </c>
      <c r="G116" s="76" t="str">
        <f t="shared" si="13"/>
        <v/>
      </c>
      <c r="H116" s="76" t="str">
        <f t="shared" si="14"/>
        <v/>
      </c>
      <c r="I116" s="76" t="str">
        <f t="shared" si="15"/>
        <v/>
      </c>
      <c r="J116" s="76" t="str">
        <f t="shared" si="16"/>
        <v/>
      </c>
      <c r="K116" s="76"/>
    </row>
    <row r="117" spans="1:11" x14ac:dyDescent="0.15">
      <c r="A117" s="76"/>
      <c r="B117" s="130">
        <v>-0.06</v>
      </c>
      <c r="C117" s="76">
        <f t="shared" si="9"/>
        <v>25.38</v>
      </c>
      <c r="D117" s="76">
        <f t="shared" si="10"/>
        <v>20370.370370370369</v>
      </c>
      <c r="E117" s="76">
        <f t="shared" si="11"/>
        <v>516999.99999999994</v>
      </c>
      <c r="F117" s="76">
        <f t="shared" si="12"/>
        <v>57500</v>
      </c>
      <c r="G117" s="76" t="str">
        <f t="shared" si="13"/>
        <v/>
      </c>
      <c r="H117" s="76" t="str">
        <f t="shared" si="14"/>
        <v/>
      </c>
      <c r="I117" s="76" t="str">
        <f t="shared" si="15"/>
        <v/>
      </c>
      <c r="J117" s="76" t="str">
        <f t="shared" si="16"/>
        <v/>
      </c>
      <c r="K117" s="76"/>
    </row>
    <row r="118" spans="1:11" x14ac:dyDescent="0.15">
      <c r="A118" s="76"/>
      <c r="B118" s="130">
        <v>-0.05</v>
      </c>
      <c r="C118" s="76">
        <f t="shared" si="9"/>
        <v>25.65</v>
      </c>
      <c r="D118" s="76">
        <f t="shared" si="10"/>
        <v>20061.728395061727</v>
      </c>
      <c r="E118" s="76">
        <f t="shared" si="11"/>
        <v>514583.33333333326</v>
      </c>
      <c r="F118" s="76">
        <f t="shared" si="12"/>
        <v>60833.333333333314</v>
      </c>
      <c r="G118" s="76" t="str">
        <f t="shared" si="13"/>
        <v/>
      </c>
      <c r="H118" s="76" t="str">
        <f t="shared" si="14"/>
        <v/>
      </c>
      <c r="I118" s="76" t="str">
        <f t="shared" si="15"/>
        <v/>
      </c>
      <c r="J118" s="76" t="str">
        <f t="shared" si="16"/>
        <v/>
      </c>
      <c r="K118" s="76"/>
    </row>
    <row r="119" spans="1:11" x14ac:dyDescent="0.15">
      <c r="A119" s="76"/>
      <c r="B119" s="130">
        <v>-0.04</v>
      </c>
      <c r="C119" s="76">
        <f t="shared" si="9"/>
        <v>25.919999999999998</v>
      </c>
      <c r="D119" s="76">
        <f t="shared" si="10"/>
        <v>19753.086419753086</v>
      </c>
      <c r="E119" s="76">
        <f t="shared" si="11"/>
        <v>511999.99999999994</v>
      </c>
      <c r="F119" s="76">
        <f t="shared" si="12"/>
        <v>63999.999999999942</v>
      </c>
      <c r="G119" s="76" t="str">
        <f t="shared" si="13"/>
        <v/>
      </c>
      <c r="H119" s="76" t="str">
        <f t="shared" si="14"/>
        <v/>
      </c>
      <c r="I119" s="76" t="str">
        <f t="shared" si="15"/>
        <v/>
      </c>
      <c r="J119" s="76" t="str">
        <f t="shared" si="16"/>
        <v/>
      </c>
      <c r="K119" s="76"/>
    </row>
    <row r="120" spans="1:11" x14ac:dyDescent="0.15">
      <c r="A120" s="76"/>
      <c r="B120" s="130">
        <v>-0.03</v>
      </c>
      <c r="C120" s="76">
        <f t="shared" si="9"/>
        <v>26.189999999999998</v>
      </c>
      <c r="D120" s="76">
        <f t="shared" si="10"/>
        <v>19444.444444444445</v>
      </c>
      <c r="E120" s="76">
        <f t="shared" si="11"/>
        <v>509250</v>
      </c>
      <c r="F120" s="76">
        <f t="shared" si="12"/>
        <v>67000</v>
      </c>
      <c r="G120" s="76" t="str">
        <f t="shared" si="13"/>
        <v/>
      </c>
      <c r="H120" s="76" t="str">
        <f t="shared" si="14"/>
        <v/>
      </c>
      <c r="I120" s="76" t="str">
        <f t="shared" si="15"/>
        <v/>
      </c>
      <c r="J120" s="76" t="str">
        <f t="shared" si="16"/>
        <v/>
      </c>
      <c r="K120" s="76"/>
    </row>
    <row r="121" spans="1:11" x14ac:dyDescent="0.15">
      <c r="A121" s="76"/>
      <c r="B121" s="130">
        <v>-0.02</v>
      </c>
      <c r="C121" s="76">
        <f t="shared" si="9"/>
        <v>26.46</v>
      </c>
      <c r="D121" s="76">
        <f t="shared" si="10"/>
        <v>19135.8024691358</v>
      </c>
      <c r="E121" s="76">
        <f t="shared" si="11"/>
        <v>506333.33333333331</v>
      </c>
      <c r="F121" s="76">
        <f t="shared" si="12"/>
        <v>69833.333333333372</v>
      </c>
      <c r="G121" s="76" t="str">
        <f t="shared" si="13"/>
        <v/>
      </c>
      <c r="H121" s="76" t="str">
        <f t="shared" si="14"/>
        <v/>
      </c>
      <c r="I121" s="76" t="str">
        <f t="shared" si="15"/>
        <v/>
      </c>
      <c r="J121" s="76" t="str">
        <f t="shared" si="16"/>
        <v/>
      </c>
      <c r="K121" s="76"/>
    </row>
    <row r="122" spans="1:11" x14ac:dyDescent="0.15">
      <c r="A122" s="76"/>
      <c r="B122" s="130">
        <v>-0.01</v>
      </c>
      <c r="C122" s="76">
        <f t="shared" si="9"/>
        <v>26.73</v>
      </c>
      <c r="D122" s="76">
        <f t="shared" si="10"/>
        <v>18827.160493827159</v>
      </c>
      <c r="E122" s="76">
        <f t="shared" si="11"/>
        <v>503250</v>
      </c>
      <c r="F122" s="76">
        <f t="shared" si="12"/>
        <v>72500.000000000058</v>
      </c>
      <c r="G122" s="76" t="str">
        <f t="shared" si="13"/>
        <v/>
      </c>
      <c r="H122" s="76" t="str">
        <f t="shared" si="14"/>
        <v/>
      </c>
      <c r="I122" s="76" t="str">
        <f t="shared" si="15"/>
        <v/>
      </c>
      <c r="J122" s="76" t="str">
        <f t="shared" si="16"/>
        <v/>
      </c>
      <c r="K122" s="76"/>
    </row>
    <row r="123" spans="1:11" x14ac:dyDescent="0.15">
      <c r="A123" s="76"/>
      <c r="B123" s="201" t="s">
        <v>52</v>
      </c>
      <c r="C123" s="202">
        <f>+E6</f>
        <v>27</v>
      </c>
      <c r="D123" s="202">
        <f>+E4</f>
        <v>18518.518518518518</v>
      </c>
      <c r="E123" s="76">
        <f t="shared" si="11"/>
        <v>500000</v>
      </c>
      <c r="F123" s="76">
        <f t="shared" si="12"/>
        <v>75000</v>
      </c>
      <c r="G123" s="76" t="str">
        <f t="shared" si="13"/>
        <v/>
      </c>
      <c r="H123" s="76" t="str">
        <f t="shared" si="14"/>
        <v/>
      </c>
      <c r="I123" s="76" t="str">
        <f t="shared" si="15"/>
        <v/>
      </c>
      <c r="J123" s="76">
        <f t="shared" si="16"/>
        <v>500000</v>
      </c>
      <c r="K123" s="76"/>
    </row>
    <row r="124" spans="1:11" x14ac:dyDescent="0.15">
      <c r="A124" s="76"/>
      <c r="B124" s="130">
        <v>0.01</v>
      </c>
      <c r="C124" s="76">
        <f t="shared" si="9"/>
        <v>27.27</v>
      </c>
      <c r="D124" s="76">
        <f>(1+B124*C$71)*D$123</f>
        <v>18271.604938271605</v>
      </c>
      <c r="E124" s="76">
        <f t="shared" si="11"/>
        <v>498266.66666666663</v>
      </c>
      <c r="F124" s="76">
        <f t="shared" si="12"/>
        <v>77866.666666666628</v>
      </c>
      <c r="G124" s="76" t="str">
        <f t="shared" si="13"/>
        <v/>
      </c>
      <c r="H124" s="76" t="str">
        <f t="shared" si="14"/>
        <v/>
      </c>
      <c r="I124" s="76" t="str">
        <f t="shared" si="15"/>
        <v/>
      </c>
      <c r="J124" s="76" t="str">
        <f t="shared" si="16"/>
        <v/>
      </c>
      <c r="K124" s="76"/>
    </row>
    <row r="125" spans="1:11" x14ac:dyDescent="0.15">
      <c r="A125" s="76"/>
      <c r="B125" s="130">
        <v>0.02</v>
      </c>
      <c r="C125" s="76">
        <f t="shared" si="9"/>
        <v>27.54</v>
      </c>
      <c r="D125" s="76">
        <f t="shared" ref="D125:D173" si="17">(1+B125*C$71)*D$123</f>
        <v>18024.691358024691</v>
      </c>
      <c r="E125" s="76">
        <f t="shared" si="11"/>
        <v>496400</v>
      </c>
      <c r="F125" s="76">
        <f t="shared" si="12"/>
        <v>80600</v>
      </c>
      <c r="G125" s="76" t="str">
        <f t="shared" si="13"/>
        <v/>
      </c>
      <c r="H125" s="76" t="str">
        <f t="shared" si="14"/>
        <v/>
      </c>
      <c r="I125" s="76" t="str">
        <f t="shared" si="15"/>
        <v/>
      </c>
      <c r="J125" s="76" t="str">
        <f t="shared" si="16"/>
        <v/>
      </c>
      <c r="K125" s="76"/>
    </row>
    <row r="126" spans="1:11" x14ac:dyDescent="0.15">
      <c r="A126" s="76"/>
      <c r="B126" s="130">
        <v>0.03</v>
      </c>
      <c r="C126" s="76">
        <f t="shared" si="9"/>
        <v>27.810000000000002</v>
      </c>
      <c r="D126" s="76">
        <f t="shared" si="17"/>
        <v>17777.777777777777</v>
      </c>
      <c r="E126" s="76">
        <f t="shared" si="11"/>
        <v>494400.00000000006</v>
      </c>
      <c r="F126" s="76">
        <f t="shared" si="12"/>
        <v>83200.000000000058</v>
      </c>
      <c r="G126" s="76" t="str">
        <f t="shared" si="13"/>
        <v/>
      </c>
      <c r="H126" s="76" t="str">
        <f t="shared" si="14"/>
        <v/>
      </c>
      <c r="I126" s="76" t="str">
        <f t="shared" si="15"/>
        <v/>
      </c>
      <c r="J126" s="76" t="str">
        <f t="shared" si="16"/>
        <v/>
      </c>
      <c r="K126" s="76"/>
    </row>
    <row r="127" spans="1:11" x14ac:dyDescent="0.15">
      <c r="A127" s="76"/>
      <c r="B127" s="130">
        <v>0.04</v>
      </c>
      <c r="C127" s="76">
        <f t="shared" si="9"/>
        <v>28.080000000000002</v>
      </c>
      <c r="D127" s="76">
        <f t="shared" si="17"/>
        <v>17530.864197530864</v>
      </c>
      <c r="E127" s="76">
        <f t="shared" si="11"/>
        <v>492266.66666666669</v>
      </c>
      <c r="F127" s="76">
        <f t="shared" si="12"/>
        <v>85666.666666666686</v>
      </c>
      <c r="G127" s="76" t="str">
        <f t="shared" si="13"/>
        <v/>
      </c>
      <c r="H127" s="76" t="str">
        <f t="shared" si="14"/>
        <v/>
      </c>
      <c r="I127" s="76" t="str">
        <f t="shared" si="15"/>
        <v/>
      </c>
      <c r="J127" s="76" t="str">
        <f t="shared" si="16"/>
        <v/>
      </c>
      <c r="K127" s="76"/>
    </row>
    <row r="128" spans="1:11" x14ac:dyDescent="0.15">
      <c r="A128" s="76"/>
      <c r="B128" s="130">
        <v>0.05</v>
      </c>
      <c r="C128" s="76">
        <f t="shared" si="9"/>
        <v>28.35</v>
      </c>
      <c r="D128" s="76">
        <f t="shared" si="17"/>
        <v>17283.95061728395</v>
      </c>
      <c r="E128" s="76">
        <f t="shared" si="11"/>
        <v>490000</v>
      </c>
      <c r="F128" s="76">
        <f t="shared" si="12"/>
        <v>88000</v>
      </c>
      <c r="G128" s="76" t="str">
        <f t="shared" si="13"/>
        <v/>
      </c>
      <c r="H128" s="76" t="str">
        <f t="shared" si="14"/>
        <v/>
      </c>
      <c r="I128" s="76" t="str">
        <f t="shared" si="15"/>
        <v/>
      </c>
      <c r="J128" s="76" t="str">
        <f t="shared" si="16"/>
        <v/>
      </c>
      <c r="K128" s="76"/>
    </row>
    <row r="129" spans="1:11" x14ac:dyDescent="0.15">
      <c r="A129" s="76"/>
      <c r="B129" s="130">
        <v>0.06</v>
      </c>
      <c r="C129" s="76">
        <f t="shared" si="9"/>
        <v>28.62</v>
      </c>
      <c r="D129" s="76">
        <f t="shared" si="17"/>
        <v>17037.037037037036</v>
      </c>
      <c r="E129" s="76">
        <f t="shared" si="11"/>
        <v>487600</v>
      </c>
      <c r="F129" s="76">
        <f t="shared" si="12"/>
        <v>90200</v>
      </c>
      <c r="G129" s="76" t="str">
        <f t="shared" si="13"/>
        <v/>
      </c>
      <c r="H129" s="76" t="str">
        <f t="shared" si="14"/>
        <v/>
      </c>
      <c r="I129" s="76" t="str">
        <f t="shared" si="15"/>
        <v/>
      </c>
      <c r="J129" s="76" t="str">
        <f t="shared" si="16"/>
        <v/>
      </c>
      <c r="K129" s="76"/>
    </row>
    <row r="130" spans="1:11" x14ac:dyDescent="0.15">
      <c r="A130" s="76"/>
      <c r="B130" s="130">
        <v>7.0000000000000007E-2</v>
      </c>
      <c r="C130" s="76">
        <f t="shared" si="9"/>
        <v>28.89</v>
      </c>
      <c r="D130" s="76">
        <f t="shared" si="17"/>
        <v>16790.123456790123</v>
      </c>
      <c r="E130" s="76">
        <f t="shared" si="11"/>
        <v>485066.66666666669</v>
      </c>
      <c r="F130" s="76">
        <f t="shared" si="12"/>
        <v>92266.666666666686</v>
      </c>
      <c r="G130" s="76" t="str">
        <f t="shared" si="13"/>
        <v/>
      </c>
      <c r="H130" s="76" t="str">
        <f t="shared" si="14"/>
        <v/>
      </c>
      <c r="I130" s="76" t="str">
        <f t="shared" si="15"/>
        <v/>
      </c>
      <c r="J130" s="76" t="str">
        <f t="shared" si="16"/>
        <v/>
      </c>
      <c r="K130" s="76"/>
    </row>
    <row r="131" spans="1:11" x14ac:dyDescent="0.15">
      <c r="A131" s="76"/>
      <c r="B131" s="130">
        <v>0.08</v>
      </c>
      <c r="C131" s="76">
        <f t="shared" si="9"/>
        <v>29.160000000000004</v>
      </c>
      <c r="D131" s="76">
        <f t="shared" si="17"/>
        <v>16543.209876543209</v>
      </c>
      <c r="E131" s="76">
        <f t="shared" si="11"/>
        <v>482400.00000000006</v>
      </c>
      <c r="F131" s="76">
        <f t="shared" si="12"/>
        <v>94200.000000000058</v>
      </c>
      <c r="G131" s="76" t="str">
        <f t="shared" si="13"/>
        <v/>
      </c>
      <c r="H131" s="76" t="str">
        <f t="shared" si="14"/>
        <v/>
      </c>
      <c r="I131" s="76" t="str">
        <f t="shared" si="15"/>
        <v/>
      </c>
      <c r="J131" s="76" t="str">
        <f t="shared" si="16"/>
        <v/>
      </c>
      <c r="K131" s="76"/>
    </row>
    <row r="132" spans="1:11" x14ac:dyDescent="0.15">
      <c r="A132" s="76"/>
      <c r="B132" s="130">
        <v>0.09</v>
      </c>
      <c r="C132" s="76">
        <f t="shared" si="9"/>
        <v>29.430000000000003</v>
      </c>
      <c r="D132" s="76">
        <f t="shared" si="17"/>
        <v>16296.296296296294</v>
      </c>
      <c r="E132" s="76">
        <f t="shared" si="11"/>
        <v>479600</v>
      </c>
      <c r="F132" s="76">
        <f t="shared" si="12"/>
        <v>96000.000000000058</v>
      </c>
      <c r="G132" s="76" t="str">
        <f t="shared" si="13"/>
        <v/>
      </c>
      <c r="H132" s="76" t="str">
        <f t="shared" si="14"/>
        <v/>
      </c>
      <c r="I132" s="76" t="str">
        <f t="shared" si="15"/>
        <v/>
      </c>
      <c r="J132" s="76" t="str">
        <f t="shared" si="16"/>
        <v/>
      </c>
      <c r="K132" s="76"/>
    </row>
    <row r="133" spans="1:11" x14ac:dyDescent="0.15">
      <c r="A133" s="76"/>
      <c r="B133" s="130">
        <v>0.1</v>
      </c>
      <c r="C133" s="76">
        <f t="shared" si="9"/>
        <v>29.700000000000003</v>
      </c>
      <c r="D133" s="76">
        <f t="shared" si="17"/>
        <v>16049.38271604938</v>
      </c>
      <c r="E133" s="76">
        <f t="shared" si="11"/>
        <v>476666.66666666663</v>
      </c>
      <c r="F133" s="76">
        <f t="shared" si="12"/>
        <v>97666.666666666686</v>
      </c>
      <c r="G133" s="76" t="str">
        <f t="shared" si="13"/>
        <v/>
      </c>
      <c r="H133" s="76" t="str">
        <f t="shared" si="14"/>
        <v/>
      </c>
      <c r="I133" s="76" t="str">
        <f t="shared" si="15"/>
        <v/>
      </c>
      <c r="J133" s="76" t="str">
        <f t="shared" si="16"/>
        <v/>
      </c>
      <c r="K133" s="76"/>
    </row>
    <row r="134" spans="1:11" x14ac:dyDescent="0.15">
      <c r="A134" s="76"/>
      <c r="B134" s="130">
        <v>0.11</v>
      </c>
      <c r="C134" s="76">
        <f t="shared" si="9"/>
        <v>29.970000000000002</v>
      </c>
      <c r="D134" s="76">
        <f t="shared" si="17"/>
        <v>15802.469135802468</v>
      </c>
      <c r="E134" s="76">
        <f t="shared" si="11"/>
        <v>473600</v>
      </c>
      <c r="F134" s="76">
        <f t="shared" si="12"/>
        <v>99200.000000000058</v>
      </c>
      <c r="G134" s="76" t="str">
        <f t="shared" si="13"/>
        <v/>
      </c>
      <c r="H134" s="76" t="str">
        <f t="shared" si="14"/>
        <v/>
      </c>
      <c r="I134" s="76" t="str">
        <f t="shared" si="15"/>
        <v/>
      </c>
      <c r="J134" s="76" t="str">
        <f t="shared" si="16"/>
        <v/>
      </c>
      <c r="K134" s="76"/>
    </row>
    <row r="135" spans="1:11" x14ac:dyDescent="0.15">
      <c r="A135" s="76"/>
      <c r="B135" s="130">
        <v>0.12</v>
      </c>
      <c r="C135" s="76">
        <f t="shared" si="9"/>
        <v>30.240000000000002</v>
      </c>
      <c r="D135" s="76">
        <f t="shared" si="17"/>
        <v>15555.555555555555</v>
      </c>
      <c r="E135" s="76">
        <f t="shared" si="11"/>
        <v>470400</v>
      </c>
      <c r="F135" s="76">
        <f t="shared" si="12"/>
        <v>100600.00000000006</v>
      </c>
      <c r="G135" s="76" t="str">
        <f t="shared" si="13"/>
        <v/>
      </c>
      <c r="H135" s="76" t="str">
        <f t="shared" si="14"/>
        <v/>
      </c>
      <c r="I135" s="76" t="str">
        <f t="shared" si="15"/>
        <v/>
      </c>
      <c r="J135" s="76" t="str">
        <f t="shared" si="16"/>
        <v/>
      </c>
      <c r="K135" s="76"/>
    </row>
    <row r="136" spans="1:11" x14ac:dyDescent="0.15">
      <c r="A136" s="76"/>
      <c r="B136" s="130">
        <v>0.13</v>
      </c>
      <c r="C136" s="76">
        <f t="shared" si="9"/>
        <v>30.509999999999998</v>
      </c>
      <c r="D136" s="76">
        <f t="shared" si="17"/>
        <v>15308.641975308639</v>
      </c>
      <c r="E136" s="76">
        <f t="shared" si="11"/>
        <v>467066.66666666657</v>
      </c>
      <c r="F136" s="76">
        <f t="shared" si="12"/>
        <v>101866.66666666663</v>
      </c>
      <c r="G136" s="76" t="str">
        <f t="shared" si="13"/>
        <v/>
      </c>
      <c r="H136" s="76" t="str">
        <f t="shared" si="14"/>
        <v/>
      </c>
      <c r="I136" s="76" t="str">
        <f t="shared" si="15"/>
        <v/>
      </c>
      <c r="J136" s="76" t="str">
        <f t="shared" si="16"/>
        <v/>
      </c>
      <c r="K136" s="76"/>
    </row>
    <row r="137" spans="1:11" x14ac:dyDescent="0.15">
      <c r="A137" s="76"/>
      <c r="B137" s="130">
        <v>0.14000000000000001</v>
      </c>
      <c r="C137" s="76">
        <f t="shared" si="9"/>
        <v>30.780000000000005</v>
      </c>
      <c r="D137" s="76">
        <f t="shared" si="17"/>
        <v>15061.728395061726</v>
      </c>
      <c r="E137" s="76">
        <f t="shared" si="11"/>
        <v>463600</v>
      </c>
      <c r="F137" s="76">
        <f t="shared" si="12"/>
        <v>103000.00000000006</v>
      </c>
      <c r="G137" s="76" t="str">
        <f t="shared" si="13"/>
        <v/>
      </c>
      <c r="H137" s="76" t="str">
        <f t="shared" si="14"/>
        <v/>
      </c>
      <c r="I137" s="76" t="str">
        <f t="shared" si="15"/>
        <v/>
      </c>
      <c r="J137" s="76" t="str">
        <f t="shared" si="16"/>
        <v/>
      </c>
      <c r="K137" s="76"/>
    </row>
    <row r="138" spans="1:11" x14ac:dyDescent="0.15">
      <c r="A138" s="76"/>
      <c r="B138" s="130">
        <v>0.15</v>
      </c>
      <c r="C138" s="76">
        <f t="shared" ref="C138:C173" si="18">+$C$123*(1+B138)</f>
        <v>31.049999999999997</v>
      </c>
      <c r="D138" s="76">
        <f t="shared" si="17"/>
        <v>14814.814814814814</v>
      </c>
      <c r="E138" s="76">
        <f t="shared" ref="E138:E173" si="19">+D138*C138</f>
        <v>459999.99999999994</v>
      </c>
      <c r="F138" s="76">
        <f t="shared" ref="F138:F173" si="20">+E138-(E$9*D138)-E$10</f>
        <v>104000</v>
      </c>
      <c r="G138" s="76" t="str">
        <f t="shared" ref="G138:G173" si="21">IF($F138=$F$174,C138,"")</f>
        <v/>
      </c>
      <c r="H138" s="76" t="str">
        <f t="shared" ref="H138:H173" si="22">IF($F138=$F$174,D138,"")</f>
        <v/>
      </c>
      <c r="I138" s="76" t="str">
        <f t="shared" ref="I138:I173" si="23">IF($F138=$F$174,E138,"")</f>
        <v/>
      </c>
      <c r="J138" s="76" t="str">
        <f t="shared" ref="J138:J173" si="24">IF($C138=$C$123,E138,"")</f>
        <v/>
      </c>
      <c r="K138" s="76"/>
    </row>
    <row r="139" spans="1:11" x14ac:dyDescent="0.15">
      <c r="A139" s="76"/>
      <c r="B139" s="130">
        <v>0.16</v>
      </c>
      <c r="C139" s="76">
        <f t="shared" si="18"/>
        <v>31.319999999999997</v>
      </c>
      <c r="D139" s="76">
        <f t="shared" si="17"/>
        <v>14567.9012345679</v>
      </c>
      <c r="E139" s="76">
        <f t="shared" si="19"/>
        <v>456266.66666666657</v>
      </c>
      <c r="F139" s="76">
        <f t="shared" si="20"/>
        <v>104866.66666666663</v>
      </c>
      <c r="G139" s="76" t="str">
        <f t="shared" si="21"/>
        <v/>
      </c>
      <c r="H139" s="76" t="str">
        <f t="shared" si="22"/>
        <v/>
      </c>
      <c r="I139" s="76" t="str">
        <f t="shared" si="23"/>
        <v/>
      </c>
      <c r="J139" s="76" t="str">
        <f t="shared" si="24"/>
        <v/>
      </c>
      <c r="K139" s="76"/>
    </row>
    <row r="140" spans="1:11" x14ac:dyDescent="0.15">
      <c r="A140" s="76"/>
      <c r="B140" s="130">
        <v>0.17</v>
      </c>
      <c r="C140" s="76">
        <f t="shared" si="18"/>
        <v>31.589999999999996</v>
      </c>
      <c r="D140" s="76">
        <f t="shared" si="17"/>
        <v>14320.987654320985</v>
      </c>
      <c r="E140" s="76">
        <f t="shared" si="19"/>
        <v>452399.99999999988</v>
      </c>
      <c r="F140" s="76">
        <f t="shared" si="20"/>
        <v>105599.99999999994</v>
      </c>
      <c r="G140" s="76" t="str">
        <f t="shared" si="21"/>
        <v/>
      </c>
      <c r="H140" s="76" t="str">
        <f t="shared" si="22"/>
        <v/>
      </c>
      <c r="I140" s="76" t="str">
        <f t="shared" si="23"/>
        <v/>
      </c>
      <c r="J140" s="76" t="str">
        <f t="shared" si="24"/>
        <v/>
      </c>
      <c r="K140" s="76"/>
    </row>
    <row r="141" spans="1:11" x14ac:dyDescent="0.15">
      <c r="A141" s="76"/>
      <c r="B141" s="130">
        <v>0.18</v>
      </c>
      <c r="C141" s="76">
        <f t="shared" si="18"/>
        <v>31.86</v>
      </c>
      <c r="D141" s="76">
        <f t="shared" si="17"/>
        <v>14074.074074074071</v>
      </c>
      <c r="E141" s="76">
        <f t="shared" si="19"/>
        <v>448399.99999999988</v>
      </c>
      <c r="F141" s="76">
        <f t="shared" si="20"/>
        <v>106199.99999999994</v>
      </c>
      <c r="G141" s="76" t="str">
        <f t="shared" si="21"/>
        <v/>
      </c>
      <c r="H141" s="76" t="str">
        <f t="shared" si="22"/>
        <v/>
      </c>
      <c r="I141" s="76" t="str">
        <f t="shared" si="23"/>
        <v/>
      </c>
      <c r="J141" s="76" t="str">
        <f t="shared" si="24"/>
        <v/>
      </c>
      <c r="K141" s="76"/>
    </row>
    <row r="142" spans="1:11" x14ac:dyDescent="0.15">
      <c r="A142" s="76"/>
      <c r="B142" s="130">
        <v>0.19</v>
      </c>
      <c r="C142" s="76">
        <f t="shared" si="18"/>
        <v>32.129999999999995</v>
      </c>
      <c r="D142" s="76">
        <f t="shared" si="17"/>
        <v>13827.160493827159</v>
      </c>
      <c r="E142" s="76">
        <f t="shared" si="19"/>
        <v>444266.66666666657</v>
      </c>
      <c r="F142" s="76">
        <f t="shared" si="20"/>
        <v>106666.6666666666</v>
      </c>
      <c r="G142" s="76" t="str">
        <f t="shared" si="21"/>
        <v/>
      </c>
      <c r="H142" s="76" t="str">
        <f t="shared" si="22"/>
        <v/>
      </c>
      <c r="I142" s="76" t="str">
        <f t="shared" si="23"/>
        <v/>
      </c>
      <c r="J142" s="76" t="str">
        <f t="shared" si="24"/>
        <v/>
      </c>
      <c r="K142" s="76"/>
    </row>
    <row r="143" spans="1:11" x14ac:dyDescent="0.15">
      <c r="A143" s="76"/>
      <c r="B143" s="130">
        <v>0.2</v>
      </c>
      <c r="C143" s="76">
        <f t="shared" si="18"/>
        <v>32.4</v>
      </c>
      <c r="D143" s="76">
        <f t="shared" si="17"/>
        <v>13580.246913580244</v>
      </c>
      <c r="E143" s="76">
        <f t="shared" si="19"/>
        <v>439999.99999999988</v>
      </c>
      <c r="F143" s="76">
        <f t="shared" si="20"/>
        <v>106999.99999999994</v>
      </c>
      <c r="G143" s="76" t="str">
        <f t="shared" si="21"/>
        <v/>
      </c>
      <c r="H143" s="76" t="str">
        <f t="shared" si="22"/>
        <v/>
      </c>
      <c r="I143" s="76" t="str">
        <f t="shared" si="23"/>
        <v/>
      </c>
      <c r="J143" s="76" t="str">
        <f t="shared" si="24"/>
        <v/>
      </c>
      <c r="K143" s="76"/>
    </row>
    <row r="144" spans="1:11" x14ac:dyDescent="0.15">
      <c r="A144" s="76"/>
      <c r="B144" s="130">
        <v>0.21</v>
      </c>
      <c r="C144" s="76">
        <f t="shared" si="18"/>
        <v>32.67</v>
      </c>
      <c r="D144" s="76">
        <f t="shared" si="17"/>
        <v>13333.33333333333</v>
      </c>
      <c r="E144" s="76">
        <f t="shared" si="19"/>
        <v>435599.99999999994</v>
      </c>
      <c r="F144" s="76">
        <f t="shared" si="20"/>
        <v>107200</v>
      </c>
      <c r="G144" s="76" t="str">
        <f t="shared" si="21"/>
        <v/>
      </c>
      <c r="H144" s="76" t="str">
        <f t="shared" si="22"/>
        <v/>
      </c>
      <c r="I144" s="76" t="str">
        <f t="shared" si="23"/>
        <v/>
      </c>
      <c r="J144" s="76" t="str">
        <f t="shared" si="24"/>
        <v/>
      </c>
      <c r="K144" s="76"/>
    </row>
    <row r="145" spans="1:11" x14ac:dyDescent="0.15">
      <c r="A145" s="76"/>
      <c r="B145" s="130">
        <v>0.22</v>
      </c>
      <c r="C145" s="76">
        <f t="shared" si="18"/>
        <v>32.94</v>
      </c>
      <c r="D145" s="76">
        <f t="shared" si="17"/>
        <v>13086.419753086417</v>
      </c>
      <c r="E145" s="76">
        <f t="shared" si="19"/>
        <v>431066.66666666651</v>
      </c>
      <c r="F145" s="76">
        <f t="shared" si="20"/>
        <v>107266.66666666657</v>
      </c>
      <c r="G145" s="76">
        <f t="shared" si="21"/>
        <v>32.94</v>
      </c>
      <c r="H145" s="76">
        <f t="shared" si="22"/>
        <v>13086.419753086417</v>
      </c>
      <c r="I145" s="76">
        <f t="shared" si="23"/>
        <v>431066.66666666651</v>
      </c>
      <c r="J145" s="76" t="str">
        <f t="shared" si="24"/>
        <v/>
      </c>
      <c r="K145" s="76"/>
    </row>
    <row r="146" spans="1:11" x14ac:dyDescent="0.15">
      <c r="A146" s="76"/>
      <c r="B146" s="130">
        <v>0.23</v>
      </c>
      <c r="C146" s="76">
        <f t="shared" si="18"/>
        <v>33.21</v>
      </c>
      <c r="D146" s="76">
        <f t="shared" si="17"/>
        <v>12839.506172839503</v>
      </c>
      <c r="E146" s="76">
        <f t="shared" si="19"/>
        <v>426399.99999999988</v>
      </c>
      <c r="F146" s="76">
        <f t="shared" si="20"/>
        <v>107199.99999999994</v>
      </c>
      <c r="G146" s="76" t="str">
        <f t="shared" si="21"/>
        <v/>
      </c>
      <c r="H146" s="76" t="str">
        <f t="shared" si="22"/>
        <v/>
      </c>
      <c r="I146" s="76" t="str">
        <f t="shared" si="23"/>
        <v/>
      </c>
      <c r="J146" s="76" t="str">
        <f t="shared" si="24"/>
        <v/>
      </c>
      <c r="K146" s="76"/>
    </row>
    <row r="147" spans="1:11" x14ac:dyDescent="0.15">
      <c r="A147" s="76"/>
      <c r="B147" s="130">
        <v>0.24</v>
      </c>
      <c r="C147" s="76">
        <f t="shared" si="18"/>
        <v>33.479999999999997</v>
      </c>
      <c r="D147" s="76">
        <f t="shared" si="17"/>
        <v>12592.592592592591</v>
      </c>
      <c r="E147" s="76">
        <f t="shared" si="19"/>
        <v>421599.99999999994</v>
      </c>
      <c r="F147" s="76">
        <f t="shared" si="20"/>
        <v>106999.99999999997</v>
      </c>
      <c r="G147" s="76" t="str">
        <f t="shared" si="21"/>
        <v/>
      </c>
      <c r="H147" s="76" t="str">
        <f t="shared" si="22"/>
        <v/>
      </c>
      <c r="I147" s="76" t="str">
        <f t="shared" si="23"/>
        <v/>
      </c>
      <c r="J147" s="76" t="str">
        <f t="shared" si="24"/>
        <v/>
      </c>
      <c r="K147" s="76"/>
    </row>
    <row r="148" spans="1:11" x14ac:dyDescent="0.15">
      <c r="A148" s="76"/>
      <c r="B148" s="130">
        <v>0.25</v>
      </c>
      <c r="C148" s="76">
        <f t="shared" si="18"/>
        <v>33.75</v>
      </c>
      <c r="D148" s="76">
        <f t="shared" si="17"/>
        <v>12345.679012345676</v>
      </c>
      <c r="E148" s="76">
        <f t="shared" si="19"/>
        <v>416666.66666666657</v>
      </c>
      <c r="F148" s="76">
        <f t="shared" si="20"/>
        <v>106666.66666666663</v>
      </c>
      <c r="G148" s="76" t="str">
        <f t="shared" si="21"/>
        <v/>
      </c>
      <c r="H148" s="76" t="str">
        <f t="shared" si="22"/>
        <v/>
      </c>
      <c r="I148" s="76" t="str">
        <f t="shared" si="23"/>
        <v/>
      </c>
      <c r="J148" s="76" t="str">
        <f t="shared" si="24"/>
        <v/>
      </c>
      <c r="K148" s="76"/>
    </row>
    <row r="149" spans="1:11" x14ac:dyDescent="0.15">
      <c r="A149" s="76"/>
      <c r="B149" s="130">
        <v>0.26</v>
      </c>
      <c r="C149" s="76">
        <f t="shared" si="18"/>
        <v>34.020000000000003</v>
      </c>
      <c r="D149" s="76">
        <f t="shared" si="17"/>
        <v>12098.76543209876</v>
      </c>
      <c r="E149" s="76">
        <f t="shared" si="19"/>
        <v>411599.99999999988</v>
      </c>
      <c r="F149" s="76">
        <f t="shared" si="20"/>
        <v>106200</v>
      </c>
      <c r="G149" s="76" t="str">
        <f t="shared" si="21"/>
        <v/>
      </c>
      <c r="H149" s="76" t="str">
        <f t="shared" si="22"/>
        <v/>
      </c>
      <c r="I149" s="76" t="str">
        <f t="shared" si="23"/>
        <v/>
      </c>
      <c r="J149" s="76" t="str">
        <f t="shared" si="24"/>
        <v/>
      </c>
      <c r="K149" s="76"/>
    </row>
    <row r="150" spans="1:11" x14ac:dyDescent="0.15">
      <c r="A150" s="76"/>
      <c r="B150" s="130">
        <v>0.27</v>
      </c>
      <c r="C150" s="76">
        <f t="shared" si="18"/>
        <v>34.29</v>
      </c>
      <c r="D150" s="76">
        <f t="shared" si="17"/>
        <v>11851.851851851849</v>
      </c>
      <c r="E150" s="76">
        <f t="shared" si="19"/>
        <v>406399.99999999988</v>
      </c>
      <c r="F150" s="76">
        <f t="shared" si="20"/>
        <v>105599.99999999997</v>
      </c>
      <c r="G150" s="76" t="str">
        <f t="shared" si="21"/>
        <v/>
      </c>
      <c r="H150" s="76" t="str">
        <f t="shared" si="22"/>
        <v/>
      </c>
      <c r="I150" s="76" t="str">
        <f t="shared" si="23"/>
        <v/>
      </c>
      <c r="J150" s="76" t="str">
        <f t="shared" si="24"/>
        <v/>
      </c>
      <c r="K150" s="76"/>
    </row>
    <row r="151" spans="1:11" x14ac:dyDescent="0.15">
      <c r="A151" s="76"/>
      <c r="B151" s="130">
        <v>0.28000000000000003</v>
      </c>
      <c r="C151" s="76">
        <f t="shared" si="18"/>
        <v>34.56</v>
      </c>
      <c r="D151" s="76">
        <f t="shared" si="17"/>
        <v>11604.938271604935</v>
      </c>
      <c r="E151" s="76">
        <f t="shared" si="19"/>
        <v>401066.66666666657</v>
      </c>
      <c r="F151" s="76">
        <f t="shared" si="20"/>
        <v>104866.66666666666</v>
      </c>
      <c r="G151" s="76" t="str">
        <f t="shared" si="21"/>
        <v/>
      </c>
      <c r="H151" s="76" t="str">
        <f t="shared" si="22"/>
        <v/>
      </c>
      <c r="I151" s="76" t="str">
        <f t="shared" si="23"/>
        <v/>
      </c>
      <c r="J151" s="76" t="str">
        <f t="shared" si="24"/>
        <v/>
      </c>
      <c r="K151" s="76"/>
    </row>
    <row r="152" spans="1:11" x14ac:dyDescent="0.15">
      <c r="A152" s="76"/>
      <c r="B152" s="130">
        <v>0.28999999999999998</v>
      </c>
      <c r="C152" s="76">
        <f t="shared" si="18"/>
        <v>34.83</v>
      </c>
      <c r="D152" s="76">
        <f t="shared" si="17"/>
        <v>11358.024691358021</v>
      </c>
      <c r="E152" s="76">
        <f t="shared" si="19"/>
        <v>395599.99999999988</v>
      </c>
      <c r="F152" s="76">
        <f t="shared" si="20"/>
        <v>103999.99999999997</v>
      </c>
      <c r="G152" s="76" t="str">
        <f t="shared" si="21"/>
        <v/>
      </c>
      <c r="H152" s="76" t="str">
        <f t="shared" si="22"/>
        <v/>
      </c>
      <c r="I152" s="76" t="str">
        <f t="shared" si="23"/>
        <v/>
      </c>
      <c r="J152" s="76" t="str">
        <f t="shared" si="24"/>
        <v/>
      </c>
      <c r="K152" s="76"/>
    </row>
    <row r="153" spans="1:11" x14ac:dyDescent="0.15">
      <c r="A153" s="76"/>
      <c r="B153" s="130">
        <v>0.3</v>
      </c>
      <c r="C153" s="76">
        <f t="shared" si="18"/>
        <v>35.1</v>
      </c>
      <c r="D153" s="76">
        <f t="shared" si="17"/>
        <v>11111.111111111108</v>
      </c>
      <c r="E153" s="76">
        <f t="shared" si="19"/>
        <v>389999.99999999988</v>
      </c>
      <c r="F153" s="76">
        <f t="shared" si="20"/>
        <v>102999.99999999997</v>
      </c>
      <c r="G153" s="76" t="str">
        <f t="shared" si="21"/>
        <v/>
      </c>
      <c r="H153" s="76" t="str">
        <f t="shared" si="22"/>
        <v/>
      </c>
      <c r="I153" s="76" t="str">
        <f t="shared" si="23"/>
        <v/>
      </c>
      <c r="J153" s="76" t="str">
        <f t="shared" si="24"/>
        <v/>
      </c>
      <c r="K153" s="76"/>
    </row>
    <row r="154" spans="1:11" x14ac:dyDescent="0.15">
      <c r="A154" s="76"/>
      <c r="B154" s="130">
        <v>0.31</v>
      </c>
      <c r="C154" s="76">
        <f t="shared" si="18"/>
        <v>35.370000000000005</v>
      </c>
      <c r="D154" s="76">
        <f t="shared" si="17"/>
        <v>10864.197530864194</v>
      </c>
      <c r="E154" s="76">
        <f t="shared" si="19"/>
        <v>384266.66666666657</v>
      </c>
      <c r="F154" s="76">
        <f t="shared" si="20"/>
        <v>101866.66666666666</v>
      </c>
      <c r="G154" s="76" t="str">
        <f t="shared" si="21"/>
        <v/>
      </c>
      <c r="H154" s="76" t="str">
        <f t="shared" si="22"/>
        <v/>
      </c>
      <c r="I154" s="76" t="str">
        <f t="shared" si="23"/>
        <v/>
      </c>
      <c r="J154" s="76" t="str">
        <f t="shared" si="24"/>
        <v/>
      </c>
      <c r="K154" s="76"/>
    </row>
    <row r="155" spans="1:11" x14ac:dyDescent="0.15">
      <c r="A155" s="76"/>
      <c r="B155" s="130">
        <v>0.32</v>
      </c>
      <c r="C155" s="76">
        <f t="shared" si="18"/>
        <v>35.64</v>
      </c>
      <c r="D155" s="76">
        <f t="shared" si="17"/>
        <v>10617.28395061728</v>
      </c>
      <c r="E155" s="76">
        <f t="shared" si="19"/>
        <v>378399.99999999988</v>
      </c>
      <c r="F155" s="76">
        <f t="shared" si="20"/>
        <v>100599.99999999997</v>
      </c>
      <c r="G155" s="76" t="str">
        <f t="shared" si="21"/>
        <v/>
      </c>
      <c r="H155" s="76" t="str">
        <f t="shared" si="22"/>
        <v/>
      </c>
      <c r="I155" s="76" t="str">
        <f t="shared" si="23"/>
        <v/>
      </c>
      <c r="J155" s="76" t="str">
        <f t="shared" si="24"/>
        <v/>
      </c>
      <c r="K155" s="76"/>
    </row>
    <row r="156" spans="1:11" x14ac:dyDescent="0.15">
      <c r="A156" s="76"/>
      <c r="B156" s="130">
        <v>0.33</v>
      </c>
      <c r="C156" s="76">
        <f t="shared" si="18"/>
        <v>35.910000000000004</v>
      </c>
      <c r="D156" s="76">
        <f t="shared" si="17"/>
        <v>10370.370370370367</v>
      </c>
      <c r="E156" s="76">
        <f t="shared" si="19"/>
        <v>372399.99999999988</v>
      </c>
      <c r="F156" s="76">
        <f t="shared" si="20"/>
        <v>99199.999999999971</v>
      </c>
      <c r="G156" s="76" t="str">
        <f t="shared" si="21"/>
        <v/>
      </c>
      <c r="H156" s="76" t="str">
        <f t="shared" si="22"/>
        <v/>
      </c>
      <c r="I156" s="76" t="str">
        <f t="shared" si="23"/>
        <v/>
      </c>
      <c r="J156" s="76" t="str">
        <f t="shared" si="24"/>
        <v/>
      </c>
      <c r="K156" s="76"/>
    </row>
    <row r="157" spans="1:11" x14ac:dyDescent="0.15">
      <c r="A157" s="76"/>
      <c r="B157" s="130">
        <v>0.34</v>
      </c>
      <c r="C157" s="76">
        <f t="shared" si="18"/>
        <v>36.18</v>
      </c>
      <c r="D157" s="76">
        <f t="shared" si="17"/>
        <v>10123.456790123451</v>
      </c>
      <c r="E157" s="76">
        <f t="shared" si="19"/>
        <v>366266.66666666645</v>
      </c>
      <c r="F157" s="76">
        <f t="shared" si="20"/>
        <v>97666.66666666657</v>
      </c>
      <c r="G157" s="76" t="str">
        <f t="shared" si="21"/>
        <v/>
      </c>
      <c r="H157" s="76" t="str">
        <f t="shared" si="22"/>
        <v/>
      </c>
      <c r="I157" s="76" t="str">
        <f t="shared" si="23"/>
        <v/>
      </c>
      <c r="J157" s="76" t="str">
        <f t="shared" si="24"/>
        <v/>
      </c>
      <c r="K157" s="76"/>
    </row>
    <row r="158" spans="1:11" x14ac:dyDescent="0.15">
      <c r="A158" s="76"/>
      <c r="B158" s="130">
        <v>0.35</v>
      </c>
      <c r="C158" s="76">
        <f t="shared" si="18"/>
        <v>36.450000000000003</v>
      </c>
      <c r="D158" s="76">
        <f t="shared" si="17"/>
        <v>9876.5432098765414</v>
      </c>
      <c r="E158" s="76">
        <f t="shared" si="19"/>
        <v>359999.99999999994</v>
      </c>
      <c r="F158" s="76">
        <f t="shared" si="20"/>
        <v>96000</v>
      </c>
      <c r="G158" s="76" t="str">
        <f t="shared" si="21"/>
        <v/>
      </c>
      <c r="H158" s="76" t="str">
        <f t="shared" si="22"/>
        <v/>
      </c>
      <c r="I158" s="76" t="str">
        <f t="shared" si="23"/>
        <v/>
      </c>
      <c r="J158" s="76" t="str">
        <f t="shared" si="24"/>
        <v/>
      </c>
      <c r="K158" s="76"/>
    </row>
    <row r="159" spans="1:11" x14ac:dyDescent="0.15">
      <c r="A159" s="76"/>
      <c r="B159" s="130">
        <v>0.36</v>
      </c>
      <c r="C159" s="76">
        <f t="shared" si="18"/>
        <v>36.72</v>
      </c>
      <c r="D159" s="76">
        <f t="shared" si="17"/>
        <v>9629.6296296296259</v>
      </c>
      <c r="E159" s="76">
        <f t="shared" si="19"/>
        <v>353599.99999999983</v>
      </c>
      <c r="F159" s="76">
        <f t="shared" si="20"/>
        <v>94199.999999999913</v>
      </c>
      <c r="G159" s="76" t="str">
        <f t="shared" si="21"/>
        <v/>
      </c>
      <c r="H159" s="76" t="str">
        <f t="shared" si="22"/>
        <v/>
      </c>
      <c r="I159" s="76" t="str">
        <f t="shared" si="23"/>
        <v/>
      </c>
      <c r="J159" s="76" t="str">
        <f t="shared" si="24"/>
        <v/>
      </c>
      <c r="K159" s="76"/>
    </row>
    <row r="160" spans="1:11" x14ac:dyDescent="0.15">
      <c r="A160" s="76"/>
      <c r="B160" s="130">
        <v>0.37</v>
      </c>
      <c r="C160" s="76">
        <f t="shared" si="18"/>
        <v>36.99</v>
      </c>
      <c r="D160" s="76">
        <f t="shared" si="17"/>
        <v>9382.7160493827105</v>
      </c>
      <c r="E160" s="76">
        <f t="shared" si="19"/>
        <v>347066.66666666645</v>
      </c>
      <c r="F160" s="76">
        <f t="shared" si="20"/>
        <v>92266.66666666657</v>
      </c>
      <c r="G160" s="76" t="str">
        <f t="shared" si="21"/>
        <v/>
      </c>
      <c r="H160" s="76" t="str">
        <f t="shared" si="22"/>
        <v/>
      </c>
      <c r="I160" s="76" t="str">
        <f t="shared" si="23"/>
        <v/>
      </c>
      <c r="J160" s="76" t="str">
        <f t="shared" si="24"/>
        <v/>
      </c>
      <c r="K160" s="76"/>
    </row>
    <row r="161" spans="1:11" x14ac:dyDescent="0.15">
      <c r="A161" s="76"/>
      <c r="B161" s="130">
        <v>0.38</v>
      </c>
      <c r="C161" s="76">
        <f t="shared" si="18"/>
        <v>37.26</v>
      </c>
      <c r="D161" s="76">
        <f t="shared" si="17"/>
        <v>9135.8024691357969</v>
      </c>
      <c r="E161" s="76">
        <f t="shared" si="19"/>
        <v>340399.99999999977</v>
      </c>
      <c r="F161" s="76">
        <f t="shared" si="20"/>
        <v>90199.999999999884</v>
      </c>
      <c r="G161" s="76" t="str">
        <f t="shared" si="21"/>
        <v/>
      </c>
      <c r="H161" s="76" t="str">
        <f t="shared" si="22"/>
        <v/>
      </c>
      <c r="I161" s="76" t="str">
        <f t="shared" si="23"/>
        <v/>
      </c>
      <c r="J161" s="76" t="str">
        <f t="shared" si="24"/>
        <v/>
      </c>
      <c r="K161" s="76"/>
    </row>
    <row r="162" spans="1:11" x14ac:dyDescent="0.15">
      <c r="A162" s="76"/>
      <c r="B162" s="130">
        <v>0.39</v>
      </c>
      <c r="C162" s="76">
        <f t="shared" si="18"/>
        <v>37.53</v>
      </c>
      <c r="D162" s="76">
        <f t="shared" si="17"/>
        <v>8888.888888888885</v>
      </c>
      <c r="E162" s="76">
        <f t="shared" si="19"/>
        <v>333599.99999999988</v>
      </c>
      <c r="F162" s="76">
        <f t="shared" si="20"/>
        <v>87999.999999999971</v>
      </c>
      <c r="G162" s="76" t="str">
        <f t="shared" si="21"/>
        <v/>
      </c>
      <c r="H162" s="76" t="str">
        <f t="shared" si="22"/>
        <v/>
      </c>
      <c r="I162" s="76" t="str">
        <f t="shared" si="23"/>
        <v/>
      </c>
      <c r="J162" s="76" t="str">
        <f t="shared" si="24"/>
        <v/>
      </c>
      <c r="K162" s="76"/>
    </row>
    <row r="163" spans="1:11" x14ac:dyDescent="0.15">
      <c r="A163" s="76"/>
      <c r="B163" s="130">
        <v>0.4</v>
      </c>
      <c r="C163" s="76">
        <f t="shared" si="18"/>
        <v>37.799999999999997</v>
      </c>
      <c r="D163" s="76">
        <f t="shared" si="17"/>
        <v>8641.9753086419714</v>
      </c>
      <c r="E163" s="76">
        <f t="shared" si="19"/>
        <v>326666.66666666651</v>
      </c>
      <c r="F163" s="76">
        <f t="shared" si="20"/>
        <v>85666.666666666599</v>
      </c>
      <c r="G163" s="76" t="str">
        <f t="shared" si="21"/>
        <v/>
      </c>
      <c r="H163" s="76" t="str">
        <f t="shared" si="22"/>
        <v/>
      </c>
      <c r="I163" s="76" t="str">
        <f t="shared" si="23"/>
        <v/>
      </c>
      <c r="J163" s="76" t="str">
        <f t="shared" si="24"/>
        <v/>
      </c>
      <c r="K163" s="76"/>
    </row>
    <row r="164" spans="1:11" x14ac:dyDescent="0.15">
      <c r="A164" s="76"/>
      <c r="B164" s="130">
        <v>0.41</v>
      </c>
      <c r="C164" s="76">
        <f t="shared" si="18"/>
        <v>38.07</v>
      </c>
      <c r="D164" s="76">
        <f t="shared" si="17"/>
        <v>8395.0617283950578</v>
      </c>
      <c r="E164" s="76">
        <f t="shared" si="19"/>
        <v>319599.99999999983</v>
      </c>
      <c r="F164" s="76">
        <f t="shared" si="20"/>
        <v>83199.999999999913</v>
      </c>
      <c r="G164" s="76" t="str">
        <f t="shared" si="21"/>
        <v/>
      </c>
      <c r="H164" s="76" t="str">
        <f t="shared" si="22"/>
        <v/>
      </c>
      <c r="I164" s="76" t="str">
        <f t="shared" si="23"/>
        <v/>
      </c>
      <c r="J164" s="76" t="str">
        <f t="shared" si="24"/>
        <v/>
      </c>
      <c r="K164" s="76"/>
    </row>
    <row r="165" spans="1:11" x14ac:dyDescent="0.15">
      <c r="A165" s="76"/>
      <c r="B165" s="130">
        <v>0.42</v>
      </c>
      <c r="C165" s="76">
        <f t="shared" si="18"/>
        <v>38.339999999999996</v>
      </c>
      <c r="D165" s="76">
        <f t="shared" si="17"/>
        <v>8148.1481481481433</v>
      </c>
      <c r="E165" s="76">
        <f t="shared" si="19"/>
        <v>312399.99999999977</v>
      </c>
      <c r="F165" s="76">
        <f t="shared" si="20"/>
        <v>80599.999999999854</v>
      </c>
      <c r="G165" s="76" t="str">
        <f t="shared" si="21"/>
        <v/>
      </c>
      <c r="H165" s="76" t="str">
        <f t="shared" si="22"/>
        <v/>
      </c>
      <c r="I165" s="76" t="str">
        <f t="shared" si="23"/>
        <v/>
      </c>
      <c r="J165" s="76" t="str">
        <f t="shared" si="24"/>
        <v/>
      </c>
      <c r="K165" s="76"/>
    </row>
    <row r="166" spans="1:11" x14ac:dyDescent="0.15">
      <c r="A166" s="76"/>
      <c r="B166" s="130">
        <v>0.43</v>
      </c>
      <c r="C166" s="76">
        <f t="shared" si="18"/>
        <v>38.61</v>
      </c>
      <c r="D166" s="76">
        <f t="shared" si="17"/>
        <v>7901.2345679012296</v>
      </c>
      <c r="E166" s="76">
        <f t="shared" si="19"/>
        <v>305066.66666666645</v>
      </c>
      <c r="F166" s="76">
        <f t="shared" si="20"/>
        <v>77866.666666666541</v>
      </c>
      <c r="G166" s="76" t="str">
        <f t="shared" si="21"/>
        <v/>
      </c>
      <c r="H166" s="76" t="str">
        <f t="shared" si="22"/>
        <v/>
      </c>
      <c r="I166" s="76" t="str">
        <f t="shared" si="23"/>
        <v/>
      </c>
      <c r="J166" s="76" t="str">
        <f t="shared" si="24"/>
        <v/>
      </c>
      <c r="K166" s="76"/>
    </row>
    <row r="167" spans="1:11" x14ac:dyDescent="0.15">
      <c r="A167" s="76"/>
      <c r="B167" s="130">
        <v>0.44</v>
      </c>
      <c r="C167" s="76">
        <f t="shared" si="18"/>
        <v>38.879999999999995</v>
      </c>
      <c r="D167" s="76">
        <f t="shared" si="17"/>
        <v>7654.3209876543169</v>
      </c>
      <c r="E167" s="76">
        <f t="shared" si="19"/>
        <v>297599.99999999983</v>
      </c>
      <c r="F167" s="76">
        <f t="shared" si="20"/>
        <v>74999.999999999913</v>
      </c>
      <c r="G167" s="76" t="str">
        <f t="shared" si="21"/>
        <v/>
      </c>
      <c r="H167" s="76" t="str">
        <f t="shared" si="22"/>
        <v/>
      </c>
      <c r="I167" s="76" t="str">
        <f t="shared" si="23"/>
        <v/>
      </c>
      <c r="J167" s="76" t="str">
        <f t="shared" si="24"/>
        <v/>
      </c>
      <c r="K167" s="76"/>
    </row>
    <row r="168" spans="1:11" x14ac:dyDescent="0.15">
      <c r="A168" s="76"/>
      <c r="B168" s="130">
        <v>0.45</v>
      </c>
      <c r="C168" s="76">
        <f t="shared" si="18"/>
        <v>39.15</v>
      </c>
      <c r="D168" s="76">
        <f t="shared" si="17"/>
        <v>7407.4074074074015</v>
      </c>
      <c r="E168" s="76">
        <f t="shared" si="19"/>
        <v>289999.99999999977</v>
      </c>
      <c r="F168" s="76">
        <f t="shared" si="20"/>
        <v>71999.999999999884</v>
      </c>
      <c r="G168" s="76" t="str">
        <f t="shared" si="21"/>
        <v/>
      </c>
      <c r="H168" s="76" t="str">
        <f t="shared" si="22"/>
        <v/>
      </c>
      <c r="I168" s="76" t="str">
        <f t="shared" si="23"/>
        <v/>
      </c>
      <c r="J168" s="76" t="str">
        <f t="shared" si="24"/>
        <v/>
      </c>
      <c r="K168" s="76"/>
    </row>
    <row r="169" spans="1:11" x14ac:dyDescent="0.15">
      <c r="A169" s="76"/>
      <c r="B169" s="130">
        <v>0.46</v>
      </c>
      <c r="C169" s="76">
        <f t="shared" si="18"/>
        <v>39.42</v>
      </c>
      <c r="D169" s="76">
        <f t="shared" si="17"/>
        <v>7160.4938271604888</v>
      </c>
      <c r="E169" s="76">
        <f t="shared" si="19"/>
        <v>282266.66666666645</v>
      </c>
      <c r="F169" s="76">
        <f t="shared" si="20"/>
        <v>68866.666666666541</v>
      </c>
      <c r="G169" s="76" t="str">
        <f t="shared" si="21"/>
        <v/>
      </c>
      <c r="H169" s="76" t="str">
        <f t="shared" si="22"/>
        <v/>
      </c>
      <c r="I169" s="76" t="str">
        <f t="shared" si="23"/>
        <v/>
      </c>
      <c r="J169" s="76" t="str">
        <f t="shared" si="24"/>
        <v/>
      </c>
      <c r="K169" s="76"/>
    </row>
    <row r="170" spans="1:11" x14ac:dyDescent="0.15">
      <c r="A170" s="76"/>
      <c r="B170" s="130">
        <v>0.47</v>
      </c>
      <c r="C170" s="76">
        <f t="shared" si="18"/>
        <v>39.69</v>
      </c>
      <c r="D170" s="76">
        <f t="shared" si="17"/>
        <v>6913.5802469135751</v>
      </c>
      <c r="E170" s="76">
        <f t="shared" si="19"/>
        <v>274399.99999999977</v>
      </c>
      <c r="F170" s="76">
        <f t="shared" si="20"/>
        <v>65599.999999999884</v>
      </c>
      <c r="G170" s="76" t="str">
        <f t="shared" si="21"/>
        <v/>
      </c>
      <c r="H170" s="76" t="str">
        <f t="shared" si="22"/>
        <v/>
      </c>
      <c r="I170" s="76" t="str">
        <f t="shared" si="23"/>
        <v/>
      </c>
      <c r="J170" s="76" t="str">
        <f t="shared" si="24"/>
        <v/>
      </c>
      <c r="K170" s="76"/>
    </row>
    <row r="171" spans="1:11" x14ac:dyDescent="0.15">
      <c r="A171" s="76"/>
      <c r="B171" s="130">
        <v>0.48</v>
      </c>
      <c r="C171" s="76">
        <f t="shared" si="18"/>
        <v>39.96</v>
      </c>
      <c r="D171" s="76">
        <f t="shared" si="17"/>
        <v>6666.6666666666624</v>
      </c>
      <c r="E171" s="76">
        <f t="shared" si="19"/>
        <v>266399.99999999983</v>
      </c>
      <c r="F171" s="76">
        <f t="shared" si="20"/>
        <v>62199.999999999913</v>
      </c>
      <c r="G171" s="76" t="str">
        <f t="shared" si="21"/>
        <v/>
      </c>
      <c r="H171" s="76" t="str">
        <f t="shared" si="22"/>
        <v/>
      </c>
      <c r="I171" s="76" t="str">
        <f t="shared" si="23"/>
        <v/>
      </c>
      <c r="J171" s="76" t="str">
        <f t="shared" si="24"/>
        <v/>
      </c>
      <c r="K171" s="76"/>
    </row>
    <row r="172" spans="1:11" x14ac:dyDescent="0.15">
      <c r="A172" s="76"/>
      <c r="B172" s="130">
        <v>0.49</v>
      </c>
      <c r="C172" s="76">
        <f t="shared" si="18"/>
        <v>40.229999999999997</v>
      </c>
      <c r="D172" s="76">
        <f t="shared" si="17"/>
        <v>6419.753086419747</v>
      </c>
      <c r="E172" s="76">
        <f t="shared" si="19"/>
        <v>258266.6666666664</v>
      </c>
      <c r="F172" s="76">
        <f t="shared" si="20"/>
        <v>58666.666666666511</v>
      </c>
      <c r="G172" s="76" t="str">
        <f t="shared" si="21"/>
        <v/>
      </c>
      <c r="H172" s="76" t="str">
        <f t="shared" si="22"/>
        <v/>
      </c>
      <c r="I172" s="76" t="str">
        <f t="shared" si="23"/>
        <v/>
      </c>
      <c r="J172" s="76" t="str">
        <f t="shared" si="24"/>
        <v/>
      </c>
      <c r="K172" s="76"/>
    </row>
    <row r="173" spans="1:11" x14ac:dyDescent="0.15">
      <c r="A173" s="76"/>
      <c r="B173" s="130">
        <v>0.5</v>
      </c>
      <c r="C173" s="76">
        <f t="shared" si="18"/>
        <v>40.5</v>
      </c>
      <c r="D173" s="76">
        <f t="shared" si="17"/>
        <v>6172.8395061728343</v>
      </c>
      <c r="E173" s="76">
        <f t="shared" si="19"/>
        <v>249999.9999999998</v>
      </c>
      <c r="F173" s="76">
        <f t="shared" si="20"/>
        <v>54999.999999999884</v>
      </c>
      <c r="G173" s="76" t="str">
        <f t="shared" si="21"/>
        <v/>
      </c>
      <c r="H173" s="76" t="str">
        <f t="shared" si="22"/>
        <v/>
      </c>
      <c r="I173" s="76" t="str">
        <f t="shared" si="23"/>
        <v/>
      </c>
      <c r="J173" s="76" t="str">
        <f t="shared" si="24"/>
        <v/>
      </c>
      <c r="K173" s="76"/>
    </row>
    <row r="174" spans="1:11" x14ac:dyDescent="0.15">
      <c r="A174" s="76"/>
      <c r="B174" s="203" t="s">
        <v>56</v>
      </c>
      <c r="C174" s="76"/>
      <c r="D174" s="76"/>
      <c r="E174" s="76"/>
      <c r="F174" s="117">
        <f>MAX(F73:F173)</f>
        <v>107266.66666666657</v>
      </c>
      <c r="G174" s="117">
        <f>AVERAGE(G73:G173)</f>
        <v>32.94</v>
      </c>
      <c r="H174" s="117">
        <f>AVERAGE(H73:H173)</f>
        <v>13086.419753086417</v>
      </c>
      <c r="I174" s="117">
        <f>+H174*G174</f>
        <v>431066.66666666651</v>
      </c>
      <c r="J174" s="117">
        <f>+I174-(E$9*H174)-E$10</f>
        <v>107266.66666666657</v>
      </c>
      <c r="K174" s="76"/>
    </row>
    <row r="175" spans="1:11" x14ac:dyDescent="0.15">
      <c r="A175" s="76"/>
      <c r="B175" s="130"/>
      <c r="C175" s="76"/>
      <c r="D175" s="76"/>
      <c r="E175" s="76"/>
      <c r="F175" s="76"/>
      <c r="G175" s="76"/>
      <c r="H175" s="76"/>
      <c r="I175" s="76"/>
      <c r="J175" s="76"/>
      <c r="K175" s="76"/>
    </row>
    <row r="176" spans="1:11" x14ac:dyDescent="0.15">
      <c r="A176" s="76"/>
      <c r="B176" s="130"/>
      <c r="C176" s="76"/>
      <c r="D176" s="76"/>
      <c r="E176" s="76"/>
      <c r="F176" s="76"/>
      <c r="G176" s="76"/>
      <c r="H176" s="76"/>
      <c r="I176" s="76"/>
      <c r="J176" s="76"/>
      <c r="K176" s="76"/>
    </row>
    <row r="177" spans="1:11" x14ac:dyDescent="0.15">
      <c r="A177" s="76"/>
      <c r="B177" s="130"/>
      <c r="C177" s="76"/>
      <c r="D177" s="76"/>
      <c r="E177" s="76"/>
      <c r="F177" s="76"/>
      <c r="G177" s="76"/>
      <c r="H177" s="76"/>
      <c r="I177" s="76"/>
      <c r="J177" s="76"/>
      <c r="K177" s="76"/>
    </row>
    <row r="178" spans="1:11" x14ac:dyDescent="0.15">
      <c r="B178" s="115"/>
    </row>
    <row r="179" spans="1:11" x14ac:dyDescent="0.15">
      <c r="B179" s="115"/>
    </row>
    <row r="180" spans="1:11" x14ac:dyDescent="0.15">
      <c r="B180" s="115"/>
    </row>
    <row r="181" spans="1:11" x14ac:dyDescent="0.15">
      <c r="B181" s="115"/>
    </row>
  </sheetData>
  <sheetProtection password="C68B" sheet="1" objects="1" scenarios="1" formatCells="0" formatColumns="0" formatRows="0"/>
  <phoneticPr fontId="0" type="noConversion"/>
  <pageMargins left="0.75" right="0.75" top="1" bottom="1" header="0.5" footer="0.5"/>
  <pageSetup orientation="portrait" horizontalDpi="360" verticalDpi="0" copies="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D48"/>
  <sheetViews>
    <sheetView showGridLines="0" defaultGridColor="0" colorId="9" workbookViewId="0"/>
  </sheetViews>
  <sheetFormatPr baseColWidth="10" defaultColWidth="9.1640625" defaultRowHeight="13" x14ac:dyDescent="0.15"/>
  <cols>
    <col min="1" max="1" width="9.5" style="280" customWidth="1"/>
    <col min="2" max="2" width="89.5" style="280" customWidth="1"/>
    <col min="3" max="16384" width="9.1640625" style="280"/>
  </cols>
  <sheetData>
    <row r="1" spans="1:3" ht="3.75" customHeight="1" x14ac:dyDescent="0.15">
      <c r="A1" s="279"/>
      <c r="B1" s="279"/>
      <c r="C1" s="279"/>
    </row>
    <row r="2" spans="1:3" ht="18" x14ac:dyDescent="0.2">
      <c r="A2" s="279"/>
      <c r="B2" s="281"/>
      <c r="C2" s="279"/>
    </row>
    <row r="3" spans="1:3" ht="18" x14ac:dyDescent="0.15">
      <c r="A3" s="279"/>
      <c r="B3" s="282"/>
      <c r="C3" s="279"/>
    </row>
    <row r="4" spans="1:3" ht="18" x14ac:dyDescent="0.15">
      <c r="A4" s="279"/>
      <c r="B4" s="282"/>
      <c r="C4" s="279"/>
    </row>
    <row r="5" spans="1:3" ht="18" x14ac:dyDescent="0.15">
      <c r="A5" s="279"/>
      <c r="B5" s="282"/>
      <c r="C5" s="279"/>
    </row>
    <row r="6" spans="1:3" ht="18" x14ac:dyDescent="0.15">
      <c r="A6" s="279"/>
      <c r="B6" s="225"/>
      <c r="C6" s="279"/>
    </row>
    <row r="7" spans="1:3" ht="18" x14ac:dyDescent="0.2">
      <c r="A7" s="279"/>
      <c r="B7" s="283"/>
      <c r="C7" s="279"/>
    </row>
    <row r="8" spans="1:3" ht="12.75" customHeight="1" x14ac:dyDescent="0.2">
      <c r="A8" s="279"/>
      <c r="B8" s="283"/>
      <c r="C8" s="279"/>
    </row>
    <row r="9" spans="1:3" ht="12.75" customHeight="1" x14ac:dyDescent="0.15">
      <c r="A9" s="279"/>
      <c r="B9" s="284"/>
      <c r="C9" s="279"/>
    </row>
    <row r="10" spans="1:3" x14ac:dyDescent="0.15">
      <c r="A10" s="279"/>
      <c r="B10" s="285"/>
      <c r="C10" s="279"/>
    </row>
    <row r="11" spans="1:3" ht="18" x14ac:dyDescent="0.15">
      <c r="A11" s="286"/>
      <c r="B11" s="287"/>
      <c r="C11" s="279"/>
    </row>
    <row r="12" spans="1:3" ht="18" x14ac:dyDescent="0.15">
      <c r="A12" s="286"/>
      <c r="B12" s="287"/>
      <c r="C12" s="279"/>
    </row>
    <row r="13" spans="1:3" ht="18" x14ac:dyDescent="0.15">
      <c r="A13" s="288"/>
      <c r="B13" s="222"/>
      <c r="C13" s="279"/>
    </row>
    <row r="14" spans="1:3" ht="18" x14ac:dyDescent="0.15">
      <c r="A14" s="289"/>
      <c r="B14" s="223"/>
      <c r="C14" s="279"/>
    </row>
    <row r="15" spans="1:3" ht="18" x14ac:dyDescent="0.15">
      <c r="A15" s="226"/>
      <c r="B15" s="224"/>
      <c r="C15" s="279"/>
    </row>
    <row r="16" spans="1:3" ht="18" x14ac:dyDescent="0.15">
      <c r="A16" s="227"/>
      <c r="B16" s="223"/>
      <c r="C16" s="279"/>
    </row>
    <row r="17" spans="1:4" ht="18" x14ac:dyDescent="0.15">
      <c r="A17" s="227"/>
      <c r="B17" s="228"/>
      <c r="C17" s="279"/>
    </row>
    <row r="18" spans="1:4" ht="18" x14ac:dyDescent="0.15">
      <c r="A18" s="290"/>
      <c r="B18" s="223"/>
      <c r="C18" s="279"/>
    </row>
    <row r="19" spans="1:4" x14ac:dyDescent="0.15">
      <c r="A19" s="290"/>
      <c r="B19" s="229"/>
      <c r="C19" s="279"/>
    </row>
    <row r="20" spans="1:4" x14ac:dyDescent="0.15">
      <c r="A20" s="291"/>
      <c r="B20" s="291"/>
      <c r="C20" s="292"/>
    </row>
    <row r="21" spans="1:4" x14ac:dyDescent="0.15">
      <c r="A21" s="293"/>
      <c r="B21" s="294"/>
      <c r="C21" s="291"/>
      <c r="D21" s="291"/>
    </row>
    <row r="22" spans="1:4" x14ac:dyDescent="0.15">
      <c r="A22" s="291"/>
      <c r="B22" s="291"/>
      <c r="C22" s="291"/>
      <c r="D22" s="291"/>
    </row>
    <row r="23" spans="1:4" x14ac:dyDescent="0.15">
      <c r="A23" s="291"/>
      <c r="B23" s="291"/>
      <c r="C23" s="291"/>
      <c r="D23" s="291"/>
    </row>
    <row r="24" spans="1:4" x14ac:dyDescent="0.15">
      <c r="A24" s="291"/>
      <c r="B24" s="291"/>
      <c r="C24" s="291"/>
      <c r="D24" s="291"/>
    </row>
    <row r="25" spans="1:4" x14ac:dyDescent="0.15">
      <c r="A25" s="291"/>
      <c r="B25" s="230">
        <v>0</v>
      </c>
      <c r="C25" s="291"/>
      <c r="D25" s="291"/>
    </row>
    <row r="26" spans="1:4" x14ac:dyDescent="0.15">
      <c r="A26" s="291"/>
      <c r="B26" s="295"/>
      <c r="C26" s="291"/>
      <c r="D26" s="291"/>
    </row>
    <row r="27" spans="1:4" x14ac:dyDescent="0.15">
      <c r="A27" s="291"/>
      <c r="B27" s="230"/>
      <c r="C27" s="291"/>
      <c r="D27" s="291"/>
    </row>
    <row r="28" spans="1:4" x14ac:dyDescent="0.15">
      <c r="A28" s="291"/>
      <c r="B28" s="296"/>
      <c r="C28" s="291"/>
      <c r="D28" s="291"/>
    </row>
    <row r="29" spans="1:4" x14ac:dyDescent="0.15">
      <c r="A29" s="291"/>
      <c r="B29" s="220"/>
      <c r="C29" s="291"/>
      <c r="D29" s="291"/>
    </row>
    <row r="30" spans="1:4" x14ac:dyDescent="0.15">
      <c r="A30" s="291"/>
      <c r="B30" s="221"/>
      <c r="C30" s="291"/>
      <c r="D30" s="291"/>
    </row>
    <row r="31" spans="1:4" x14ac:dyDescent="0.15">
      <c r="A31" s="291"/>
      <c r="B31" s="221"/>
      <c r="C31" s="291"/>
      <c r="D31" s="291"/>
    </row>
    <row r="32" spans="1:4" x14ac:dyDescent="0.15">
      <c r="A32" s="291"/>
      <c r="B32" s="296"/>
      <c r="C32" s="291"/>
      <c r="D32" s="291"/>
    </row>
    <row r="33" spans="1:4" x14ac:dyDescent="0.15">
      <c r="A33" s="291"/>
      <c r="B33" s="221"/>
      <c r="C33" s="291"/>
      <c r="D33" s="291"/>
    </row>
    <row r="34" spans="1:4" x14ac:dyDescent="0.15">
      <c r="A34" s="291"/>
      <c r="B34" s="297"/>
      <c r="C34" s="291"/>
      <c r="D34" s="291"/>
    </row>
    <row r="35" spans="1:4" x14ac:dyDescent="0.15">
      <c r="A35" s="291"/>
      <c r="B35" s="296"/>
      <c r="C35" s="291"/>
      <c r="D35" s="291"/>
    </row>
    <row r="36" spans="1:4" x14ac:dyDescent="0.15">
      <c r="A36" s="291"/>
      <c r="B36" s="297"/>
      <c r="C36" s="291"/>
      <c r="D36" s="291"/>
    </row>
    <row r="37" spans="1:4" x14ac:dyDescent="0.15">
      <c r="A37" s="291"/>
      <c r="B37" s="297"/>
      <c r="C37" s="291"/>
      <c r="D37" s="291"/>
    </row>
    <row r="38" spans="1:4" x14ac:dyDescent="0.15">
      <c r="A38" s="291"/>
      <c r="B38" s="297"/>
      <c r="C38" s="291"/>
      <c r="D38" s="291"/>
    </row>
    <row r="39" spans="1:4" x14ac:dyDescent="0.15">
      <c r="A39" s="291"/>
      <c r="B39" s="296"/>
      <c r="C39" s="291"/>
      <c r="D39" s="291"/>
    </row>
    <row r="40" spans="1:4" x14ac:dyDescent="0.15">
      <c r="A40" s="291"/>
      <c r="B40" s="298"/>
      <c r="C40" s="291"/>
      <c r="D40" s="291"/>
    </row>
    <row r="41" spans="1:4" x14ac:dyDescent="0.15">
      <c r="A41" s="291"/>
      <c r="B41" s="296"/>
      <c r="C41" s="291"/>
      <c r="D41" s="291"/>
    </row>
    <row r="42" spans="1:4" x14ac:dyDescent="0.15">
      <c r="A42" s="291"/>
      <c r="B42" s="296"/>
      <c r="C42" s="291"/>
      <c r="D42" s="291"/>
    </row>
    <row r="43" spans="1:4" x14ac:dyDescent="0.15">
      <c r="A43" s="291"/>
      <c r="B43" s="296"/>
      <c r="C43" s="291"/>
      <c r="D43" s="291"/>
    </row>
    <row r="44" spans="1:4" x14ac:dyDescent="0.15">
      <c r="A44" s="293"/>
      <c r="B44" s="294"/>
      <c r="C44" s="291"/>
      <c r="D44" s="291"/>
    </row>
    <row r="45" spans="1:4" x14ac:dyDescent="0.15">
      <c r="A45" s="291"/>
      <c r="B45" s="291"/>
      <c r="C45" s="291"/>
      <c r="D45" s="291"/>
    </row>
    <row r="46" spans="1:4" x14ac:dyDescent="0.15">
      <c r="A46" s="291"/>
      <c r="B46" s="291"/>
      <c r="C46" s="291"/>
      <c r="D46" s="291"/>
    </row>
    <row r="47" spans="1:4" x14ac:dyDescent="0.15">
      <c r="A47" s="291"/>
      <c r="B47" s="291"/>
      <c r="C47" s="291"/>
      <c r="D47" s="291"/>
    </row>
    <row r="48" spans="1:4" x14ac:dyDescent="0.15">
      <c r="A48" s="291"/>
      <c r="B48" s="291"/>
      <c r="C48" s="291"/>
      <c r="D48" s="291"/>
    </row>
  </sheetData>
  <sheetProtection algorithmName="SHA-512" hashValue="BIkNHqlnEitWx8uT3zCRNT4Yu25S9Rpl/kBnOl9HzVgkh/ZW4dQEiqMEUfdrom050kUsbdHtY9ybckLrbk6g0w==" saltValue="tfJIrvhtotPu2Jjp+F792w==" spinCount="100000" sheet="1" objects="1" scenarios="1"/>
  <phoneticPr fontId="0" type="noConversion"/>
  <pageMargins left="0.75" right="0.75" top="1" bottom="1" header="0.5" footer="0.5"/>
  <pageSetup orientation="portrait" horizontalDpi="360" verticalDpi="200"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8</vt:i4>
      </vt:variant>
      <vt:variant>
        <vt:lpstr>Charts</vt:lpstr>
      </vt:variant>
      <vt:variant>
        <vt:i4>6</vt:i4>
      </vt:variant>
      <vt:variant>
        <vt:lpstr>Named Ranges</vt:lpstr>
      </vt:variant>
      <vt:variant>
        <vt:i4>16</vt:i4>
      </vt:variant>
    </vt:vector>
  </HeadingPairs>
  <TitlesOfParts>
    <vt:vector size="30" baseType="lpstr">
      <vt:lpstr>Macros Required</vt:lpstr>
      <vt:lpstr>Welcome</vt:lpstr>
      <vt:lpstr>Input</vt:lpstr>
      <vt:lpstr>Breakeven Tables</vt:lpstr>
      <vt:lpstr>Instructions</vt:lpstr>
      <vt:lpstr>Terms and Conditions</vt:lpstr>
      <vt:lpstr>Worksheet</vt:lpstr>
      <vt:lpstr>Scratch</vt:lpstr>
      <vt:lpstr>Current Price Breakeven Chart</vt:lpstr>
      <vt:lpstr>Increased Price Breakeven Chart</vt:lpstr>
      <vt:lpstr>Decreased Price Breakeven Chart</vt:lpstr>
      <vt:lpstr>Price Analysis Chart</vt:lpstr>
      <vt:lpstr>Optimum Price Breakeven Chart</vt:lpstr>
      <vt:lpstr>Extended Price Analysis Chart</vt:lpstr>
      <vt:lpstr>EvaDate</vt:lpstr>
      <vt:lpstr>EvaDays</vt:lpstr>
      <vt:lpstr>inbusname</vt:lpstr>
      <vt:lpstr>inbusrev</vt:lpstr>
      <vt:lpstr>infixcost</vt:lpstr>
      <vt:lpstr>inmonper</vt:lpstr>
      <vt:lpstr>inprice</vt:lpstr>
      <vt:lpstr>invarcost</vt:lpstr>
      <vt:lpstr>'Breakeven Tables'!Print_Area</vt:lpstr>
      <vt:lpstr>Input!Print_Area</vt:lpstr>
      <vt:lpstr>Instructions!Print_Area</vt:lpstr>
      <vt:lpstr>'Macros Required'!Print_Area</vt:lpstr>
      <vt:lpstr>'Terms and Conditions'!Print_Area</vt:lpstr>
      <vt:lpstr>'Terms and Conditions'!Purchase</vt:lpstr>
      <vt:lpstr>Status</vt:lpstr>
      <vt:lpstr>welord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Pricing and Breakeven Analysis</dc:title>
  <dc:creator>Bizpep</dc:creator>
  <cp:lastModifiedBy>maciek szczech</cp:lastModifiedBy>
  <cp:lastPrinted>2000-12-04T01:08:07Z</cp:lastPrinted>
  <dcterms:created xsi:type="dcterms:W3CDTF">2000-02-08T04:24:39Z</dcterms:created>
  <dcterms:modified xsi:type="dcterms:W3CDTF">2025-11-12T11:12:47Z</dcterms:modified>
</cp:coreProperties>
</file>